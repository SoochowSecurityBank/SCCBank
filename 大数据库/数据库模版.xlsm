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/>
  </bookViews>
  <sheets>
    <sheet name="首页" sheetId="1" r:id="rId1"/>
    <sheet name="目录页" sheetId="6" r:id="rId2"/>
    <sheet name="辅助页" sheetId="7" state="hidden" r:id="rId3"/>
    <sheet name="工商银行" sheetId="2" r:id="rId4"/>
    <sheet name="光大银行" sheetId="3" r:id="rId5"/>
    <sheet name="交通银行" sheetId="4" r:id="rId6"/>
    <sheet name="平安银行" sheetId="5" r:id="rId7"/>
  </sheets>
  <externalReferences>
    <externalReference r:id="rId8"/>
    <externalReference r:id="rId9"/>
    <externalReference r:id="rId10"/>
  </externalReferences>
  <definedNames>
    <definedName name="不良贷款生成表">目录页!$AC$5:$AC$9</definedName>
    <definedName name="财务报表">目录页!$C$4:$AF$4</definedName>
    <definedName name="财务速览">目录页!$C$62</definedName>
    <definedName name="成本收入明细">目录页!$H$5:$H$37</definedName>
    <definedName name="成本收益率明细">目录页!$I$5:$I$21,目录页!$I$22:$I$37,目录页!$I$38:$I$41</definedName>
    <definedName name="存款明细">目录页!$F$5:$F$12</definedName>
    <definedName name="存款占比">目录页!$AD$5:$AD$8</definedName>
    <definedName name="贷款结构及质量分析">目录页!$F$62</definedName>
    <definedName name="贷款结构占比">目录页!$AA$5:$AA$7</definedName>
    <definedName name="贷款明细">目录页!$E$5:$E$11</definedName>
    <definedName name="贷款五级分类">目录页!$L$5:$L$12</definedName>
    <definedName name="分行业不良率">目录页!$AE$5:$AE$27</definedName>
    <definedName name="分红及其他">目录页!$N$5:$N$7</definedName>
    <definedName name="负债端关键科目">目录页!$X$5:$X$10</definedName>
    <definedName name="负债端关键科目占比">目录页!$Y$5:$Y$10</definedName>
    <definedName name="个人贷款占比">目录页!$AB$5:$AB$9</definedName>
    <definedName name="减值准备变动表">目录页!$K$5:$K$11</definedName>
    <definedName name="利润表">目录页!$D$5:$D$38</definedName>
    <definedName name="利润表关键科目">目录页!$S$5:$S$10</definedName>
    <definedName name="利润表环比增速">目录页!$Q$5:$Q$11</definedName>
    <definedName name="利润表结构">目录页!$T$5:$T$8</definedName>
    <definedName name="利润表同比增速">目录页!$R$5:$R$12</definedName>
    <definedName name="利润分析">目录页!$D$62:$D$65</definedName>
    <definedName name="利润驱动因素分解">目录页!$U$5:$U$11</definedName>
    <definedName name="收入拆分">目录页!$O$5:$O$26</definedName>
    <definedName name="收入结构">目录页!$P$5:$P$18</definedName>
    <definedName name="银行经营数据">目录页!$AF$5:$AF$55</definedName>
    <definedName name="逾期贷款明细">目录页!$M$5:$M$9</definedName>
    <definedName name="专题分析">目录页!$C$61:$G$61</definedName>
    <definedName name="资本明细">目录页!$J$5:$J$11</definedName>
    <definedName name="资产端关键科目">目录页!$V$5:$V$12</definedName>
    <definedName name="资产端占比">目录页!$W$5:$W$11</definedName>
    <definedName name="资产负债表">目录页!$C$5:$C$53</definedName>
    <definedName name="资产负债分析">目录页!$E$62:$E$64</definedName>
    <definedName name="资产负债平均余额">目录页!$G$5:$G$37</definedName>
    <definedName name="资产质量">目录页!$G$62</definedName>
    <definedName name="资产质量指标">目录页!$Z$5:$Z$11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" l="1"/>
  <c r="G2" i="7" l="1"/>
  <c r="C12" i="1"/>
  <c r="C14" i="1" s="1"/>
  <c r="D12" i="1" l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K13" i="1" l="1"/>
  <c r="K16" i="1"/>
  <c r="K15" i="1"/>
  <c r="K14" i="1"/>
  <c r="K20" i="1" l="1"/>
  <c r="K18" i="1"/>
  <c r="K17" i="1"/>
  <c r="K19" i="1"/>
  <c r="L14" i="1"/>
  <c r="L13" i="1"/>
  <c r="L16" i="1"/>
  <c r="L15" i="1"/>
  <c r="L17" i="1" l="1"/>
  <c r="L19" i="1"/>
  <c r="L18" i="1"/>
  <c r="L20" i="1"/>
  <c r="M15" i="1"/>
  <c r="M14" i="1"/>
  <c r="M13" i="1"/>
  <c r="M16" i="1"/>
  <c r="M18" i="1" l="1"/>
  <c r="M20" i="1"/>
  <c r="M19" i="1"/>
  <c r="M17" i="1"/>
  <c r="N16" i="1"/>
  <c r="N15" i="1"/>
  <c r="N14" i="1"/>
  <c r="N13" i="1"/>
  <c r="N18" i="1" l="1"/>
  <c r="N20" i="1"/>
  <c r="N19" i="1"/>
  <c r="N17" i="1"/>
  <c r="O13" i="1"/>
  <c r="O16" i="1"/>
  <c r="O15" i="1"/>
  <c r="O14" i="1"/>
  <c r="O18" i="1" l="1"/>
  <c r="O20" i="1"/>
  <c r="O17" i="1"/>
  <c r="O19" i="1"/>
  <c r="P14" i="1"/>
  <c r="P13" i="1"/>
  <c r="P16" i="1"/>
  <c r="P15" i="1"/>
  <c r="C10" i="1"/>
  <c r="P17" i="1" l="1"/>
  <c r="P19" i="1"/>
  <c r="P18" i="1"/>
  <c r="P20" i="1"/>
  <c r="Q15" i="1"/>
  <c r="Q14" i="1"/>
  <c r="Q13" i="1"/>
  <c r="Q16" i="1"/>
  <c r="J13" i="1"/>
  <c r="I13" i="1"/>
  <c r="H13" i="1"/>
  <c r="G13" i="1"/>
  <c r="F13" i="1"/>
  <c r="E13" i="1"/>
  <c r="D13" i="1"/>
  <c r="C13" i="1"/>
  <c r="J14" i="1"/>
  <c r="J15" i="1"/>
  <c r="J16" i="1"/>
  <c r="C6" i="2"/>
  <c r="J20" i="1" l="1"/>
  <c r="Q17" i="1"/>
  <c r="Q19" i="1"/>
  <c r="Q20" i="1"/>
  <c r="Q18" i="1"/>
  <c r="R16" i="1"/>
  <c r="R15" i="1"/>
  <c r="R14" i="1"/>
  <c r="R13" i="1"/>
  <c r="J17" i="1"/>
  <c r="J18" i="1"/>
  <c r="J19" i="1"/>
  <c r="AU22" i="2"/>
  <c r="AU25" i="2"/>
  <c r="AU39" i="2"/>
  <c r="AU43" i="2"/>
  <c r="AU45" i="2"/>
  <c r="AU44" i="2"/>
  <c r="AU41" i="2"/>
  <c r="AU40" i="2"/>
  <c r="AU38" i="2"/>
  <c r="AU37" i="2"/>
  <c r="AU36" i="2"/>
  <c r="AU35" i="2"/>
  <c r="AU34" i="2"/>
  <c r="AU33" i="2"/>
  <c r="AU28" i="2"/>
  <c r="AU27" i="2"/>
  <c r="AU26" i="2"/>
  <c r="AU24" i="2"/>
  <c r="AU23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R18" i="1" l="1"/>
  <c r="R20" i="1"/>
  <c r="R19" i="1"/>
  <c r="R17" i="1"/>
  <c r="S13" i="1"/>
  <c r="S16" i="1"/>
  <c r="S15" i="1"/>
  <c r="S14" i="1"/>
  <c r="AU42" i="2"/>
  <c r="AU47" i="2"/>
  <c r="AU29" i="2"/>
  <c r="L331" i="4"/>
  <c r="J331" i="4"/>
  <c r="L327" i="3"/>
  <c r="J327" i="3"/>
  <c r="K317" i="5"/>
  <c r="F317" i="5"/>
  <c r="K318" i="5"/>
  <c r="I318" i="5"/>
  <c r="J317" i="5"/>
  <c r="I317" i="5"/>
  <c r="G318" i="5"/>
  <c r="J318" i="5"/>
  <c r="E318" i="5"/>
  <c r="H318" i="5"/>
  <c r="E317" i="5"/>
  <c r="F318" i="5"/>
  <c r="G317" i="5"/>
  <c r="H317" i="5"/>
  <c r="S18" i="1" l="1"/>
  <c r="S20" i="1"/>
  <c r="S17" i="1"/>
  <c r="S19" i="1"/>
  <c r="T14" i="1"/>
  <c r="T13" i="1"/>
  <c r="T16" i="1"/>
  <c r="T15" i="1"/>
  <c r="I15" i="1"/>
  <c r="H15" i="1"/>
  <c r="G15" i="1"/>
  <c r="F15" i="1"/>
  <c r="E15" i="1"/>
  <c r="D15" i="1"/>
  <c r="C15" i="1"/>
  <c r="T19" i="1" l="1"/>
  <c r="T17" i="1"/>
  <c r="T18" i="1"/>
  <c r="T20" i="1"/>
  <c r="U15" i="1"/>
  <c r="U14" i="1"/>
  <c r="U13" i="1"/>
  <c r="U16" i="1"/>
  <c r="E132" i="3"/>
  <c r="F132" i="3"/>
  <c r="G132" i="3"/>
  <c r="H132" i="3"/>
  <c r="I132" i="3"/>
  <c r="J132" i="3"/>
  <c r="U19" i="1" l="1"/>
  <c r="U17" i="1"/>
  <c r="U20" i="1"/>
  <c r="U18" i="1"/>
  <c r="V16" i="1"/>
  <c r="V15" i="1"/>
  <c r="V14" i="1"/>
  <c r="V13" i="1"/>
  <c r="E170" i="3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V20" i="1" l="1"/>
  <c r="V18" i="1"/>
  <c r="V19" i="1"/>
  <c r="V17" i="1"/>
  <c r="W13" i="1"/>
  <c r="W16" i="1"/>
  <c r="W15" i="1"/>
  <c r="W14" i="1"/>
  <c r="J135" i="4"/>
  <c r="J134" i="4" s="1"/>
  <c r="J132" i="4" s="1"/>
  <c r="W18" i="1" l="1"/>
  <c r="W20" i="1"/>
  <c r="W17" i="1"/>
  <c r="W19" i="1"/>
  <c r="X14" i="1"/>
  <c r="X13" i="1"/>
  <c r="X16" i="1"/>
  <c r="X15" i="1"/>
  <c r="E151" i="4"/>
  <c r="F151" i="4"/>
  <c r="G151" i="4"/>
  <c r="H151" i="4"/>
  <c r="I151" i="4"/>
  <c r="J151" i="4"/>
  <c r="X17" i="1" l="1"/>
  <c r="X19" i="1"/>
  <c r="X18" i="1"/>
  <c r="X20" i="1"/>
  <c r="Y15" i="1"/>
  <c r="Y14" i="1"/>
  <c r="Y13" i="1"/>
  <c r="Y16" i="1"/>
  <c r="K172" i="4"/>
  <c r="Y19" i="1" l="1"/>
  <c r="Y17" i="1"/>
  <c r="Y18" i="1"/>
  <c r="Y20" i="1"/>
  <c r="Z16" i="1"/>
  <c r="Z15" i="1"/>
  <c r="Z14" i="1"/>
  <c r="Z13" i="1"/>
  <c r="E190" i="4"/>
  <c r="F190" i="4"/>
  <c r="G190" i="4"/>
  <c r="H190" i="4"/>
  <c r="I190" i="4"/>
  <c r="J190" i="4"/>
  <c r="Z18" i="1" l="1"/>
  <c r="Z20" i="1"/>
  <c r="Z19" i="1"/>
  <c r="Z17" i="1"/>
  <c r="AA13" i="1"/>
  <c r="AA16" i="1"/>
  <c r="AA15" i="1"/>
  <c r="AA14" i="1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AA20" i="1" l="1"/>
  <c r="AA18" i="1"/>
  <c r="AA17" i="1"/>
  <c r="AA19" i="1"/>
  <c r="AB14" i="1"/>
  <c r="AB13" i="1"/>
  <c r="AB16" i="1"/>
  <c r="AB15" i="1"/>
  <c r="G125" i="5"/>
  <c r="J125" i="5"/>
  <c r="F125" i="5"/>
  <c r="I125" i="5"/>
  <c r="H125" i="5"/>
  <c r="E125" i="5"/>
  <c r="AB17" i="1" l="1"/>
  <c r="AB19" i="1"/>
  <c r="AB18" i="1"/>
  <c r="AB20" i="1"/>
  <c r="AC15" i="1"/>
  <c r="AC14" i="1"/>
  <c r="AC13" i="1"/>
  <c r="AC16" i="1"/>
  <c r="C6" i="5"/>
  <c r="C6" i="4"/>
  <c r="G74" i="4"/>
  <c r="F122" i="4"/>
  <c r="K43" i="4"/>
  <c r="F136" i="4"/>
  <c r="G270" i="4"/>
  <c r="J70" i="4"/>
  <c r="H12" i="4"/>
  <c r="C6" i="3"/>
  <c r="I79" i="3"/>
  <c r="J231" i="3"/>
  <c r="I60" i="3"/>
  <c r="J248" i="3"/>
  <c r="I283" i="3"/>
  <c r="E290" i="3"/>
  <c r="G40" i="3"/>
  <c r="F85" i="3"/>
  <c r="K122" i="3"/>
  <c r="K33" i="3"/>
  <c r="I288" i="3"/>
  <c r="F59" i="3"/>
  <c r="H14" i="3"/>
  <c r="I108" i="3"/>
  <c r="J17" i="3"/>
  <c r="F102" i="3"/>
  <c r="E257" i="3"/>
  <c r="J55" i="3"/>
  <c r="E123" i="3"/>
  <c r="E98" i="3"/>
  <c r="E14" i="3"/>
  <c r="I28" i="3"/>
  <c r="F48" i="3"/>
  <c r="F17" i="3"/>
  <c r="I83" i="3"/>
  <c r="H84" i="3"/>
  <c r="G288" i="3"/>
  <c r="I44" i="3"/>
  <c r="J260" i="3"/>
  <c r="F260" i="3"/>
  <c r="I41" i="3"/>
  <c r="F212" i="3"/>
  <c r="H291" i="3"/>
  <c r="K41" i="3"/>
  <c r="G82" i="3"/>
  <c r="H77" i="3"/>
  <c r="G43" i="3"/>
  <c r="K11" i="3"/>
  <c r="E280" i="3"/>
  <c r="F51" i="3"/>
  <c r="G45" i="3"/>
  <c r="F27" i="3"/>
  <c r="K21" i="3"/>
  <c r="E48" i="3"/>
  <c r="E277" i="3"/>
  <c r="I34" i="3"/>
  <c r="H74" i="3"/>
  <c r="G280" i="3"/>
  <c r="J19" i="3"/>
  <c r="G255" i="3"/>
  <c r="E259" i="3"/>
  <c r="H120" i="3"/>
  <c r="H99" i="3"/>
  <c r="G98" i="3"/>
  <c r="I70" i="3"/>
  <c r="E37" i="3"/>
  <c r="F16" i="3"/>
  <c r="G33" i="3"/>
  <c r="G12" i="3"/>
  <c r="H288" i="3"/>
  <c r="I84" i="3"/>
  <c r="H78" i="3"/>
  <c r="H33" i="3"/>
  <c r="F256" i="3"/>
  <c r="H23" i="3"/>
  <c r="E33" i="3"/>
  <c r="H13" i="3"/>
  <c r="I94" i="3"/>
  <c r="J25" i="3"/>
  <c r="F109" i="3"/>
  <c r="K56" i="3"/>
  <c r="K158" i="3"/>
  <c r="I257" i="3"/>
  <c r="H70" i="3"/>
  <c r="E10" i="3"/>
  <c r="J74" i="3"/>
  <c r="E46" i="3"/>
  <c r="F21" i="3"/>
  <c r="E34" i="3"/>
  <c r="J14" i="3"/>
  <c r="F283" i="3"/>
  <c r="H26" i="3"/>
  <c r="H45" i="3"/>
  <c r="F280" i="3"/>
  <c r="H15" i="3"/>
  <c r="F300" i="3"/>
  <c r="F257" i="3"/>
  <c r="H110" i="3"/>
  <c r="G99" i="3"/>
  <c r="G89" i="3"/>
  <c r="G52" i="3"/>
  <c r="I26" i="3"/>
  <c r="J42" i="3"/>
  <c r="E51" i="3"/>
  <c r="G58" i="3"/>
  <c r="I255" i="3"/>
  <c r="J295" i="3"/>
  <c r="J195" i="4"/>
  <c r="I74" i="3"/>
  <c r="E78" i="4"/>
  <c r="G276" i="4"/>
  <c r="K152" i="4"/>
  <c r="E20" i="4"/>
  <c r="J59" i="3"/>
  <c r="J38" i="3"/>
  <c r="J37" i="3"/>
  <c r="G38" i="3"/>
  <c r="K78" i="3"/>
  <c r="J15" i="3"/>
  <c r="F96" i="3"/>
  <c r="K84" i="4"/>
  <c r="K108" i="3"/>
  <c r="G296" i="4"/>
  <c r="E24" i="4"/>
  <c r="H27" i="3"/>
  <c r="J85" i="3"/>
  <c r="I110" i="3"/>
  <c r="I98" i="4"/>
  <c r="K103" i="3"/>
  <c r="H277" i="4"/>
  <c r="I276" i="3"/>
  <c r="F20" i="4"/>
  <c r="E54" i="4"/>
  <c r="K290" i="3"/>
  <c r="H122" i="3"/>
  <c r="H158" i="4"/>
  <c r="H35" i="4"/>
  <c r="J90" i="3"/>
  <c r="K256" i="4"/>
  <c r="H137" i="4"/>
  <c r="I33" i="4"/>
  <c r="I98" i="3"/>
  <c r="H35" i="3"/>
  <c r="I276" i="4"/>
  <c r="G89" i="4"/>
  <c r="K59" i="3"/>
  <c r="F82" i="4"/>
  <c r="K155" i="3"/>
  <c r="H102" i="4"/>
  <c r="G30" i="4"/>
  <c r="G83" i="4"/>
  <c r="G136" i="4"/>
  <c r="H260" i="3"/>
  <c r="E82" i="4"/>
  <c r="F56" i="4"/>
  <c r="G158" i="4"/>
  <c r="E281" i="4"/>
  <c r="E15" i="4"/>
  <c r="J27" i="4"/>
  <c r="G156" i="4"/>
  <c r="E119" i="3"/>
  <c r="G84" i="3"/>
  <c r="E12" i="3"/>
  <c r="I56" i="3"/>
  <c r="E25" i="3"/>
  <c r="H254" i="3"/>
  <c r="K89" i="3"/>
  <c r="J26" i="3"/>
  <c r="J12" i="3"/>
  <c r="J277" i="3"/>
  <c r="E59" i="3"/>
  <c r="H10" i="4"/>
  <c r="J13" i="3"/>
  <c r="I254" i="3"/>
  <c r="J11" i="3"/>
  <c r="G259" i="3"/>
  <c r="F276" i="3"/>
  <c r="G254" i="4"/>
  <c r="K15" i="4"/>
  <c r="J109" i="4"/>
  <c r="G56" i="4"/>
  <c r="I259" i="4"/>
  <c r="E45" i="4"/>
  <c r="G15" i="4"/>
  <c r="E278" i="4"/>
  <c r="K73" i="4"/>
  <c r="E92" i="3"/>
  <c r="F281" i="3"/>
  <c r="E231" i="4"/>
  <c r="F108" i="4"/>
  <c r="H176" i="4"/>
  <c r="K155" i="4"/>
  <c r="K83" i="3"/>
  <c r="I10" i="3"/>
  <c r="E79" i="3"/>
  <c r="F265" i="4"/>
  <c r="F123" i="3"/>
  <c r="G280" i="4"/>
  <c r="F84" i="4"/>
  <c r="I15" i="4"/>
  <c r="E19" i="4"/>
  <c r="H119" i="4"/>
  <c r="F19" i="4"/>
  <c r="F124" i="4"/>
  <c r="H33" i="4"/>
  <c r="H98" i="3"/>
  <c r="K18" i="3"/>
  <c r="H12" i="3"/>
  <c r="F279" i="3"/>
  <c r="J77" i="3"/>
  <c r="K98" i="3"/>
  <c r="F92" i="3"/>
  <c r="F25" i="3"/>
  <c r="K92" i="3"/>
  <c r="G13" i="3"/>
  <c r="G276" i="3"/>
  <c r="G36" i="3"/>
  <c r="F35" i="3"/>
  <c r="I291" i="4"/>
  <c r="F69" i="3"/>
  <c r="F276" i="4"/>
  <c r="H300" i="3"/>
  <c r="I19" i="4"/>
  <c r="K82" i="4"/>
  <c r="H41" i="4"/>
  <c r="I300" i="4"/>
  <c r="J122" i="4"/>
  <c r="F159" i="4"/>
  <c r="G48" i="4"/>
  <c r="I46" i="3"/>
  <c r="H25" i="3"/>
  <c r="F77" i="3"/>
  <c r="G28" i="3"/>
  <c r="F10" i="3"/>
  <c r="G30" i="3"/>
  <c r="F79" i="3"/>
  <c r="H288" i="4"/>
  <c r="K77" i="4"/>
  <c r="H59" i="4"/>
  <c r="K94" i="4"/>
  <c r="F77" i="4"/>
  <c r="I16" i="4"/>
  <c r="K99" i="4"/>
  <c r="K94" i="3"/>
  <c r="K79" i="3"/>
  <c r="E124" i="3"/>
  <c r="K123" i="3"/>
  <c r="G92" i="4"/>
  <c r="H108" i="4"/>
  <c r="E94" i="3"/>
  <c r="G295" i="3"/>
  <c r="K51" i="3"/>
  <c r="G21" i="4"/>
  <c r="J16" i="4"/>
  <c r="G54" i="4"/>
  <c r="J94" i="4"/>
  <c r="J17" i="4"/>
  <c r="E77" i="4"/>
  <c r="F109" i="4"/>
  <c r="E28" i="4"/>
  <c r="K30" i="3"/>
  <c r="F41" i="3"/>
  <c r="F291" i="3"/>
  <c r="F13" i="3"/>
  <c r="I278" i="3"/>
  <c r="I279" i="3"/>
  <c r="I133" i="4"/>
  <c r="F35" i="4"/>
  <c r="J278" i="3"/>
  <c r="I103" i="3"/>
  <c r="K74" i="3"/>
  <c r="J33" i="4"/>
  <c r="E300" i="4"/>
  <c r="I152" i="4"/>
  <c r="G281" i="3"/>
  <c r="I111" i="3"/>
  <c r="K281" i="3"/>
  <c r="E43" i="3"/>
  <c r="I25" i="3"/>
  <c r="H119" i="3"/>
  <c r="G260" i="3"/>
  <c r="J57" i="3"/>
  <c r="J84" i="3"/>
  <c r="I248" i="3"/>
  <c r="G83" i="3"/>
  <c r="K110" i="3"/>
  <c r="H36" i="3"/>
  <c r="J258" i="4"/>
  <c r="H155" i="4"/>
  <c r="E195" i="4"/>
  <c r="G57" i="4"/>
  <c r="I110" i="4"/>
  <c r="E176" i="4"/>
  <c r="F85" i="4"/>
  <c r="K60" i="4"/>
  <c r="J23" i="4"/>
  <c r="F296" i="4"/>
  <c r="I92" i="4"/>
  <c r="K259" i="4"/>
  <c r="J256" i="4"/>
  <c r="H159" i="4"/>
  <c r="E74" i="4"/>
  <c r="J21" i="4"/>
  <c r="G289" i="4"/>
  <c r="I13" i="4"/>
  <c r="G281" i="4"/>
  <c r="K92" i="4"/>
  <c r="F256" i="4"/>
  <c r="J133" i="4"/>
  <c r="E122" i="3"/>
  <c r="G14" i="4"/>
  <c r="F57" i="4"/>
  <c r="I52" i="3"/>
  <c r="F296" i="3"/>
  <c r="G257" i="3"/>
  <c r="K279" i="4"/>
  <c r="K10" i="4"/>
  <c r="J280" i="3"/>
  <c r="G231" i="3"/>
  <c r="G119" i="3"/>
  <c r="F277" i="4"/>
  <c r="E27" i="3"/>
  <c r="F24" i="3"/>
  <c r="H34" i="3"/>
  <c r="H156" i="4"/>
  <c r="G27" i="4"/>
  <c r="I124" i="4"/>
  <c r="F295" i="4"/>
  <c r="H195" i="4"/>
  <c r="I77" i="4"/>
  <c r="F43" i="4"/>
  <c r="K48" i="3"/>
  <c r="E278" i="3"/>
  <c r="E276" i="3"/>
  <c r="G290" i="3"/>
  <c r="F34" i="3"/>
  <c r="F89" i="3"/>
  <c r="F73" i="3"/>
  <c r="E119" i="4"/>
  <c r="H295" i="3"/>
  <c r="K276" i="3"/>
  <c r="E84" i="3"/>
  <c r="K38" i="3"/>
  <c r="F92" i="4"/>
  <c r="G124" i="4"/>
  <c r="E290" i="4"/>
  <c r="H38" i="3"/>
  <c r="H21" i="3"/>
  <c r="G54" i="3"/>
  <c r="J102" i="4"/>
  <c r="F70" i="4"/>
  <c r="E124" i="4"/>
  <c r="F23" i="3"/>
  <c r="F258" i="4"/>
  <c r="I295" i="4"/>
  <c r="J291" i="4"/>
  <c r="E289" i="3"/>
  <c r="F175" i="4"/>
  <c r="F119" i="3"/>
  <c r="H57" i="4"/>
  <c r="E110" i="4"/>
  <c r="H276" i="3"/>
  <c r="F10" i="4"/>
  <c r="F258" i="3"/>
  <c r="J74" i="4"/>
  <c r="H55" i="3"/>
  <c r="F79" i="4"/>
  <c r="J160" i="4"/>
  <c r="H15" i="4"/>
  <c r="F60" i="4"/>
  <c r="H83" i="4"/>
  <c r="H259" i="4"/>
  <c r="K35" i="4"/>
  <c r="I122" i="4"/>
  <c r="J89" i="4"/>
  <c r="H90" i="3"/>
  <c r="K254" i="3"/>
  <c r="E26" i="3"/>
  <c r="E74" i="3"/>
  <c r="I37" i="3"/>
  <c r="J119" i="3"/>
  <c r="J108" i="3"/>
  <c r="J99" i="4"/>
  <c r="J300" i="3"/>
  <c r="K84" i="3"/>
  <c r="J58" i="4"/>
  <c r="J34" i="4"/>
  <c r="H123" i="3"/>
  <c r="E255" i="3"/>
  <c r="F52" i="3"/>
  <c r="K108" i="4"/>
  <c r="I69" i="3"/>
  <c r="J51" i="3"/>
  <c r="K27" i="4"/>
  <c r="I30" i="4"/>
  <c r="G111" i="4"/>
  <c r="K277" i="4"/>
  <c r="E27" i="4"/>
  <c r="E122" i="4"/>
  <c r="H54" i="4"/>
  <c r="J23" i="3"/>
  <c r="F12" i="3"/>
  <c r="E283" i="3"/>
  <c r="E231" i="3"/>
  <c r="E103" i="3"/>
  <c r="I120" i="3"/>
  <c r="H69" i="3"/>
  <c r="J69" i="3"/>
  <c r="F120" i="3"/>
  <c r="J60" i="3"/>
  <c r="I84" i="4"/>
  <c r="I159" i="4"/>
  <c r="E155" i="4"/>
  <c r="H290" i="3"/>
  <c r="G20" i="3"/>
  <c r="H296" i="4"/>
  <c r="H27" i="4"/>
  <c r="J288" i="3"/>
  <c r="G197" i="4"/>
  <c r="E89" i="3"/>
  <c r="J96" i="3"/>
  <c r="G38" i="4"/>
  <c r="K111" i="3"/>
  <c r="H69" i="4"/>
  <c r="E90" i="4"/>
  <c r="H85" i="4"/>
  <c r="E255" i="4"/>
  <c r="G25" i="4"/>
  <c r="G28" i="4"/>
  <c r="J108" i="4"/>
  <c r="E41" i="3"/>
  <c r="E28" i="3"/>
  <c r="J99" i="3"/>
  <c r="I78" i="3"/>
  <c r="H54" i="3"/>
  <c r="F84" i="3"/>
  <c r="H52" i="3"/>
  <c r="K124" i="3"/>
  <c r="G290" i="4"/>
  <c r="J92" i="4"/>
  <c r="K12" i="4"/>
  <c r="I83" i="4"/>
  <c r="E34" i="4"/>
  <c r="K138" i="4"/>
  <c r="G53" i="3"/>
  <c r="H108" i="3"/>
  <c r="J110" i="3"/>
  <c r="I33" i="3"/>
  <c r="K34" i="3"/>
  <c r="K136" i="3"/>
  <c r="J257" i="3"/>
  <c r="J291" i="3"/>
  <c r="I277" i="3"/>
  <c r="H37" i="3"/>
  <c r="E256" i="3"/>
  <c r="J43" i="3"/>
  <c r="H10" i="3"/>
  <c r="E73" i="3"/>
  <c r="H34" i="4"/>
  <c r="H152" i="4"/>
  <c r="K260" i="4"/>
  <c r="F37" i="4"/>
  <c r="F289" i="4"/>
  <c r="I40" i="4"/>
  <c r="I270" i="4"/>
  <c r="G58" i="4"/>
  <c r="J45" i="4"/>
  <c r="H74" i="4"/>
  <c r="K25" i="4"/>
  <c r="G18" i="4"/>
  <c r="G258" i="4"/>
  <c r="F259" i="4"/>
  <c r="G19" i="4"/>
  <c r="J90" i="4"/>
  <c r="H89" i="4"/>
  <c r="F155" i="4"/>
  <c r="I24" i="4"/>
  <c r="E37" i="4"/>
  <c r="J231" i="4"/>
  <c r="J283" i="4"/>
  <c r="J25" i="4"/>
  <c r="E99" i="3"/>
  <c r="J296" i="3"/>
  <c r="I30" i="3"/>
  <c r="F20" i="3"/>
  <c r="I54" i="3"/>
  <c r="G73" i="4"/>
  <c r="I194" i="4"/>
  <c r="E23" i="3"/>
  <c r="F16" i="4"/>
  <c r="K45" i="3"/>
  <c r="E277" i="4"/>
  <c r="H44" i="3"/>
  <c r="H18" i="4"/>
  <c r="J290" i="4"/>
  <c r="G17" i="4"/>
  <c r="F36" i="3"/>
  <c r="F26" i="3"/>
  <c r="E254" i="3"/>
  <c r="G15" i="3"/>
  <c r="E256" i="4"/>
  <c r="K136" i="4"/>
  <c r="F21" i="4"/>
  <c r="J51" i="4"/>
  <c r="K102" i="3"/>
  <c r="H56" i="3"/>
  <c r="E60" i="3"/>
  <c r="J45" i="3"/>
  <c r="E279" i="3"/>
  <c r="J48" i="3"/>
  <c r="J288" i="4"/>
  <c r="H84" i="4"/>
  <c r="F59" i="4"/>
  <c r="G152" i="4"/>
  <c r="I38" i="4"/>
  <c r="H281" i="4"/>
  <c r="J83" i="4"/>
  <c r="K28" i="4"/>
  <c r="G159" i="4"/>
  <c r="K69" i="4"/>
  <c r="I51" i="4"/>
  <c r="K300" i="4"/>
  <c r="K17" i="4"/>
  <c r="I79" i="4"/>
  <c r="E257" i="4"/>
  <c r="I73" i="4"/>
  <c r="J48" i="4"/>
  <c r="H260" i="4"/>
  <c r="H36" i="4"/>
  <c r="F15" i="4"/>
  <c r="E99" i="4"/>
  <c r="H276" i="4"/>
  <c r="H136" i="4"/>
  <c r="J69" i="4"/>
  <c r="H175" i="4"/>
  <c r="H290" i="4"/>
  <c r="F38" i="4"/>
  <c r="G77" i="4"/>
  <c r="G279" i="4"/>
  <c r="H48" i="4"/>
  <c r="J197" i="4"/>
  <c r="I57" i="4"/>
  <c r="J78" i="4"/>
  <c r="I265" i="4"/>
  <c r="I271" i="4"/>
  <c r="E16" i="4"/>
  <c r="F40" i="4"/>
  <c r="I36" i="4"/>
  <c r="I69" i="4"/>
  <c r="I260" i="4"/>
  <c r="J281" i="4"/>
  <c r="F281" i="4"/>
  <c r="E76" i="4"/>
  <c r="I12" i="4"/>
  <c r="G198" i="4"/>
  <c r="E198" i="4"/>
  <c r="F278" i="4"/>
  <c r="K258" i="4"/>
  <c r="F160" i="4"/>
  <c r="I42" i="4"/>
  <c r="H255" i="4"/>
  <c r="J56" i="4"/>
  <c r="K103" i="4"/>
  <c r="F25" i="4"/>
  <c r="J103" i="4"/>
  <c r="H248" i="4"/>
  <c r="J159" i="4"/>
  <c r="H40" i="4"/>
  <c r="I138" i="4"/>
  <c r="H14" i="4"/>
  <c r="H19" i="4"/>
  <c r="I283" i="4"/>
  <c r="H256" i="4"/>
  <c r="F300" i="4"/>
  <c r="J82" i="4"/>
  <c r="G283" i="4"/>
  <c r="J156" i="4"/>
  <c r="G35" i="4"/>
  <c r="E42" i="4"/>
  <c r="I21" i="4"/>
  <c r="F291" i="4"/>
  <c r="F197" i="4"/>
  <c r="K83" i="4"/>
  <c r="F111" i="4"/>
  <c r="H43" i="4"/>
  <c r="K79" i="4"/>
  <c r="J76" i="4"/>
  <c r="I103" i="4"/>
  <c r="E280" i="4"/>
  <c r="K18" i="4"/>
  <c r="E38" i="4"/>
  <c r="E175" i="4"/>
  <c r="H11" i="4"/>
  <c r="G108" i="4"/>
  <c r="K26" i="4"/>
  <c r="H77" i="4"/>
  <c r="K53" i="4"/>
  <c r="I23" i="4"/>
  <c r="G42" i="4"/>
  <c r="F73" i="4"/>
  <c r="I43" i="3"/>
  <c r="H296" i="3"/>
  <c r="E42" i="3"/>
  <c r="F40" i="3"/>
  <c r="G288" i="4"/>
  <c r="H20" i="4"/>
  <c r="G51" i="4"/>
  <c r="I296" i="3"/>
  <c r="G41" i="3"/>
  <c r="J123" i="4"/>
  <c r="F45" i="3"/>
  <c r="F19" i="3"/>
  <c r="I17" i="4"/>
  <c r="E197" i="4"/>
  <c r="H76" i="4"/>
  <c r="E40" i="3"/>
  <c r="G10" i="3"/>
  <c r="J35" i="3"/>
  <c r="I76" i="3"/>
  <c r="I290" i="3"/>
  <c r="E53" i="3"/>
  <c r="F279" i="4"/>
  <c r="F248" i="3"/>
  <c r="K82" i="3"/>
  <c r="I291" i="3"/>
  <c r="J54" i="3"/>
  <c r="K156" i="3"/>
  <c r="H103" i="3"/>
  <c r="H51" i="3"/>
  <c r="I94" i="4"/>
  <c r="H197" i="4"/>
  <c r="E108" i="4"/>
  <c r="H194" i="4"/>
  <c r="I20" i="4"/>
  <c r="F13" i="4"/>
  <c r="J176" i="4"/>
  <c r="J120" i="4"/>
  <c r="G43" i="4"/>
  <c r="I255" i="4"/>
  <c r="K98" i="4"/>
  <c r="I195" i="4"/>
  <c r="J255" i="4"/>
  <c r="F102" i="4"/>
  <c r="F33" i="4"/>
  <c r="F283" i="4"/>
  <c r="K278" i="4"/>
  <c r="H30" i="4"/>
  <c r="F257" i="4"/>
  <c r="J26" i="4"/>
  <c r="J98" i="4"/>
  <c r="E212" i="4"/>
  <c r="K290" i="4"/>
  <c r="F51" i="4"/>
  <c r="G271" i="4"/>
  <c r="K283" i="4"/>
  <c r="K288" i="4"/>
  <c r="F176" i="4"/>
  <c r="H103" i="4"/>
  <c r="F46" i="4"/>
  <c r="G123" i="4"/>
  <c r="H24" i="4"/>
  <c r="F271" i="4"/>
  <c r="H257" i="4"/>
  <c r="I288" i="4"/>
  <c r="H70" i="4"/>
  <c r="I55" i="4"/>
  <c r="I258" i="4"/>
  <c r="J10" i="4"/>
  <c r="I74" i="4"/>
  <c r="K74" i="4"/>
  <c r="I35" i="4"/>
  <c r="H295" i="4"/>
  <c r="G78" i="4"/>
  <c r="I119" i="4"/>
  <c r="K70" i="4"/>
  <c r="J30" i="4"/>
  <c r="K254" i="4"/>
  <c r="E289" i="4"/>
  <c r="H38" i="4"/>
  <c r="J280" i="4"/>
  <c r="G119" i="4"/>
  <c r="H278" i="4"/>
  <c r="K289" i="4"/>
  <c r="E158" i="4"/>
  <c r="J124" i="4"/>
  <c r="E33" i="4"/>
  <c r="E13" i="4"/>
  <c r="I28" i="4"/>
  <c r="J295" i="4"/>
  <c r="I56" i="4"/>
  <c r="G82" i="4"/>
  <c r="F11" i="4"/>
  <c r="G41" i="4"/>
  <c r="J110" i="4"/>
  <c r="F58" i="4"/>
  <c r="E138" i="4"/>
  <c r="I60" i="4"/>
  <c r="E133" i="4"/>
  <c r="F158" i="4"/>
  <c r="H98" i="4"/>
  <c r="I231" i="4"/>
  <c r="I11" i="4"/>
  <c r="J79" i="4"/>
  <c r="G10" i="4"/>
  <c r="J260" i="4"/>
  <c r="E35" i="4"/>
  <c r="E57" i="4"/>
  <c r="G278" i="4"/>
  <c r="J175" i="4"/>
  <c r="I289" i="4"/>
  <c r="H58" i="4"/>
  <c r="F55" i="4"/>
  <c r="H17" i="4"/>
  <c r="E41" i="4"/>
  <c r="E26" i="4"/>
  <c r="E160" i="4"/>
  <c r="K159" i="4"/>
  <c r="G45" i="4"/>
  <c r="I257" i="4"/>
  <c r="E89" i="4"/>
  <c r="E248" i="4"/>
  <c r="H124" i="4"/>
  <c r="K124" i="4"/>
  <c r="E137" i="4"/>
  <c r="I254" i="4"/>
  <c r="K48" i="4"/>
  <c r="G76" i="4"/>
  <c r="I197" i="4"/>
  <c r="F110" i="4"/>
  <c r="G120" i="4"/>
  <c r="E12" i="4"/>
  <c r="K122" i="4"/>
  <c r="H122" i="4"/>
  <c r="K51" i="4"/>
  <c r="E85" i="4"/>
  <c r="I120" i="4"/>
  <c r="J158" i="4"/>
  <c r="F12" i="4"/>
  <c r="K281" i="4"/>
  <c r="J37" i="4"/>
  <c r="H270" i="4"/>
  <c r="H110" i="4"/>
  <c r="E156" i="4"/>
  <c r="G259" i="4"/>
  <c r="F28" i="4"/>
  <c r="K20" i="4"/>
  <c r="H138" i="4"/>
  <c r="F123" i="4"/>
  <c r="E25" i="4"/>
  <c r="J41" i="4"/>
  <c r="K40" i="4"/>
  <c r="F194" i="4"/>
  <c r="K45" i="4"/>
  <c r="F42" i="4"/>
  <c r="J53" i="4"/>
  <c r="K36" i="4"/>
  <c r="K14" i="4"/>
  <c r="K56" i="4"/>
  <c r="F99" i="4"/>
  <c r="J248" i="4"/>
  <c r="F89" i="4"/>
  <c r="J12" i="4"/>
  <c r="I53" i="4"/>
  <c r="E58" i="4"/>
  <c r="J259" i="4"/>
  <c r="K133" i="4"/>
  <c r="F231" i="4"/>
  <c r="I175" i="4"/>
  <c r="E109" i="4"/>
  <c r="G12" i="4"/>
  <c r="H198" i="4"/>
  <c r="H254" i="4"/>
  <c r="E111" i="4"/>
  <c r="F78" i="4"/>
  <c r="H109" i="4"/>
  <c r="F54" i="4"/>
  <c r="F94" i="4"/>
  <c r="J257" i="4"/>
  <c r="H271" i="4"/>
  <c r="E21" i="4"/>
  <c r="G79" i="4"/>
  <c r="E194" i="4"/>
  <c r="G34" i="4"/>
  <c r="E69" i="4"/>
  <c r="K42" i="4"/>
  <c r="E46" i="4"/>
  <c r="G155" i="4"/>
  <c r="I25" i="4"/>
  <c r="H82" i="4"/>
  <c r="I34" i="4"/>
  <c r="J77" i="4"/>
  <c r="E56" i="4"/>
  <c r="E120" i="4"/>
  <c r="J60" i="4"/>
  <c r="F133" i="4"/>
  <c r="F14" i="4"/>
  <c r="G296" i="3"/>
  <c r="G123" i="3"/>
  <c r="H76" i="3"/>
  <c r="K16" i="3"/>
  <c r="F90" i="4"/>
  <c r="E79" i="4"/>
  <c r="K109" i="4"/>
  <c r="H89" i="3"/>
  <c r="G17" i="3"/>
  <c r="I231" i="3"/>
  <c r="F74" i="3"/>
  <c r="F26" i="4"/>
  <c r="I41" i="4"/>
  <c r="E10" i="4"/>
  <c r="G13" i="4"/>
  <c r="J40" i="3"/>
  <c r="J58" i="3"/>
  <c r="J36" i="3"/>
  <c r="H82" i="3"/>
  <c r="G57" i="3"/>
  <c r="H265" i="4"/>
  <c r="K11" i="4"/>
  <c r="K53" i="3"/>
  <c r="K90" i="3"/>
  <c r="G120" i="3"/>
  <c r="J34" i="3"/>
  <c r="K42" i="3"/>
  <c r="E248" i="3"/>
  <c r="J281" i="3"/>
  <c r="H73" i="4"/>
  <c r="E123" i="4"/>
  <c r="F174" i="4"/>
  <c r="G291" i="4"/>
  <c r="E14" i="4"/>
  <c r="H46" i="4"/>
  <c r="I111" i="4"/>
  <c r="G90" i="4"/>
  <c r="I256" i="4"/>
  <c r="H94" i="4"/>
  <c r="F152" i="4"/>
  <c r="I176" i="4"/>
  <c r="J19" i="4"/>
  <c r="I278" i="4"/>
  <c r="F23" i="4"/>
  <c r="I54" i="4"/>
  <c r="I82" i="4"/>
  <c r="F260" i="4"/>
  <c r="G194" i="4"/>
  <c r="I136" i="4"/>
  <c r="E258" i="4"/>
  <c r="K160" i="4"/>
  <c r="G138" i="4"/>
  <c r="E291" i="4"/>
  <c r="K123" i="4"/>
  <c r="H56" i="4"/>
  <c r="G133" i="4"/>
  <c r="J289" i="4"/>
  <c r="H42" i="4"/>
  <c r="K257" i="4"/>
  <c r="G137" i="4"/>
  <c r="J38" i="4"/>
  <c r="K58" i="4"/>
  <c r="J84" i="4"/>
  <c r="G260" i="4"/>
  <c r="J28" i="4"/>
  <c r="G99" i="4"/>
  <c r="E23" i="4"/>
  <c r="I108" i="4"/>
  <c r="E17" i="4"/>
  <c r="I280" i="4"/>
  <c r="I76" i="4"/>
  <c r="E84" i="4"/>
  <c r="E136" i="4"/>
  <c r="K137" i="4"/>
  <c r="G295" i="4"/>
  <c r="F198" i="4"/>
  <c r="G212" i="4"/>
  <c r="H16" i="4"/>
  <c r="I137" i="4"/>
  <c r="G26" i="4"/>
  <c r="G70" i="4"/>
  <c r="F18" i="4"/>
  <c r="J265" i="4"/>
  <c r="K110" i="4"/>
  <c r="F119" i="4"/>
  <c r="J270" i="4"/>
  <c r="F17" i="4"/>
  <c r="K280" i="4"/>
  <c r="F137" i="4"/>
  <c r="I156" i="4"/>
  <c r="J73" i="4"/>
  <c r="G110" i="4"/>
  <c r="J18" i="4"/>
  <c r="I14" i="4"/>
  <c r="J152" i="4"/>
  <c r="I37" i="4"/>
  <c r="H51" i="4"/>
  <c r="F248" i="4"/>
  <c r="K33" i="4"/>
  <c r="H174" i="4"/>
  <c r="J300" i="4"/>
  <c r="G231" i="4"/>
  <c r="I59" i="4"/>
  <c r="H26" i="4"/>
  <c r="E73" i="4"/>
  <c r="I281" i="4"/>
  <c r="H289" i="4"/>
  <c r="J24" i="4"/>
  <c r="E98" i="4"/>
  <c r="G257" i="4"/>
  <c r="G255" i="4"/>
  <c r="G98" i="4"/>
  <c r="F74" i="4"/>
  <c r="J119" i="4"/>
  <c r="H79" i="4"/>
  <c r="G20" i="4"/>
  <c r="I158" i="4"/>
  <c r="J258" i="3"/>
  <c r="H278" i="3"/>
  <c r="K44" i="3"/>
  <c r="J279" i="4"/>
  <c r="K137" i="3"/>
  <c r="E283" i="4"/>
  <c r="K120" i="3"/>
  <c r="G103" i="3"/>
  <c r="G44" i="3"/>
  <c r="J59" i="4"/>
  <c r="G60" i="3"/>
  <c r="K41" i="4"/>
  <c r="F53" i="4"/>
  <c r="I46" i="4"/>
  <c r="I90" i="4"/>
  <c r="F11" i="3"/>
  <c r="F295" i="3"/>
  <c r="K138" i="3"/>
  <c r="E152" i="4"/>
  <c r="J43" i="4"/>
  <c r="G59" i="4"/>
  <c r="H99" i="4"/>
  <c r="K69" i="3"/>
  <c r="J20" i="3"/>
  <c r="K76" i="3"/>
  <c r="E110" i="3"/>
  <c r="E11" i="3"/>
  <c r="H48" i="3"/>
  <c r="E270" i="4"/>
  <c r="J276" i="4"/>
  <c r="J55" i="4"/>
  <c r="I290" i="4"/>
  <c r="K46" i="4"/>
  <c r="F83" i="4"/>
  <c r="G265" i="4"/>
  <c r="J254" i="4"/>
  <c r="F255" i="4"/>
  <c r="E92" i="4"/>
  <c r="K76" i="4"/>
  <c r="E102" i="4"/>
  <c r="F288" i="4"/>
  <c r="H111" i="4"/>
  <c r="G102" i="4"/>
  <c r="F34" i="4"/>
  <c r="I277" i="4"/>
  <c r="H25" i="4"/>
  <c r="K37" i="4"/>
  <c r="E271" i="4"/>
  <c r="G36" i="4"/>
  <c r="H53" i="4"/>
  <c r="F45" i="4"/>
  <c r="I99" i="4"/>
  <c r="I45" i="4"/>
  <c r="G174" i="4"/>
  <c r="E265" i="4"/>
  <c r="J57" i="4"/>
  <c r="F98" i="4"/>
  <c r="K156" i="4"/>
  <c r="H300" i="4"/>
  <c r="E30" i="4"/>
  <c r="K90" i="4"/>
  <c r="H60" i="4"/>
  <c r="G11" i="4"/>
  <c r="G103" i="4"/>
  <c r="I26" i="4"/>
  <c r="I43" i="4"/>
  <c r="J40" i="4"/>
  <c r="H280" i="4"/>
  <c r="G55" i="4"/>
  <c r="K57" i="4"/>
  <c r="K54" i="4"/>
  <c r="I174" i="4"/>
  <c r="E254" i="4"/>
  <c r="G176" i="4"/>
  <c r="F120" i="4"/>
  <c r="K23" i="4"/>
  <c r="K55" i="4"/>
  <c r="J20" i="4"/>
  <c r="G109" i="4"/>
  <c r="K38" i="4"/>
  <c r="J198" i="4"/>
  <c r="I27" i="4"/>
  <c r="E288" i="4"/>
  <c r="G16" i="4"/>
  <c r="E48" i="4"/>
  <c r="E60" i="4"/>
  <c r="H21" i="4"/>
  <c r="I102" i="4"/>
  <c r="G300" i="4"/>
  <c r="F138" i="4"/>
  <c r="F254" i="4"/>
  <c r="J155" i="4"/>
  <c r="F212" i="4"/>
  <c r="K102" i="4"/>
  <c r="H231" i="4"/>
  <c r="I70" i="4"/>
  <c r="E70" i="4"/>
  <c r="F30" i="4"/>
  <c r="G94" i="4"/>
  <c r="K59" i="4"/>
  <c r="H279" i="4"/>
  <c r="K158" i="4"/>
  <c r="H258" i="4"/>
  <c r="J296" i="4"/>
  <c r="E53" i="4"/>
  <c r="J36" i="4"/>
  <c r="E40" i="4"/>
  <c r="K34" i="4"/>
  <c r="H133" i="4"/>
  <c r="F290" i="4"/>
  <c r="G122" i="4"/>
  <c r="H78" i="4"/>
  <c r="G53" i="4"/>
  <c r="E174" i="4"/>
  <c r="I89" i="4"/>
  <c r="K89" i="4"/>
  <c r="G85" i="4"/>
  <c r="E36" i="4"/>
  <c r="E55" i="4"/>
  <c r="F36" i="4"/>
  <c r="J277" i="4"/>
  <c r="H291" i="4"/>
  <c r="K120" i="4"/>
  <c r="J35" i="4"/>
  <c r="E260" i="4"/>
  <c r="H120" i="4"/>
  <c r="H283" i="4"/>
  <c r="K78" i="4"/>
  <c r="E59" i="4"/>
  <c r="G160" i="4"/>
  <c r="K19" i="4"/>
  <c r="J174" i="4"/>
  <c r="G37" i="4"/>
  <c r="J14" i="4"/>
  <c r="F156" i="4"/>
  <c r="G60" i="4"/>
  <c r="G69" i="4"/>
  <c r="I48" i="4"/>
  <c r="H37" i="4"/>
  <c r="K255" i="4"/>
  <c r="I78" i="4"/>
  <c r="J11" i="4"/>
  <c r="G277" i="4"/>
  <c r="K276" i="4"/>
  <c r="H28" i="4"/>
  <c r="G256" i="4"/>
  <c r="F27" i="4"/>
  <c r="F69" i="4"/>
  <c r="F41" i="4"/>
  <c r="J15" i="4"/>
  <c r="H13" i="4"/>
  <c r="G40" i="4"/>
  <c r="H55" i="4"/>
  <c r="K16" i="4"/>
  <c r="F270" i="4"/>
  <c r="F103" i="4"/>
  <c r="E259" i="4"/>
  <c r="G175" i="4"/>
  <c r="J42" i="4"/>
  <c r="K13" i="4"/>
  <c r="F24" i="4"/>
  <c r="E279" i="4"/>
  <c r="E83" i="4"/>
  <c r="J13" i="4"/>
  <c r="F195" i="4"/>
  <c r="K21" i="4"/>
  <c r="G24" i="4"/>
  <c r="J194" i="4"/>
  <c r="I296" i="4"/>
  <c r="E159" i="4"/>
  <c r="E18" i="4"/>
  <c r="I123" i="4"/>
  <c r="G195" i="4"/>
  <c r="G84" i="4"/>
  <c r="E11" i="4"/>
  <c r="I85" i="4"/>
  <c r="K85" i="4"/>
  <c r="J111" i="4"/>
  <c r="I248" i="4"/>
  <c r="I18" i="4"/>
  <c r="F76" i="4"/>
  <c r="G33" i="4"/>
  <c r="H90" i="4"/>
  <c r="I155" i="4"/>
  <c r="I109" i="4"/>
  <c r="J271" i="4"/>
  <c r="G46" i="4"/>
  <c r="K24" i="4"/>
  <c r="F280" i="4"/>
  <c r="E103" i="4"/>
  <c r="H23" i="4"/>
  <c r="F48" i="4"/>
  <c r="J46" i="4"/>
  <c r="I58" i="4"/>
  <c r="K119" i="4"/>
  <c r="H123" i="4"/>
  <c r="J54" i="4"/>
  <c r="E43" i="4"/>
  <c r="J278" i="4"/>
  <c r="G23" i="4"/>
  <c r="H45" i="4"/>
  <c r="E276" i="4"/>
  <c r="I198" i="4"/>
  <c r="K291" i="4"/>
  <c r="I279" i="4"/>
  <c r="H92" i="4"/>
  <c r="E94" i="4"/>
  <c r="K30" i="4"/>
  <c r="G248" i="4"/>
  <c r="E51" i="4"/>
  <c r="J85" i="4"/>
  <c r="I10" i="4"/>
  <c r="F255" i="3"/>
  <c r="E111" i="3"/>
  <c r="G23" i="3"/>
  <c r="F30" i="3"/>
  <c r="E20" i="3"/>
  <c r="I102" i="3"/>
  <c r="I20" i="3"/>
  <c r="H18" i="3"/>
  <c r="H60" i="3"/>
  <c r="H257" i="3"/>
  <c r="F70" i="3"/>
  <c r="I27" i="3"/>
  <c r="F277" i="3"/>
  <c r="F38" i="3"/>
  <c r="I89" i="3"/>
  <c r="I256" i="3"/>
  <c r="I123" i="3"/>
  <c r="I15" i="3"/>
  <c r="K160" i="3"/>
  <c r="K73" i="3"/>
  <c r="I57" i="3"/>
  <c r="K258" i="3"/>
  <c r="K46" i="3"/>
  <c r="F43" i="3"/>
  <c r="F18" i="3"/>
  <c r="K96" i="3"/>
  <c r="I23" i="3"/>
  <c r="F111" i="3"/>
  <c r="I59" i="3"/>
  <c r="G11" i="3"/>
  <c r="E281" i="3"/>
  <c r="I40" i="3"/>
  <c r="H102" i="3"/>
  <c r="K14" i="3"/>
  <c r="E288" i="3"/>
  <c r="E15" i="3"/>
  <c r="G48" i="3"/>
  <c r="E21" i="3"/>
  <c r="G102" i="3"/>
  <c r="G258" i="3"/>
  <c r="K277" i="3"/>
  <c r="F76" i="3"/>
  <c r="H259" i="3"/>
  <c r="G34" i="3"/>
  <c r="G14" i="3"/>
  <c r="H124" i="3"/>
  <c r="J16" i="3"/>
  <c r="G25" i="3"/>
  <c r="K77" i="3"/>
  <c r="J256" i="3"/>
  <c r="H17" i="3"/>
  <c r="H231" i="3"/>
  <c r="E90" i="3"/>
  <c r="K291" i="3"/>
  <c r="E19" i="3"/>
  <c r="G96" i="3"/>
  <c r="H73" i="3"/>
  <c r="E77" i="3"/>
  <c r="H248" i="3"/>
  <c r="G26" i="3"/>
  <c r="G300" i="3"/>
  <c r="I18" i="3"/>
  <c r="H19" i="3"/>
  <c r="J28" i="3"/>
  <c r="J52" i="3"/>
  <c r="E120" i="3"/>
  <c r="E45" i="3"/>
  <c r="J30" i="3"/>
  <c r="I24" i="3"/>
  <c r="I92" i="3"/>
  <c r="G56" i="3"/>
  <c r="F58" i="3"/>
  <c r="H256" i="3"/>
  <c r="K24" i="3"/>
  <c r="K27" i="3"/>
  <c r="K257" i="3"/>
  <c r="I42" i="3"/>
  <c r="H57" i="3"/>
  <c r="K288" i="3"/>
  <c r="K255" i="3"/>
  <c r="J123" i="3"/>
  <c r="I258" i="3"/>
  <c r="F259" i="3"/>
  <c r="J103" i="3"/>
  <c r="I51" i="3"/>
  <c r="E109" i="3"/>
  <c r="G92" i="3"/>
  <c r="J259" i="3"/>
  <c r="E35" i="3"/>
  <c r="J92" i="3"/>
  <c r="I119" i="3"/>
  <c r="K58" i="3"/>
  <c r="E38" i="3"/>
  <c r="H30" i="3"/>
  <c r="G42" i="3"/>
  <c r="I58" i="3"/>
  <c r="E76" i="3"/>
  <c r="I73" i="3"/>
  <c r="I11" i="3"/>
  <c r="G16" i="3"/>
  <c r="E82" i="3"/>
  <c r="K55" i="3"/>
  <c r="K12" i="3"/>
  <c r="I281" i="3"/>
  <c r="G124" i="3"/>
  <c r="K43" i="3"/>
  <c r="J89" i="3"/>
  <c r="I289" i="3"/>
  <c r="G291" i="3"/>
  <c r="E85" i="3"/>
  <c r="F54" i="3"/>
  <c r="J255" i="3"/>
  <c r="E44" i="3"/>
  <c r="J102" i="3"/>
  <c r="K278" i="3"/>
  <c r="G77" i="3"/>
  <c r="K283" i="3"/>
  <c r="J33" i="3"/>
  <c r="H289" i="3"/>
  <c r="G94" i="3"/>
  <c r="G110" i="3"/>
  <c r="E258" i="3"/>
  <c r="G111" i="3"/>
  <c r="F57" i="3"/>
  <c r="K15" i="3"/>
  <c r="F290" i="3"/>
  <c r="G90" i="3"/>
  <c r="H20" i="3"/>
  <c r="H46" i="3"/>
  <c r="I19" i="3"/>
  <c r="F28" i="3"/>
  <c r="F78" i="3"/>
  <c r="K133" i="3"/>
  <c r="H283" i="3"/>
  <c r="G24" i="3"/>
  <c r="E17" i="3"/>
  <c r="K37" i="3"/>
  <c r="K70" i="3"/>
  <c r="J78" i="3"/>
  <c r="J276" i="3"/>
  <c r="F53" i="3"/>
  <c r="F56" i="3"/>
  <c r="F15" i="3"/>
  <c r="E52" i="3"/>
  <c r="E83" i="3"/>
  <c r="H24" i="3"/>
  <c r="I259" i="3"/>
  <c r="I16" i="3"/>
  <c r="G55" i="3"/>
  <c r="E69" i="3"/>
  <c r="G37" i="3"/>
  <c r="E54" i="3"/>
  <c r="K26" i="3"/>
  <c r="K289" i="3"/>
  <c r="H59" i="3"/>
  <c r="E56" i="3"/>
  <c r="E30" i="3"/>
  <c r="F37" i="3"/>
  <c r="I12" i="3"/>
  <c r="F278" i="3"/>
  <c r="H41" i="3"/>
  <c r="K23" i="3"/>
  <c r="H43" i="3"/>
  <c r="E18" i="3"/>
  <c r="F289" i="3"/>
  <c r="H255" i="3"/>
  <c r="I122" i="3"/>
  <c r="K13" i="3"/>
  <c r="K52" i="3"/>
  <c r="G70" i="3"/>
  <c r="I124" i="3"/>
  <c r="E36" i="3"/>
  <c r="I38" i="3"/>
  <c r="J82" i="3"/>
  <c r="E24" i="3"/>
  <c r="J254" i="3"/>
  <c r="G289" i="3"/>
  <c r="K54" i="3"/>
  <c r="F108" i="3"/>
  <c r="G76" i="3"/>
  <c r="J10" i="3"/>
  <c r="G79" i="3"/>
  <c r="E300" i="3"/>
  <c r="G18" i="3"/>
  <c r="G248" i="3"/>
  <c r="J283" i="3"/>
  <c r="E58" i="3"/>
  <c r="K300" i="3"/>
  <c r="E212" i="3"/>
  <c r="H40" i="3"/>
  <c r="J21" i="3"/>
  <c r="F55" i="3"/>
  <c r="J83" i="3"/>
  <c r="I17" i="3"/>
  <c r="F98" i="3"/>
  <c r="E16" i="3"/>
  <c r="K280" i="3"/>
  <c r="F110" i="3"/>
  <c r="K19" i="3"/>
  <c r="J56" i="3"/>
  <c r="F122" i="3"/>
  <c r="J73" i="3"/>
  <c r="I85" i="3"/>
  <c r="F288" i="3"/>
  <c r="E55" i="3"/>
  <c r="G19" i="3"/>
  <c r="G108" i="3"/>
  <c r="E96" i="3"/>
  <c r="K36" i="3"/>
  <c r="H280" i="3"/>
  <c r="E291" i="3"/>
  <c r="F83" i="3"/>
  <c r="I280" i="3"/>
  <c r="K99" i="3"/>
  <c r="H281" i="3"/>
  <c r="F90" i="3"/>
  <c r="H85" i="3"/>
  <c r="F46" i="3"/>
  <c r="F94" i="3"/>
  <c r="H94" i="3"/>
  <c r="K119" i="3"/>
  <c r="H11" i="3"/>
  <c r="J44" i="3"/>
  <c r="K109" i="3"/>
  <c r="K152" i="3"/>
  <c r="G69" i="3"/>
  <c r="J70" i="3"/>
  <c r="E78" i="3"/>
  <c r="J98" i="3"/>
  <c r="I300" i="3"/>
  <c r="G51" i="3"/>
  <c r="J53" i="3"/>
  <c r="F44" i="3"/>
  <c r="E260" i="3"/>
  <c r="G254" i="3"/>
  <c r="G59" i="3"/>
  <c r="G85" i="3"/>
  <c r="K259" i="3"/>
  <c r="H16" i="3"/>
  <c r="H258" i="3"/>
  <c r="F60" i="3"/>
  <c r="G78" i="3"/>
  <c r="H111" i="3"/>
  <c r="E70" i="3"/>
  <c r="E13" i="3"/>
  <c r="I53" i="3"/>
  <c r="J24" i="3"/>
  <c r="K85" i="3"/>
  <c r="H92" i="3"/>
  <c r="F42" i="3"/>
  <c r="G35" i="3"/>
  <c r="H42" i="3"/>
  <c r="F33" i="3"/>
  <c r="F254" i="3"/>
  <c r="G279" i="3"/>
  <c r="J27" i="3"/>
  <c r="G283" i="3"/>
  <c r="G278" i="3"/>
  <c r="I55" i="3"/>
  <c r="I36" i="3"/>
  <c r="F103" i="3"/>
  <c r="H79" i="3"/>
  <c r="I90" i="3"/>
  <c r="I96" i="3"/>
  <c r="G73" i="3"/>
  <c r="K260" i="3"/>
  <c r="K159" i="3"/>
  <c r="K35" i="3"/>
  <c r="J120" i="3"/>
  <c r="F231" i="3"/>
  <c r="J109" i="3"/>
  <c r="I260" i="3"/>
  <c r="J18" i="3"/>
  <c r="H53" i="3"/>
  <c r="H279" i="3"/>
  <c r="K10" i="3"/>
  <c r="J289" i="3"/>
  <c r="J279" i="3"/>
  <c r="J79" i="3"/>
  <c r="K279" i="3"/>
  <c r="J46" i="3"/>
  <c r="I45" i="3"/>
  <c r="I14" i="3"/>
  <c r="K256" i="3"/>
  <c r="G109" i="3"/>
  <c r="I82" i="3"/>
  <c r="E108" i="3"/>
  <c r="G27" i="3"/>
  <c r="J41" i="3"/>
  <c r="I21" i="3"/>
  <c r="H96" i="3"/>
  <c r="J94" i="3"/>
  <c r="J76" i="3"/>
  <c r="F124" i="3"/>
  <c r="G256" i="3"/>
  <c r="J290" i="3"/>
  <c r="I77" i="3"/>
  <c r="I295" i="3"/>
  <c r="F99" i="3"/>
  <c r="I99" i="3"/>
  <c r="J111" i="3"/>
  <c r="G21" i="3"/>
  <c r="H28" i="3"/>
  <c r="I48" i="3"/>
  <c r="G46" i="3"/>
  <c r="H109" i="3"/>
  <c r="K57" i="3"/>
  <c r="H83" i="3"/>
  <c r="E102" i="3"/>
  <c r="F14" i="3"/>
  <c r="I109" i="3"/>
  <c r="G212" i="3"/>
  <c r="J122" i="3"/>
  <c r="K20" i="3"/>
  <c r="K28" i="3"/>
  <c r="E57" i="3"/>
  <c r="G277" i="3"/>
  <c r="K17" i="3"/>
  <c r="H277" i="3"/>
  <c r="H58" i="3"/>
  <c r="F82" i="3"/>
  <c r="K60" i="3"/>
  <c r="K25" i="3"/>
  <c r="I13" i="3"/>
  <c r="G74" i="3"/>
  <c r="I35" i="3"/>
  <c r="K40" i="3"/>
  <c r="G122" i="3"/>
  <c r="G121" i="3" l="1"/>
  <c r="K127" i="3"/>
  <c r="F81" i="3"/>
  <c r="J121" i="3"/>
  <c r="G249" i="3"/>
  <c r="I47" i="3"/>
  <c r="J75" i="3"/>
  <c r="E107" i="3"/>
  <c r="I81" i="3"/>
  <c r="J113" i="3"/>
  <c r="J112" i="3" s="1"/>
  <c r="J282" i="3" s="1"/>
  <c r="J284" i="3" s="1"/>
  <c r="J126" i="3"/>
  <c r="G72" i="3"/>
  <c r="G18" i="1"/>
  <c r="G50" i="3"/>
  <c r="G61" i="3"/>
  <c r="G62" i="3" s="1"/>
  <c r="G63" i="3" s="1"/>
  <c r="J97" i="3"/>
  <c r="J100" i="3" s="1"/>
  <c r="G68" i="3"/>
  <c r="K128" i="3"/>
  <c r="G107" i="3"/>
  <c r="G114" i="3"/>
  <c r="F292" i="3"/>
  <c r="J72" i="3"/>
  <c r="F121" i="3"/>
  <c r="F97" i="3"/>
  <c r="F100" i="3" s="1"/>
  <c r="H127" i="3"/>
  <c r="E249" i="3"/>
  <c r="G113" i="3"/>
  <c r="G112" i="3" s="1"/>
  <c r="G282" i="3" s="1"/>
  <c r="G284" i="3" s="1"/>
  <c r="G75" i="3"/>
  <c r="F107" i="3"/>
  <c r="J81" i="3"/>
  <c r="I121" i="3"/>
  <c r="E113" i="3"/>
  <c r="E112" i="3" s="1"/>
  <c r="E282" i="3" s="1"/>
  <c r="E284" i="3" s="1"/>
  <c r="E29" i="3"/>
  <c r="H61" i="3"/>
  <c r="H62" i="3" s="1"/>
  <c r="H63" i="3" s="1"/>
  <c r="H50" i="3"/>
  <c r="E68" i="3"/>
  <c r="K191" i="3"/>
  <c r="K284" i="3"/>
  <c r="J88" i="3"/>
  <c r="E81" i="3"/>
  <c r="I72" i="3"/>
  <c r="E75" i="3"/>
  <c r="H29" i="3"/>
  <c r="I125" i="3"/>
  <c r="I118" i="3"/>
  <c r="K292" i="3"/>
  <c r="J29" i="3"/>
  <c r="E126" i="3"/>
  <c r="I113" i="3"/>
  <c r="I112" i="3" s="1"/>
  <c r="I282" i="3" s="1"/>
  <c r="I284" i="3" s="1"/>
  <c r="H72" i="3"/>
  <c r="H249" i="3"/>
  <c r="F75" i="3"/>
  <c r="G47" i="3"/>
  <c r="E292" i="3"/>
  <c r="I127" i="3"/>
  <c r="I50" i="3"/>
  <c r="I61" i="3"/>
  <c r="I62" i="3" s="1"/>
  <c r="I63" i="3" s="1"/>
  <c r="F113" i="3"/>
  <c r="F112" i="3" s="1"/>
  <c r="F282" i="3" s="1"/>
  <c r="F284" i="3" s="1"/>
  <c r="K72" i="3"/>
  <c r="I88" i="3"/>
  <c r="H113" i="3"/>
  <c r="H112" i="3" s="1"/>
  <c r="H282" i="3" s="1"/>
  <c r="H284" i="3" s="1"/>
  <c r="F29" i="3"/>
  <c r="K29" i="4"/>
  <c r="I238" i="4"/>
  <c r="K128" i="4"/>
  <c r="F47" i="4"/>
  <c r="I154" i="4"/>
  <c r="F75" i="4"/>
  <c r="I113" i="4"/>
  <c r="I112" i="4" s="1"/>
  <c r="I282" i="4" s="1"/>
  <c r="I284" i="4" s="1"/>
  <c r="G235" i="4"/>
  <c r="E113" i="4"/>
  <c r="E112" i="4" s="1"/>
  <c r="E282" i="4" s="1"/>
  <c r="E284" i="4" s="1"/>
  <c r="J193" i="4"/>
  <c r="J234" i="4"/>
  <c r="F235" i="4"/>
  <c r="I14" i="1"/>
  <c r="G216" i="4"/>
  <c r="G127" i="4"/>
  <c r="F171" i="4"/>
  <c r="F68" i="4"/>
  <c r="I47" i="4"/>
  <c r="G171" i="4"/>
  <c r="G68" i="4"/>
  <c r="J215" i="4"/>
  <c r="J173" i="4"/>
  <c r="J172" i="4" s="1"/>
  <c r="E61" i="4"/>
  <c r="E62" i="4" s="1"/>
  <c r="E63" i="4" s="1"/>
  <c r="H126" i="4"/>
  <c r="K88" i="4"/>
  <c r="I88" i="4"/>
  <c r="E215" i="4"/>
  <c r="E173" i="4"/>
  <c r="E172" i="4" s="1"/>
  <c r="E170" i="4" s="1"/>
  <c r="G121" i="4"/>
  <c r="E127" i="4"/>
  <c r="K157" i="4"/>
  <c r="K61" i="4"/>
  <c r="K62" i="4" s="1"/>
  <c r="K63" i="4" s="1"/>
  <c r="F29" i="4"/>
  <c r="E191" i="4"/>
  <c r="I191" i="4"/>
  <c r="I207" i="4" s="1"/>
  <c r="F249" i="4"/>
  <c r="J154" i="4"/>
  <c r="E47" i="4"/>
  <c r="E292" i="4"/>
  <c r="J238" i="4"/>
  <c r="F126" i="4"/>
  <c r="G217" i="4"/>
  <c r="I173" i="4"/>
  <c r="I172" i="4" s="1"/>
  <c r="I215" i="4"/>
  <c r="J127" i="4"/>
  <c r="E29" i="4"/>
  <c r="F97" i="4"/>
  <c r="G215" i="4"/>
  <c r="G173" i="4"/>
  <c r="G172" i="4" s="1"/>
  <c r="G170" i="4" s="1"/>
  <c r="F292" i="4"/>
  <c r="K75" i="4"/>
  <c r="G264" i="4"/>
  <c r="H47" i="3"/>
  <c r="K75" i="3"/>
  <c r="K68" i="3"/>
  <c r="K171" i="3"/>
  <c r="G61" i="4"/>
  <c r="G62" i="4" s="1"/>
  <c r="G63" i="4" s="1"/>
  <c r="J61" i="4"/>
  <c r="J62" i="4" s="1"/>
  <c r="J63" i="4" s="1"/>
  <c r="I157" i="4"/>
  <c r="J118" i="4"/>
  <c r="J125" i="4"/>
  <c r="G97" i="4"/>
  <c r="E97" i="4"/>
  <c r="E72" i="4"/>
  <c r="I61" i="4"/>
  <c r="I62" i="4" s="1"/>
  <c r="I63" i="4" s="1"/>
  <c r="H173" i="4"/>
  <c r="H172" i="4" s="1"/>
  <c r="H215" i="4"/>
  <c r="J113" i="4"/>
  <c r="J112" i="4" s="1"/>
  <c r="J282" i="4" s="1"/>
  <c r="J284" i="4" s="1"/>
  <c r="J72" i="4"/>
  <c r="F118" i="4"/>
  <c r="F125" i="4"/>
  <c r="J264" i="4"/>
  <c r="F113" i="4"/>
  <c r="F112" i="4" s="1"/>
  <c r="F282" i="4" s="1"/>
  <c r="F284" i="4" s="1"/>
  <c r="G191" i="4"/>
  <c r="G249" i="4"/>
  <c r="F238" i="4"/>
  <c r="E135" i="4"/>
  <c r="E134" i="4" s="1"/>
  <c r="E132" i="4" s="1"/>
  <c r="I75" i="4"/>
  <c r="I107" i="4"/>
  <c r="G14" i="1"/>
  <c r="G19" i="1" s="1"/>
  <c r="I135" i="4"/>
  <c r="I134" i="4" s="1"/>
  <c r="I132" i="4" s="1"/>
  <c r="G193" i="4"/>
  <c r="G234" i="4"/>
  <c r="I81" i="4"/>
  <c r="I217" i="4"/>
  <c r="F215" i="4"/>
  <c r="F173" i="4"/>
  <c r="F172" i="4" s="1"/>
  <c r="F170" i="4" s="1"/>
  <c r="H72" i="4"/>
  <c r="G126" i="3"/>
  <c r="H264" i="4"/>
  <c r="H81" i="3"/>
  <c r="J127" i="3"/>
  <c r="I249" i="3"/>
  <c r="H88" i="3"/>
  <c r="H75" i="3"/>
  <c r="E126" i="4"/>
  <c r="H81" i="4"/>
  <c r="G154" i="4"/>
  <c r="E68" i="4"/>
  <c r="E171" i="4"/>
  <c r="E193" i="4"/>
  <c r="E234" i="4"/>
  <c r="H238" i="4"/>
  <c r="I216" i="4"/>
  <c r="F88" i="4"/>
  <c r="E14" i="1"/>
  <c r="E17" i="1" s="1"/>
  <c r="F193" i="4"/>
  <c r="F234" i="4"/>
  <c r="K127" i="4"/>
  <c r="J157" i="4"/>
  <c r="I126" i="4"/>
  <c r="H121" i="4"/>
  <c r="G126" i="4"/>
  <c r="I196" i="4"/>
  <c r="I237" i="4"/>
  <c r="G75" i="4"/>
  <c r="K47" i="4"/>
  <c r="E88" i="4"/>
  <c r="J216" i="4"/>
  <c r="H97" i="4"/>
  <c r="F157" i="4"/>
  <c r="G81" i="4"/>
  <c r="E157" i="4"/>
  <c r="G125" i="4"/>
  <c r="G118" i="4"/>
  <c r="J29" i="4"/>
  <c r="K191" i="4"/>
  <c r="I125" i="4"/>
  <c r="I118" i="4"/>
  <c r="H191" i="4"/>
  <c r="H207" i="4" s="1"/>
  <c r="I292" i="4"/>
  <c r="F217" i="4"/>
  <c r="K292" i="4"/>
  <c r="E249" i="4"/>
  <c r="J97" i="4"/>
  <c r="H29" i="4"/>
  <c r="K284" i="4"/>
  <c r="I235" i="4"/>
  <c r="K97" i="4"/>
  <c r="J126" i="4"/>
  <c r="J217" i="4"/>
  <c r="H234" i="4"/>
  <c r="H193" i="4"/>
  <c r="E107" i="4"/>
  <c r="H196" i="4"/>
  <c r="H237" i="4"/>
  <c r="K81" i="3"/>
  <c r="I75" i="3"/>
  <c r="E127" i="3"/>
  <c r="H75" i="4"/>
  <c r="E237" i="4"/>
  <c r="E196" i="4"/>
  <c r="G292" i="4"/>
  <c r="F127" i="3"/>
  <c r="F72" i="4"/>
  <c r="D14" i="1" s="1"/>
  <c r="D19" i="1" s="1"/>
  <c r="F14" i="1"/>
  <c r="F17" i="1" s="1"/>
  <c r="G107" i="4"/>
  <c r="E216" i="4"/>
  <c r="K113" i="4"/>
  <c r="K111" i="4" s="1"/>
  <c r="J75" i="4"/>
  <c r="J71" i="4" s="1"/>
  <c r="J67" i="4" s="1"/>
  <c r="J87" i="4" s="1"/>
  <c r="F196" i="4"/>
  <c r="F237" i="4"/>
  <c r="J81" i="4"/>
  <c r="H127" i="4"/>
  <c r="H128" i="4" s="1"/>
  <c r="H14" i="1"/>
  <c r="H19" i="1" s="1"/>
  <c r="E238" i="4"/>
  <c r="G238" i="4"/>
  <c r="E75" i="4"/>
  <c r="I171" i="4"/>
  <c r="I212" i="4" s="1"/>
  <c r="I249" i="4" s="1"/>
  <c r="I68" i="4"/>
  <c r="F127" i="4"/>
  <c r="I264" i="4"/>
  <c r="J196" i="4"/>
  <c r="J237" i="4"/>
  <c r="H47" i="4"/>
  <c r="H216" i="4"/>
  <c r="J171" i="4"/>
  <c r="J212" i="4" s="1"/>
  <c r="J249" i="4" s="1"/>
  <c r="J68" i="4"/>
  <c r="H135" i="4"/>
  <c r="H134" i="4" s="1"/>
  <c r="H132" i="4" s="1"/>
  <c r="J47" i="4"/>
  <c r="I72" i="4"/>
  <c r="I71" i="4" s="1"/>
  <c r="I67" i="4" s="1"/>
  <c r="K68" i="4"/>
  <c r="K171" i="4"/>
  <c r="F61" i="4"/>
  <c r="F62" i="4" s="1"/>
  <c r="F63" i="4" s="1"/>
  <c r="J292" i="4"/>
  <c r="J47" i="3"/>
  <c r="H113" i="4"/>
  <c r="H112" i="4" s="1"/>
  <c r="H282" i="4" s="1"/>
  <c r="H284" i="4" s="1"/>
  <c r="I234" i="4"/>
  <c r="I193" i="4"/>
  <c r="G72" i="4"/>
  <c r="I29" i="3"/>
  <c r="F154" i="4"/>
  <c r="H88" i="4"/>
  <c r="G113" i="4"/>
  <c r="G112" i="4" s="1"/>
  <c r="G282" i="4" s="1"/>
  <c r="G284" i="4" s="1"/>
  <c r="I127" i="4"/>
  <c r="E72" i="3"/>
  <c r="E71" i="3" s="1"/>
  <c r="E67" i="3" s="1"/>
  <c r="H107" i="3"/>
  <c r="H114" i="3" s="1"/>
  <c r="J107" i="4"/>
  <c r="J114" i="4" s="1"/>
  <c r="H68" i="4"/>
  <c r="H171" i="4"/>
  <c r="H212" i="4" s="1"/>
  <c r="H249" i="4" s="1"/>
  <c r="E88" i="3"/>
  <c r="G196" i="4"/>
  <c r="G237" i="4"/>
  <c r="J292" i="3"/>
  <c r="E154" i="4"/>
  <c r="F126" i="3"/>
  <c r="J68" i="3"/>
  <c r="H68" i="3"/>
  <c r="I126" i="3"/>
  <c r="E121" i="4"/>
  <c r="I29" i="4"/>
  <c r="I68" i="3"/>
  <c r="K107" i="4"/>
  <c r="K114" i="4" s="1"/>
  <c r="J107" i="3"/>
  <c r="J118" i="3"/>
  <c r="J128" i="3" s="1"/>
  <c r="J125" i="3"/>
  <c r="J88" i="4"/>
  <c r="I121" i="4"/>
  <c r="F118" i="3"/>
  <c r="F128" i="3" s="1"/>
  <c r="F125" i="3"/>
  <c r="F216" i="4"/>
  <c r="F191" i="4"/>
  <c r="E118" i="4"/>
  <c r="E128" i="4" s="1"/>
  <c r="E125" i="4"/>
  <c r="F72" i="3"/>
  <c r="F88" i="3"/>
  <c r="K47" i="3"/>
  <c r="H235" i="4"/>
  <c r="G118" i="3"/>
  <c r="G125" i="3"/>
  <c r="E121" i="3"/>
  <c r="E217" i="4"/>
  <c r="E235" i="4"/>
  <c r="H154" i="4"/>
  <c r="H118" i="3"/>
  <c r="H125" i="3"/>
  <c r="K29" i="3"/>
  <c r="H107" i="4"/>
  <c r="H61" i="4"/>
  <c r="H62" i="4" s="1"/>
  <c r="H63" i="4" s="1"/>
  <c r="H292" i="4"/>
  <c r="G29" i="3"/>
  <c r="G47" i="4"/>
  <c r="J121" i="4"/>
  <c r="K81" i="4"/>
  <c r="F68" i="3"/>
  <c r="K97" i="3"/>
  <c r="K100" i="3" s="1"/>
  <c r="K113" i="3"/>
  <c r="H97" i="3"/>
  <c r="H100" i="3" s="1"/>
  <c r="H125" i="4"/>
  <c r="H118" i="4"/>
  <c r="F264" i="4"/>
  <c r="K154" i="4"/>
  <c r="H217" i="4"/>
  <c r="F107" i="4"/>
  <c r="F114" i="4"/>
  <c r="K72" i="4"/>
  <c r="K71" i="4" s="1"/>
  <c r="K67" i="4" s="1"/>
  <c r="K87" i="4" s="1"/>
  <c r="K91" i="4" s="1"/>
  <c r="K93" i="4" s="1"/>
  <c r="K95" i="4" s="1"/>
  <c r="E61" i="3"/>
  <c r="E62" i="3" s="1"/>
  <c r="E63" i="3" s="1"/>
  <c r="E50" i="3"/>
  <c r="K88" i="3"/>
  <c r="E125" i="3"/>
  <c r="E118" i="3"/>
  <c r="G157" i="4"/>
  <c r="E81" i="4"/>
  <c r="G135" i="4"/>
  <c r="G134" i="4" s="1"/>
  <c r="G132" i="4" s="1"/>
  <c r="G29" i="4"/>
  <c r="K154" i="3"/>
  <c r="F81" i="4"/>
  <c r="K61" i="3"/>
  <c r="K62" i="3" s="1"/>
  <c r="K63" i="3" s="1"/>
  <c r="K50" i="3"/>
  <c r="G88" i="4"/>
  <c r="I97" i="3"/>
  <c r="I100" i="3" s="1"/>
  <c r="H157" i="4"/>
  <c r="H121" i="3"/>
  <c r="H128" i="3" s="1"/>
  <c r="I97" i="4"/>
  <c r="K114" i="3"/>
  <c r="K107" i="3"/>
  <c r="J61" i="3"/>
  <c r="J62" i="3" s="1"/>
  <c r="J63" i="3" s="1"/>
  <c r="J50" i="3"/>
  <c r="J235" i="4"/>
  <c r="G88" i="3"/>
  <c r="K157" i="3"/>
  <c r="H292" i="3"/>
  <c r="G97" i="3"/>
  <c r="G100" i="3" s="1"/>
  <c r="H126" i="3"/>
  <c r="E47" i="3"/>
  <c r="G81" i="3"/>
  <c r="F249" i="3"/>
  <c r="G292" i="3"/>
  <c r="F47" i="3"/>
  <c r="E97" i="3"/>
  <c r="E100" i="3" s="1"/>
  <c r="I107" i="3"/>
  <c r="F50" i="3"/>
  <c r="F61" i="3"/>
  <c r="F62" i="3" s="1"/>
  <c r="F63" i="3" s="1"/>
  <c r="I292" i="3"/>
  <c r="G127" i="3"/>
  <c r="J249" i="3"/>
  <c r="J191" i="4"/>
  <c r="J207" i="4" s="1"/>
  <c r="F135" i="4"/>
  <c r="F134" i="4" s="1"/>
  <c r="F132" i="4" s="1"/>
  <c r="F121" i="4"/>
  <c r="J128" i="4"/>
  <c r="E128" i="3"/>
  <c r="K126" i="4"/>
  <c r="J114" i="3"/>
  <c r="I114" i="3"/>
  <c r="E114" i="4"/>
  <c r="G71" i="4"/>
  <c r="G67" i="4" s="1"/>
  <c r="J71" i="3"/>
  <c r="J67" i="3" s="1"/>
  <c r="AC19" i="1"/>
  <c r="AC17" i="1"/>
  <c r="AC18" i="1"/>
  <c r="AC20" i="1"/>
  <c r="AD16" i="1"/>
  <c r="AD15" i="1"/>
  <c r="AD14" i="1"/>
  <c r="AD13" i="1"/>
  <c r="E87" i="3"/>
  <c r="G17" i="1"/>
  <c r="C19" i="1"/>
  <c r="C17" i="1"/>
  <c r="I80" i="3"/>
  <c r="E80" i="3"/>
  <c r="G80" i="3"/>
  <c r="I66" i="4"/>
  <c r="I49" i="3"/>
  <c r="E31" i="3"/>
  <c r="G49" i="3"/>
  <c r="J66" i="4"/>
  <c r="E49" i="3"/>
  <c r="F80" i="3"/>
  <c r="J80" i="3"/>
  <c r="F31" i="3"/>
  <c r="H80" i="3"/>
  <c r="J49" i="3"/>
  <c r="K49" i="3"/>
  <c r="K31" i="3"/>
  <c r="E66" i="3"/>
  <c r="K66" i="4"/>
  <c r="H31" i="3"/>
  <c r="J31" i="3"/>
  <c r="H49" i="3"/>
  <c r="K80" i="3"/>
  <c r="I31" i="3"/>
  <c r="G31" i="3"/>
  <c r="F49" i="3"/>
  <c r="H17" i="1" l="1"/>
  <c r="J188" i="4"/>
  <c r="G128" i="4"/>
  <c r="J91" i="4"/>
  <c r="J93" i="4" s="1"/>
  <c r="J95" i="4" s="1"/>
  <c r="H71" i="4"/>
  <c r="G128" i="3"/>
  <c r="F19" i="1"/>
  <c r="G20" i="1"/>
  <c r="E19" i="1"/>
  <c r="I128" i="3"/>
  <c r="I114" i="4"/>
  <c r="E114" i="3"/>
  <c r="I128" i="4"/>
  <c r="F114" i="3"/>
  <c r="I87" i="4"/>
  <c r="I91" i="4" s="1"/>
  <c r="I93" i="4" s="1"/>
  <c r="I95" i="4" s="1"/>
  <c r="G114" i="4"/>
  <c r="F128" i="4"/>
  <c r="H114" i="4"/>
  <c r="D17" i="1"/>
  <c r="H67" i="4"/>
  <c r="I19" i="1"/>
  <c r="I17" i="1"/>
  <c r="K71" i="3"/>
  <c r="K67" i="3" s="1"/>
  <c r="G71" i="3"/>
  <c r="G67" i="3" s="1"/>
  <c r="H213" i="4"/>
  <c r="E71" i="4"/>
  <c r="E67" i="4" s="1"/>
  <c r="H71" i="3"/>
  <c r="H67" i="3" s="1"/>
  <c r="I188" i="4"/>
  <c r="I170" i="4"/>
  <c r="I213" i="4"/>
  <c r="I71" i="3"/>
  <c r="I67" i="3" s="1"/>
  <c r="K118" i="4"/>
  <c r="K121" i="4"/>
  <c r="H170" i="4"/>
  <c r="H188" i="4"/>
  <c r="J170" i="4"/>
  <c r="J213" i="4"/>
  <c r="F71" i="4"/>
  <c r="F67" i="4" s="1"/>
  <c r="F71" i="3"/>
  <c r="F67" i="3" s="1"/>
  <c r="J87" i="3"/>
  <c r="G87" i="4"/>
  <c r="G91" i="4" s="1"/>
  <c r="G93" i="4" s="1"/>
  <c r="G95" i="4" s="1"/>
  <c r="AD18" i="1"/>
  <c r="AD20" i="1"/>
  <c r="AE13" i="1"/>
  <c r="AE16" i="1"/>
  <c r="AE15" i="1"/>
  <c r="AE14" i="1"/>
  <c r="AD19" i="1"/>
  <c r="AD17" i="1"/>
  <c r="E91" i="3"/>
  <c r="E93" i="3" s="1"/>
  <c r="E95" i="3" s="1"/>
  <c r="C16" i="1" s="1"/>
  <c r="G66" i="4"/>
  <c r="E86" i="3"/>
  <c r="J66" i="3"/>
  <c r="F87" i="3" l="1"/>
  <c r="I87" i="3"/>
  <c r="H87" i="3"/>
  <c r="K87" i="3"/>
  <c r="F87" i="4"/>
  <c r="F91" i="4" s="1"/>
  <c r="F93" i="4" s="1"/>
  <c r="F95" i="4" s="1"/>
  <c r="E87" i="4"/>
  <c r="E91" i="4" s="1"/>
  <c r="E93" i="4" s="1"/>
  <c r="E95" i="4" s="1"/>
  <c r="G87" i="3"/>
  <c r="H87" i="4"/>
  <c r="H91" i="4" s="1"/>
  <c r="H93" i="4" s="1"/>
  <c r="H95" i="4" s="1"/>
  <c r="J91" i="3"/>
  <c r="J93" i="3" s="1"/>
  <c r="J95" i="3" s="1"/>
  <c r="H16" i="1" s="1"/>
  <c r="AE17" i="1"/>
  <c r="AE19" i="1"/>
  <c r="AF14" i="1"/>
  <c r="AF13" i="1"/>
  <c r="AF16" i="1"/>
  <c r="AF15" i="1"/>
  <c r="AE20" i="1"/>
  <c r="AE18" i="1"/>
  <c r="C18" i="1"/>
  <c r="C20" i="1"/>
  <c r="F66" i="3"/>
  <c r="H66" i="3"/>
  <c r="F66" i="4"/>
  <c r="G66" i="3"/>
  <c r="J86" i="3"/>
  <c r="K66" i="3"/>
  <c r="E66" i="4"/>
  <c r="H66" i="4"/>
  <c r="I66" i="3"/>
  <c r="K91" i="3" l="1"/>
  <c r="K93" i="3" s="1"/>
  <c r="K95" i="3" s="1"/>
  <c r="I16" i="1" s="1"/>
  <c r="I91" i="3"/>
  <c r="I93" i="3" s="1"/>
  <c r="I95" i="3" s="1"/>
  <c r="H91" i="3"/>
  <c r="H93" i="3" s="1"/>
  <c r="H95" i="3" s="1"/>
  <c r="F16" i="1" s="1"/>
  <c r="F91" i="3"/>
  <c r="F93" i="3" s="1"/>
  <c r="F95" i="3" s="1"/>
  <c r="D16" i="1" s="1"/>
  <c r="G91" i="3"/>
  <c r="G93" i="3" s="1"/>
  <c r="G95" i="3" s="1"/>
  <c r="E16" i="1" s="1"/>
  <c r="H18" i="1"/>
  <c r="H20" i="1"/>
  <c r="AF18" i="1"/>
  <c r="AF20" i="1"/>
  <c r="AG15" i="1"/>
  <c r="AG14" i="1"/>
  <c r="AG13" i="1"/>
  <c r="AG16" i="1"/>
  <c r="AF17" i="1"/>
  <c r="AF19" i="1"/>
  <c r="H86" i="3"/>
  <c r="K86" i="3"/>
  <c r="G86" i="3"/>
  <c r="I86" i="3"/>
  <c r="F86" i="3"/>
  <c r="D20" i="1" l="1"/>
  <c r="D18" i="1"/>
  <c r="F20" i="1"/>
  <c r="F18" i="1"/>
  <c r="E20" i="1"/>
  <c r="E18" i="1"/>
  <c r="I20" i="1"/>
  <c r="I18" i="1"/>
  <c r="AG20" i="1"/>
  <c r="AG18" i="1"/>
  <c r="AH16" i="1"/>
  <c r="AH15" i="1"/>
  <c r="AH14" i="1"/>
  <c r="AH13" i="1"/>
  <c r="AG17" i="1"/>
  <c r="AG19" i="1"/>
  <c r="AH19" i="1" l="1"/>
  <c r="AH17" i="1"/>
  <c r="AI13" i="1"/>
  <c r="AI16" i="1"/>
  <c r="AI15" i="1"/>
  <c r="AI14" i="1"/>
  <c r="AH18" i="1"/>
  <c r="AH20" i="1"/>
  <c r="AI17" i="1" l="1"/>
  <c r="AI19" i="1"/>
  <c r="AJ14" i="1"/>
  <c r="AJ13" i="1"/>
  <c r="AJ16" i="1"/>
  <c r="AJ15" i="1"/>
  <c r="AI18" i="1"/>
  <c r="AI20" i="1"/>
  <c r="AJ18" i="1" l="1"/>
  <c r="AJ20" i="1"/>
  <c r="AK15" i="1"/>
  <c r="AK14" i="1"/>
  <c r="AK13" i="1"/>
  <c r="AK16" i="1"/>
  <c r="AJ19" i="1"/>
  <c r="AJ17" i="1"/>
  <c r="AK18" i="1" l="1"/>
  <c r="AK20" i="1"/>
  <c r="AL16" i="1"/>
  <c r="AL15" i="1"/>
  <c r="AL14" i="1"/>
  <c r="AL13" i="1"/>
  <c r="AK17" i="1"/>
  <c r="AK19" i="1"/>
  <c r="AL19" i="1" l="1"/>
  <c r="AL17" i="1"/>
  <c r="AM13" i="1"/>
  <c r="AM16" i="1"/>
  <c r="AM15" i="1"/>
  <c r="AM14" i="1"/>
  <c r="AL20" i="1"/>
  <c r="AL18" i="1"/>
  <c r="AM17" i="1" l="1"/>
  <c r="AM19" i="1"/>
  <c r="AN14" i="1"/>
  <c r="AN13" i="1"/>
  <c r="AN16" i="1"/>
  <c r="AN15" i="1"/>
  <c r="AM18" i="1"/>
  <c r="AM20" i="1"/>
  <c r="AN18" i="1" l="1"/>
  <c r="AN20" i="1"/>
  <c r="AO15" i="1"/>
  <c r="AO14" i="1"/>
  <c r="AO13" i="1"/>
  <c r="AO16" i="1"/>
  <c r="AN17" i="1"/>
  <c r="AN19" i="1"/>
  <c r="AP16" i="1" l="1"/>
  <c r="AP15" i="1"/>
  <c r="AP14" i="1"/>
  <c r="AP13" i="1"/>
  <c r="AO19" i="1"/>
  <c r="AO17" i="1"/>
  <c r="AO18" i="1"/>
  <c r="AO20" i="1"/>
  <c r="AP20" i="1" l="1"/>
  <c r="AP18" i="1"/>
  <c r="AP19" i="1"/>
  <c r="AP17" i="1"/>
  <c r="AQ13" i="1"/>
  <c r="AQ16" i="1"/>
  <c r="AQ15" i="1"/>
  <c r="AQ14" i="1"/>
  <c r="AQ20" i="1" l="1"/>
  <c r="AQ18" i="1"/>
  <c r="AR14" i="1"/>
  <c r="AR13" i="1"/>
  <c r="AR16" i="1"/>
  <c r="AR15" i="1"/>
  <c r="AQ17" i="1"/>
  <c r="AQ19" i="1"/>
  <c r="AR17" i="1" l="1"/>
  <c r="AR19" i="1"/>
  <c r="AR18" i="1"/>
  <c r="AR20" i="1"/>
  <c r="AS15" i="1"/>
  <c r="AS14" i="1"/>
  <c r="AS13" i="1"/>
  <c r="AS16" i="1"/>
  <c r="AS19" i="1" l="1"/>
  <c r="AS17" i="1"/>
  <c r="AS18" i="1"/>
  <c r="AS20" i="1"/>
</calcChain>
</file>

<file path=xl/comments1.xml><?xml version="1.0" encoding="utf-8"?>
<comments xmlns="http://schemas.openxmlformats.org/spreadsheetml/2006/main">
  <authors>
    <author>作者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microsoft chan:注意每家银行有特殊项</t>
        </r>
      </text>
    </comment>
  </commentList>
</comments>
</file>

<file path=xl/sharedStrings.xml><?xml version="1.0" encoding="utf-8"?>
<sst xmlns="http://schemas.openxmlformats.org/spreadsheetml/2006/main" count="3236" uniqueCount="1390">
  <si>
    <t>证券名称：</t>
  </si>
  <si>
    <t>项目名称：</t>
  </si>
  <si>
    <t>单位：</t>
  </si>
  <si>
    <t xml:space="preserve">除百分比外，其他为RMB 百万 </t>
  </si>
  <si>
    <t>资产负债表</t>
  </si>
  <si>
    <t>资产</t>
  </si>
  <si>
    <t>1H11</t>
  </si>
  <si>
    <t>1Q12</t>
  </si>
  <si>
    <t>1H12</t>
  </si>
  <si>
    <t>3Q12</t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</si>
  <si>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</si>
  <si>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</si>
  <si>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</si>
  <si>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</si>
  <si>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</si>
  <si>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</si>
  <si>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</si>
  <si>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</si>
  <si>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</si>
  <si>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</si>
  <si>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</si>
  <si>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</si>
  <si>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</si>
  <si>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</si>
  <si>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</si>
  <si>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</si>
  <si>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</si>
  <si>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</si>
  <si>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</si>
  <si>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</si>
  <si>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</si>
  <si>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</si>
  <si>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</si>
  <si>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</si>
  <si>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</si>
  <si>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</si>
  <si>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</si>
  <si>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</si>
  <si>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</si>
  <si>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</si>
  <si>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</si>
  <si>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</si>
  <si>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</si>
  <si>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</si>
  <si>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</si>
  <si>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</si>
  <si>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</si>
  <si>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</si>
  <si>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</si>
  <si>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</si>
  <si>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</si>
  <si>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</si>
  <si>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</si>
  <si>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</si>
  <si>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</si>
  <si>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</si>
  <si>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</si>
  <si>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</si>
  <si>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</si>
  <si>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</si>
  <si>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</si>
  <si>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</si>
  <si>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</si>
  <si>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</si>
  <si>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</si>
  <si>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</si>
  <si>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</si>
  <si>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</si>
  <si>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</si>
  <si>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</si>
  <si>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</si>
  <si>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</si>
  <si>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</si>
  <si>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</si>
  <si>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</si>
  <si>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</si>
  <si>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</si>
  <si>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</si>
  <si>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</si>
  <si>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</si>
  <si>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</si>
  <si>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</si>
  <si>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</si>
  <si>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</si>
  <si>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</si>
  <si>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</si>
  <si>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</si>
  <si>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</si>
  <si>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</si>
  <si>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</si>
  <si>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</si>
  <si>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</si>
  <si>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</si>
  <si>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</si>
  <si>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</si>
  <si>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</si>
  <si>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</si>
  <si>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</si>
  <si>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</si>
  <si>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企业贷款</t>
  </si>
  <si>
    <t xml:space="preserve">  一般贷款（含其他）</t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</si>
  <si>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</si>
  <si>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</si>
  <si>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</si>
  <si>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</si>
  <si>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</si>
  <si>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</si>
  <si>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</si>
  <si>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</si>
  <si>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</si>
  <si>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</si>
  <si>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</si>
  <si>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</si>
  <si>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</si>
  <si>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</si>
  <si>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</si>
  <si>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</si>
  <si>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</si>
  <si>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</si>
  <si>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</si>
  <si>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</si>
  <si>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</si>
  <si>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</si>
  <si>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</si>
  <si>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</si>
  <si>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</si>
  <si>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</si>
  <si>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</si>
  <si>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</si>
  <si>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</si>
  <si>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</si>
  <si>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</si>
  <si>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</si>
  <si>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发行债券</t>
  </si>
  <si>
    <t>同业负债</t>
  </si>
  <si>
    <t>同业存放</t>
  </si>
  <si>
    <t>其他付息负债</t>
  </si>
  <si>
    <t>成本收入明细</t>
  </si>
  <si>
    <t>发放贷款</t>
  </si>
  <si>
    <t>其他利息收入</t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</si>
  <si>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</si>
  <si>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</si>
  <si>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</si>
  <si>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</si>
  <si>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</si>
  <si>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</si>
  <si>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</si>
  <si>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</si>
  <si>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</si>
  <si>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</si>
  <si>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</si>
  <si>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</si>
  <si>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</si>
  <si>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</si>
  <si>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</si>
  <si>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</si>
  <si>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</si>
  <si>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</si>
  <si>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</si>
  <si>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</si>
  <si>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</si>
  <si>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</si>
  <si>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</si>
  <si>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</si>
  <si>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</si>
  <si>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</si>
  <si>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</si>
  <si>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</si>
  <si>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</si>
  <si>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</si>
  <si>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</si>
  <si>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</si>
  <si>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</si>
  <si>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</si>
  <si>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</si>
  <si>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</si>
  <si>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</si>
  <si>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</si>
  <si>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</si>
  <si>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</si>
  <si>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</si>
  <si>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</si>
  <si>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</si>
  <si>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</si>
  <si>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</si>
  <si>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</si>
  <si>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</si>
  <si>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</si>
  <si>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</si>
  <si>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</si>
  <si>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</si>
  <si>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</si>
  <si>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</si>
  <si>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</si>
  <si>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</si>
  <si>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</si>
  <si>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</si>
  <si>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</si>
  <si>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</si>
  <si>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</si>
  <si>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</si>
  <si>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</si>
  <si>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</si>
  <si>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</si>
  <si>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</si>
  <si>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</si>
  <si>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</si>
  <si>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</si>
  <si>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</si>
  <si>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</si>
  <si>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</si>
  <si>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</si>
  <si>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</si>
  <si>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</si>
  <si>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</si>
  <si>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</si>
  <si>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</si>
  <si>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</si>
  <si>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</si>
  <si>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</si>
  <si>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</si>
  <si>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</si>
  <si>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</si>
  <si>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</si>
  <si>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</si>
  <si>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</si>
  <si>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</si>
  <si>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</si>
  <si>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</si>
  <si>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</si>
  <si>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</si>
  <si>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</si>
  <si>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</si>
  <si>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</si>
  <si>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</si>
  <si>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</si>
  <si>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</si>
  <si>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</si>
  <si>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</si>
  <si>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</si>
  <si>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</si>
  <si>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</si>
  <si>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</si>
  <si>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</si>
  <si>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</si>
  <si>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</si>
  <si>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</si>
  <si>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</si>
  <si>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</si>
  <si>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</si>
  <si>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</si>
  <si>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</si>
  <si>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</si>
  <si>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</si>
  <si>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</si>
  <si>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</si>
  <si>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</si>
  <si>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</si>
  <si>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</si>
  <si>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</si>
  <si>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</si>
  <si>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</si>
  <si>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</si>
  <si>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</si>
  <si>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</si>
  <si>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</si>
  <si>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</si>
  <si>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</si>
  <si>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</si>
  <si>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</si>
  <si>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</si>
  <si>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</si>
  <si>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</si>
  <si>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</si>
  <si>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</si>
  <si>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</si>
  <si>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</si>
  <si>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</si>
  <si>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</si>
  <si>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</si>
  <si>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</si>
  <si>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</si>
  <si>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</si>
  <si>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</si>
  <si>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</si>
  <si>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</si>
  <si>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</si>
  <si>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</si>
  <si>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</si>
  <si>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</si>
  <si>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</si>
  <si>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</si>
  <si>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</si>
  <si>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</si>
  <si>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</si>
  <si>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</si>
  <si>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</si>
  <si>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</si>
  <si>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</si>
  <si>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</si>
  <si>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</si>
  <si>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</si>
  <si>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</si>
  <si>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</si>
  <si>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</si>
  <si>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</si>
  <si>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</si>
  <si>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</si>
  <si>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</si>
  <si>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</si>
  <si>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</si>
  <si>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</si>
  <si>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</si>
  <si>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</si>
  <si>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</si>
  <si>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</si>
  <si>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</si>
  <si>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</si>
  <si>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</si>
  <si>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</si>
  <si>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</si>
  <si>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</si>
  <si>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</si>
  <si>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</si>
  <si>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</si>
  <si>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</si>
  <si>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</si>
  <si>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</si>
  <si>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</si>
  <si>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</si>
  <si>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</si>
  <si>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</si>
  <si>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</si>
  <si>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</si>
  <si>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</si>
  <si>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</si>
  <si>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</si>
  <si>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</si>
  <si>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</si>
  <si>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</si>
  <si>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</si>
  <si>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</si>
  <si>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</si>
  <si>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</si>
  <si>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</si>
  <si>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</si>
  <si>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</si>
  <si>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</si>
  <si>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</si>
  <si>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</si>
  <si>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</si>
  <si>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</si>
  <si>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</si>
  <si>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</si>
  <si>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</si>
  <si>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</si>
  <si>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</si>
  <si>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</si>
  <si>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</si>
  <si>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</si>
  <si>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</si>
  <si>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</si>
  <si>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</si>
  <si>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</si>
  <si>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</si>
  <si>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</si>
  <si>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</si>
  <si>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</si>
  <si>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</si>
  <si>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</si>
  <si>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</si>
  <si>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</si>
  <si>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</si>
  <si>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</si>
  <si>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</si>
  <si>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</si>
  <si>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</si>
  <si>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</si>
  <si>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</si>
  <si>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</si>
  <si>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</si>
  <si>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</si>
  <si>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</si>
  <si>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</si>
  <si>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</si>
  <si>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</si>
  <si>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</si>
  <si>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</si>
  <si>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</si>
  <si>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</si>
  <si>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</si>
  <si>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</si>
  <si>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</si>
  <si>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</si>
  <si>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</si>
  <si>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</si>
  <si>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</si>
  <si>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</si>
  <si>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</si>
  <si>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</si>
  <si>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</si>
  <si>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</si>
  <si>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</si>
  <si>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</si>
  <si>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</si>
  <si>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</si>
  <si>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</si>
  <si>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</si>
  <si>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</si>
  <si>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</si>
  <si>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</si>
  <si>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</si>
  <si>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</si>
  <si>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</si>
  <si>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</si>
  <si>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</si>
  <si>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</si>
  <si>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</si>
  <si>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</si>
  <si>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</si>
  <si>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</si>
  <si>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</si>
  <si>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</si>
  <si>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</si>
  <si>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</si>
  <si>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</si>
  <si>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</si>
  <si>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</si>
  <si>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</si>
  <si>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</si>
  <si>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</si>
  <si>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</si>
  <si>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</si>
  <si>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</si>
  <si>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</si>
  <si>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</si>
  <si>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</si>
  <si>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</si>
  <si>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</si>
  <si>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</si>
  <si>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</si>
  <si>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</si>
  <si>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交易性金融资产</t>
    </r>
    <phoneticPr fontId="26" type="noConversion"/>
  </si>
  <si>
    <r>
      <rPr>
        <sz val="10"/>
        <rFont val="楷体"/>
        <family val="3"/>
        <charset val="134"/>
      </rPr>
      <t>持有至到期投资</t>
    </r>
    <phoneticPr fontId="26" type="noConversion"/>
  </si>
  <si>
    <r>
      <rPr>
        <sz val="10"/>
        <rFont val="楷体"/>
        <family val="3"/>
        <charset val="134"/>
      </rPr>
      <t>可供出售金融资产</t>
    </r>
    <phoneticPr fontId="26" type="noConversion"/>
  </si>
  <si>
    <r>
      <rPr>
        <sz val="10"/>
        <rFont val="楷体"/>
        <family val="3"/>
        <charset val="134"/>
      </rPr>
      <t>应收款项类投资</t>
    </r>
    <phoneticPr fontId="26" type="noConversion"/>
  </si>
  <si>
    <r>
      <rPr>
        <sz val="10"/>
        <rFont val="楷体"/>
        <family val="3"/>
        <charset val="134"/>
      </rPr>
      <t>政府债</t>
    </r>
    <phoneticPr fontId="26" type="noConversion"/>
  </si>
  <si>
    <t>投资类占比分析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</si>
  <si>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</si>
  <si>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</si>
  <si>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</si>
  <si>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收回以前年度核销</t>
  </si>
  <si>
    <t>核销汇总</t>
  </si>
  <si>
    <t>计提</t>
  </si>
  <si>
    <t>核销及转出</t>
  </si>
  <si>
    <t>不良生成额</t>
  </si>
  <si>
    <t>不良生成率</t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</si>
  <si>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</si>
  <si>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</si>
  <si>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</si>
  <si>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</si>
  <si>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</si>
  <si>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</si>
  <si>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</si>
  <si>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</si>
  <si>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</si>
  <si>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6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</si>
  <si>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</si>
  <si>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</si>
  <si>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6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</si>
  <si>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</si>
  <si>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</si>
  <si>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</si>
  <si>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</si>
  <si>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</si>
  <si>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</si>
  <si>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</si>
  <si>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</si>
  <si>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</si>
  <si>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</si>
  <si>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</si>
  <si>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</si>
  <si>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</si>
  <si>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</si>
  <si>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</si>
  <si>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</si>
  <si>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</si>
  <si>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</si>
  <si>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</si>
  <si>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6" type="noConversion"/>
  </si>
  <si>
    <r>
      <rPr>
        <sz val="9"/>
        <color theme="1"/>
        <rFont val="楷体"/>
        <family val="3"/>
        <charset val="134"/>
      </rPr>
      <t>本年核销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</si>
  <si>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</si>
  <si>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6" type="noConversion"/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</si>
  <si>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</si>
  <si>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</si>
  <si>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</si>
  <si>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</si>
  <si>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</si>
  <si>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</si>
  <si>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</si>
  <si>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</si>
  <si>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</si>
  <si>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</si>
  <si>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</si>
  <si>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</si>
  <si>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</si>
  <si>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</si>
  <si>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</si>
  <si>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</si>
  <si>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</si>
  <si>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</si>
  <si>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</si>
  <si>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</si>
  <si>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</si>
  <si>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</si>
  <si>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</si>
  <si>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</si>
  <si>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选择科目↓↓</t>
    <phoneticPr fontId="4" type="noConversion"/>
  </si>
  <si>
    <t>发放贷款：收益率</t>
  </si>
  <si>
    <t>企业贷款：收益率</t>
  </si>
  <si>
    <t>个人贷款：收益率</t>
  </si>
  <si>
    <t>债券投资：收益率</t>
  </si>
  <si>
    <t>交易性：收益率</t>
  </si>
  <si>
    <t>可供出售：收益率</t>
  </si>
  <si>
    <t>持有至到期：收益率</t>
  </si>
  <si>
    <t>应收款项类：收益率</t>
  </si>
  <si>
    <t>现金及存放央行：收益率</t>
  </si>
  <si>
    <t>同业资产：收益率</t>
  </si>
  <si>
    <t>存放同业：收益率</t>
  </si>
  <si>
    <t>买入返售：收益率</t>
  </si>
  <si>
    <t>存款：成本率</t>
  </si>
  <si>
    <t>活期存款：成本率</t>
  </si>
  <si>
    <t xml:space="preserve">   企业活期：成本率</t>
  </si>
  <si>
    <t xml:space="preserve">   个人活期：成本率</t>
  </si>
  <si>
    <t>定期存款：成本率</t>
  </si>
  <si>
    <t xml:space="preserve">   企业定期：成本率</t>
  </si>
  <si>
    <t xml:space="preserve">   个人定期：成本率</t>
  </si>
  <si>
    <t>其他：成本率</t>
  </si>
  <si>
    <t>发行债券：成本率</t>
  </si>
  <si>
    <t>同业负债：成本率</t>
  </si>
  <si>
    <t>同业存放：成本率</t>
  </si>
  <si>
    <t>卖出回购：成本率</t>
  </si>
  <si>
    <t>向央行借款：成本率</t>
  </si>
  <si>
    <r>
      <rPr>
        <sz val="10"/>
        <rFont val="楷体"/>
        <family val="3"/>
        <charset val="134"/>
      </rPr>
      <t>在建工程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</si>
  <si>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</si>
  <si>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</si>
  <si>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</si>
  <si>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</si>
  <si>
    <r>
      <rPr>
        <sz val="10"/>
        <rFont val="楷体"/>
        <family val="3"/>
        <charset val="134"/>
      </rPr>
      <t>其他业务成本</t>
    </r>
  </si>
  <si>
    <t>企业贷款余额</t>
  </si>
  <si>
    <t xml:space="preserve">  贴现余额</t>
  </si>
  <si>
    <t>个人贷款余额</t>
  </si>
  <si>
    <t>生息资产平均余额</t>
  </si>
  <si>
    <t>发放贷款（包含境外业务）平均余额</t>
  </si>
  <si>
    <t>企业贷款平均余额</t>
  </si>
  <si>
    <t xml:space="preserve">  一般公司贷款平均余额</t>
  </si>
  <si>
    <t xml:space="preserve">  贴现平均余额</t>
  </si>
  <si>
    <t>个人贷款平均余额</t>
  </si>
  <si>
    <t>债券投资平均余额</t>
  </si>
  <si>
    <t>交易性平均余额</t>
  </si>
  <si>
    <t>可供出售平均余额</t>
  </si>
  <si>
    <t>持有至到期平均余额</t>
  </si>
  <si>
    <t>应收款项类平均余额</t>
  </si>
  <si>
    <t>现金及存放央行平均余额</t>
  </si>
  <si>
    <t>同业资产平均余额</t>
  </si>
  <si>
    <t>存放同业平均余额</t>
  </si>
  <si>
    <t>拆出资金平均余额</t>
  </si>
  <si>
    <t>买入返售平均余额</t>
  </si>
  <si>
    <t>其他生息资产平均余额</t>
  </si>
  <si>
    <t>付息负债平均余额</t>
  </si>
  <si>
    <t>存款平均余额</t>
  </si>
  <si>
    <t>活期存款平均余额</t>
  </si>
  <si>
    <t>定期存款存款：平均余额</t>
    <phoneticPr fontId="4" type="noConversion"/>
  </si>
  <si>
    <t>发行债券平均余额</t>
  </si>
  <si>
    <t>同业负债平均余额</t>
  </si>
  <si>
    <t>同业存放平均余额</t>
  </si>
  <si>
    <t>拆入资金平均余额</t>
  </si>
  <si>
    <t>卖出回购平均余额</t>
  </si>
  <si>
    <t>向央行借款平均余额</t>
  </si>
  <si>
    <t>其他付息负债平均余额</t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</si>
  <si>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</si>
  <si>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t>发放贷款：利息收入</t>
  </si>
  <si>
    <t>企业贷款：利息收入</t>
  </si>
  <si>
    <t xml:space="preserve">  企业贷款及垫款（含其他）：利息收入</t>
  </si>
  <si>
    <t xml:space="preserve">  贴现：利息收入</t>
  </si>
  <si>
    <t>个人贷款：利息收入</t>
  </si>
  <si>
    <t>债券投资：利息收入</t>
  </si>
  <si>
    <t>交易性：利息收入</t>
  </si>
  <si>
    <t>可供出售：利息收入</t>
  </si>
  <si>
    <t>持有至到期：利息收入</t>
  </si>
  <si>
    <t>应收款项类：利息收入</t>
  </si>
  <si>
    <t>现金及存放央行：利息收入</t>
  </si>
  <si>
    <t>同业资产：利息收入</t>
  </si>
  <si>
    <t>存放同业：利息收入</t>
  </si>
  <si>
    <t>拆出资金：利息收入</t>
  </si>
  <si>
    <t>买入返售：利息收入</t>
  </si>
  <si>
    <t>其他利息收入：利息收入</t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</si>
  <si>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</si>
  <si>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t>存款：利息支出</t>
  </si>
  <si>
    <t>活期存款：利息支出</t>
  </si>
  <si>
    <t xml:space="preserve">   企业活期：利息支出</t>
  </si>
  <si>
    <t xml:space="preserve">   个人活期：利息支出</t>
  </si>
  <si>
    <t>定期存款：利息支出</t>
  </si>
  <si>
    <t xml:space="preserve">   企业定期：利息支出</t>
  </si>
  <si>
    <t xml:space="preserve">   个人定期：利息支出</t>
  </si>
  <si>
    <t>发行债券：利息支出</t>
  </si>
  <si>
    <t>同业负债：利息支出</t>
  </si>
  <si>
    <t>同业存放：利息支出</t>
  </si>
  <si>
    <t>拆入资金：利息支出</t>
  </si>
  <si>
    <t>卖出回购：利息支出</t>
  </si>
  <si>
    <t>向央行借款：利息支出</t>
  </si>
  <si>
    <t xml:space="preserve">  贴现：收益率</t>
  </si>
  <si>
    <t>拆出资金：收益率</t>
  </si>
  <si>
    <t>拆入资金：成本率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</si>
  <si>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</si>
  <si>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工商银行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</si>
  <si>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</si>
  <si>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其中：本年新增</t>
    </r>
  </si>
  <si>
    <r>
      <rPr>
        <sz val="10"/>
        <color theme="1"/>
        <rFont val="楷体"/>
        <family val="3"/>
        <charset val="134"/>
      </rPr>
      <t>已减值贷款利息收入</t>
    </r>
  </si>
  <si>
    <r>
      <rPr>
        <sz val="10"/>
        <color theme="1"/>
        <rFont val="楷体"/>
        <family val="3"/>
        <charset val="134"/>
      </rPr>
      <t>收购子公司</t>
    </r>
  </si>
  <si>
    <r>
      <rPr>
        <sz val="10"/>
        <color theme="1"/>
        <rFont val="楷体"/>
        <family val="3"/>
        <charset val="134"/>
      </rPr>
      <t>收回以前年度核销</t>
    </r>
  </si>
  <si>
    <r>
      <rPr>
        <sz val="10"/>
        <color theme="1"/>
        <rFont val="楷体"/>
        <family val="3"/>
        <charset val="134"/>
      </rPr>
      <t>其他变动</t>
    </r>
  </si>
  <si>
    <r>
      <rPr>
        <b/>
        <sz val="10"/>
        <rFont val="楷体"/>
        <family val="3"/>
        <charset val="134"/>
      </rPr>
      <t>投资类占比分析</t>
    </r>
    <phoneticPr fontId="4" type="noConversion"/>
  </si>
  <si>
    <r>
      <rPr>
        <sz val="10"/>
        <color rgb="FF000000"/>
        <rFont val="楷体"/>
        <family val="3"/>
        <charset val="134"/>
      </rPr>
      <t>其他</t>
    </r>
  </si>
  <si>
    <t xml:space="preserve">  利息收入</t>
  </si>
  <si>
    <t xml:space="preserve">  　　发放贷款及垫款</t>
  </si>
  <si>
    <t xml:space="preserve">  　　　　个人及公司贷款业务</t>
  </si>
  <si>
    <t xml:space="preserve">    公司贷款业务</t>
  </si>
  <si>
    <t xml:space="preserve">    个人贷款业务</t>
  </si>
  <si>
    <t xml:space="preserve">  　　　　票据贴现业务</t>
  </si>
  <si>
    <t xml:space="preserve">  　　债券投资</t>
  </si>
  <si>
    <t xml:space="preserve">  　　存放中央银行款项</t>
  </si>
  <si>
    <t xml:space="preserve">  　　存放同业和其他金融机构款项</t>
  </si>
  <si>
    <t xml:space="preserve">  非利息收入:手续费及佣金收入</t>
  </si>
  <si>
    <t xml:space="preserve">  　　理财业务</t>
  </si>
  <si>
    <t xml:space="preserve">  　　　　对私理财</t>
  </si>
  <si>
    <t xml:space="preserve">  　　　　对公理财</t>
  </si>
  <si>
    <t xml:space="preserve">  　　银行卡业务</t>
  </si>
  <si>
    <t xml:space="preserve">  　　结算业务</t>
  </si>
  <si>
    <t xml:space="preserve">  　　投资银行业务</t>
  </si>
  <si>
    <t xml:space="preserve">  　　担保承诺业务</t>
  </si>
  <si>
    <t xml:space="preserve">  　　代理委托业务</t>
  </si>
  <si>
    <t xml:space="preserve">  　　结售汇业务</t>
  </si>
  <si>
    <t xml:space="preserve">  　　托管及其他受托业务</t>
  </si>
  <si>
    <t xml:space="preserve">  　　其他业务</t>
  </si>
  <si>
    <t>2015H</t>
  </si>
  <si>
    <t>2015A</t>
  </si>
  <si>
    <t>2016A</t>
  </si>
  <si>
    <t>营业收入:环比增速</t>
  </si>
  <si>
    <t>利息净收入:环比增速</t>
  </si>
  <si>
    <t>非息净收入:环比增速</t>
  </si>
  <si>
    <t>手续费及佣金净收入:环比增速</t>
  </si>
  <si>
    <t>营业税金及附加:环比增速</t>
  </si>
  <si>
    <t>管理费用:环比增速</t>
  </si>
  <si>
    <t>归母净利润:环比增速</t>
  </si>
  <si>
    <t>2016Q1</t>
  </si>
  <si>
    <t>2016Q2</t>
  </si>
  <si>
    <t>2016Q3</t>
  </si>
  <si>
    <t>2016Q4</t>
  </si>
  <si>
    <t>2017Q1</t>
  </si>
  <si>
    <t>2017Q2</t>
  </si>
  <si>
    <t>营业收入：同比增速</t>
  </si>
  <si>
    <t>利息净收入：同比增速</t>
  </si>
  <si>
    <t>非息净收入：同比增速</t>
  </si>
  <si>
    <t>手续费及佣金净收入：同比增速</t>
  </si>
  <si>
    <t>营业税金及附加：同比增速</t>
  </si>
  <si>
    <t>管理费用：同比增速</t>
  </si>
  <si>
    <t>利息净收入:占比</t>
  </si>
  <si>
    <t>非息净收入:占比</t>
  </si>
  <si>
    <t>手续费及佣金净收入:占比</t>
  </si>
  <si>
    <t>平均生息资产：驱动因素</t>
  </si>
  <si>
    <t>净息差：驱动因素</t>
  </si>
  <si>
    <t>非利息净收入：驱动因素</t>
  </si>
  <si>
    <t>营业成本及所得税：驱动因素</t>
  </si>
  <si>
    <t>资产减值损失：驱动因素</t>
  </si>
  <si>
    <t>营业外利润：驱动因素</t>
  </si>
  <si>
    <t>贷款及垫款：占比</t>
  </si>
  <si>
    <t>同业资产：占比</t>
  </si>
  <si>
    <t>债券类投资：占比</t>
  </si>
  <si>
    <t>应收款项类投资：占比</t>
  </si>
  <si>
    <t>投资类资产：占比</t>
  </si>
  <si>
    <t>存放央行：占比</t>
  </si>
  <si>
    <t>其他资产：占比</t>
  </si>
  <si>
    <t>存款：占比</t>
  </si>
  <si>
    <t>同业负债：占比</t>
  </si>
  <si>
    <t>应付债券：占比</t>
  </si>
  <si>
    <t>向央行借款：占比</t>
  </si>
  <si>
    <t>其他负债：占比</t>
  </si>
  <si>
    <t xml:space="preserve">  个人汽车贷款：占比</t>
  </si>
  <si>
    <t xml:space="preserve">  个人经营性贷款：占比</t>
  </si>
  <si>
    <t xml:space="preserve">  其他个人贷款：占比</t>
  </si>
  <si>
    <t xml:space="preserve">  信用卡应收账款：占比</t>
  </si>
  <si>
    <t>-</t>
  </si>
  <si>
    <t>交通运输、仓储和邮政业:不良率</t>
  </si>
  <si>
    <t>制造业:不良率</t>
  </si>
  <si>
    <t xml:space="preserve">     化工:不良率</t>
  </si>
  <si>
    <t xml:space="preserve">     机械:不良率</t>
  </si>
  <si>
    <t xml:space="preserve">     金属加工:不良率</t>
  </si>
  <si>
    <t xml:space="preserve">     纺织及服装:不良率</t>
  </si>
  <si>
    <t xml:space="preserve">     计算机、通信和其他电子设备:不良率</t>
  </si>
  <si>
    <t xml:space="preserve">     钢铁:不良率</t>
  </si>
  <si>
    <t xml:space="preserve">     交通运输设备:不良率</t>
  </si>
  <si>
    <t xml:space="preserve">     非金属矿物:不良率</t>
  </si>
  <si>
    <t xml:space="preserve">     石油加工、炼焦及核燃料:不良率</t>
  </si>
  <si>
    <t xml:space="preserve">     其他:不良率</t>
  </si>
  <si>
    <t>电力、热力、燃气及水生产和供应业:不良率</t>
  </si>
  <si>
    <t>租赁和商贸服务业:不良率</t>
  </si>
  <si>
    <t>水利、环境和公共设施管理业:不良率</t>
  </si>
  <si>
    <t>批发和零售业:不良率</t>
  </si>
  <si>
    <t>房地产业:不良率</t>
  </si>
  <si>
    <t>采矿业:不良率</t>
  </si>
  <si>
    <t>建筑业:不良率</t>
  </si>
  <si>
    <t>科教文卫:不良率</t>
  </si>
  <si>
    <t>住宿和餐饮业:不良率</t>
  </si>
  <si>
    <t>其他行业不良率:不良率</t>
  </si>
  <si>
    <t>合计:不良率</t>
  </si>
  <si>
    <t xml:space="preserve">      </t>
  </si>
  <si>
    <t>control</t>
  </si>
  <si>
    <t xml:space="preserve">         </t>
  </si>
  <si>
    <r>
      <rPr>
        <sz val="10"/>
        <color rgb="FF000000"/>
        <rFont val="楷体"/>
        <family val="3"/>
        <charset val="134"/>
      </rPr>
      <t>贷款总额</t>
    </r>
  </si>
  <si>
    <t>1Q07</t>
  </si>
  <si>
    <t>1H07</t>
  </si>
  <si>
    <t>3Q07</t>
  </si>
  <si>
    <t>1Q08</t>
  </si>
  <si>
    <t>1H08</t>
  </si>
  <si>
    <t>3Q08</t>
  </si>
  <si>
    <t>1Q09</t>
  </si>
  <si>
    <t>1H09</t>
  </si>
  <si>
    <t>3Q09</t>
  </si>
  <si>
    <t>1Q10</t>
  </si>
  <si>
    <t>1H10</t>
  </si>
  <si>
    <t>3Q10</t>
  </si>
  <si>
    <t>1Q11</t>
  </si>
  <si>
    <t>3Q11</t>
  </si>
  <si>
    <t>1Q13</t>
  </si>
  <si>
    <t>1H13</t>
  </si>
  <si>
    <t>3Q13</t>
  </si>
  <si>
    <t>1Q14</t>
  </si>
  <si>
    <t>1H14</t>
  </si>
  <si>
    <t>3Q14</t>
  </si>
  <si>
    <t>1Q15</t>
  </si>
  <si>
    <t>1H15</t>
  </si>
  <si>
    <t>3Q15</t>
  </si>
  <si>
    <t>1Q16</t>
  </si>
  <si>
    <t>1H16</t>
  </si>
  <si>
    <t>3Q16</t>
  </si>
  <si>
    <t>2008H</t>
  </si>
  <si>
    <t>2009H</t>
  </si>
  <si>
    <t>2010H</t>
  </si>
  <si>
    <t>2011H</t>
  </si>
  <si>
    <t>2012H</t>
  </si>
  <si>
    <t>2013H</t>
  </si>
  <si>
    <t>2014H</t>
  </si>
  <si>
    <t xml:space="preserve">   企业活期存款：平均余额</t>
    <phoneticPr fontId="4" type="noConversion"/>
  </si>
  <si>
    <t xml:space="preserve">   个人活期存款：平均余额</t>
    <phoneticPr fontId="4" type="noConversion"/>
  </si>
  <si>
    <t xml:space="preserve">   企业定期存款：平均余额</t>
    <phoneticPr fontId="4" type="noConversion"/>
  </si>
  <si>
    <t>利息收入总额</t>
    <phoneticPr fontId="6" type="noConversion"/>
  </si>
  <si>
    <t>营业总收入</t>
  </si>
  <si>
    <t>利息收入结构</t>
    <phoneticPr fontId="4" type="noConversion"/>
  </si>
  <si>
    <t>发放贷款及垫款</t>
  </si>
  <si>
    <t>存放中央银行款项</t>
  </si>
  <si>
    <t>存放同业和其他金融机构款项</t>
  </si>
  <si>
    <t>理财业务</t>
  </si>
  <si>
    <t>银行卡业务</t>
  </si>
  <si>
    <t>结算业务</t>
  </si>
  <si>
    <t>投资银行业务</t>
  </si>
  <si>
    <t>担保承诺业务</t>
  </si>
  <si>
    <t>代理委托业务</t>
  </si>
  <si>
    <t>托管及其他受托业务</t>
  </si>
  <si>
    <t>其他业务</t>
  </si>
  <si>
    <t>个人贷款占比</t>
    <phoneticPr fontId="4" type="noConversion"/>
  </si>
  <si>
    <r>
      <rPr>
        <b/>
        <sz val="10"/>
        <rFont val="楷体"/>
        <family val="3"/>
        <charset val="134"/>
      </rPr>
      <t>工商银行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</si>
  <si>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</si>
  <si>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拆出资金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余额</t>
    </r>
    <phoneticPr fontId="4" type="noConversion"/>
  </si>
  <si>
    <r>
      <rPr>
        <sz val="10"/>
        <rFont val="楷体"/>
        <family val="3"/>
        <charset val="134"/>
      </rPr>
      <t>拆入资金：余额</t>
    </r>
    <phoneticPr fontId="4" type="noConversion"/>
  </si>
  <si>
    <r>
      <rPr>
        <sz val="10"/>
        <rFont val="楷体"/>
        <family val="3"/>
        <charset val="134"/>
      </rPr>
      <t>其他综合收益：累计</t>
    </r>
    <phoneticPr fontId="6" type="noConversion"/>
  </si>
  <si>
    <r>
      <rPr>
        <sz val="10"/>
        <rFont val="楷体"/>
        <family val="3"/>
        <charset val="134"/>
      </rPr>
      <t>企业贷款余额</t>
    </r>
  </si>
  <si>
    <r>
      <t xml:space="preserve">  </t>
    </r>
    <r>
      <rPr>
        <sz val="10"/>
        <rFont val="楷体"/>
        <family val="3"/>
        <charset val="134"/>
      </rPr>
      <t>企业一般贷款（含其他）余额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</si>
  <si>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贴现余额</t>
    </r>
  </si>
  <si>
    <r>
      <rPr>
        <sz val="10"/>
        <rFont val="楷体"/>
        <family val="3"/>
        <charset val="134"/>
      </rPr>
      <t>个人贷款余额</t>
    </r>
  </si>
  <si>
    <r>
      <rPr>
        <sz val="10"/>
        <rFont val="楷体"/>
        <family val="3"/>
        <charset val="134"/>
      </rPr>
      <t>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</si>
  <si>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</si>
  <si>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个人活期存款余额</t>
    </r>
    <phoneticPr fontId="4" type="noConversion"/>
  </si>
  <si>
    <r>
      <rPr>
        <sz val="10"/>
        <rFont val="楷体"/>
        <family val="3"/>
        <charset val="134"/>
      </rPr>
      <t>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</si>
  <si>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</si>
  <si>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个人定期存款余额</t>
    </r>
    <phoneticPr fontId="4" type="noConversion"/>
  </si>
  <si>
    <r>
      <rPr>
        <sz val="10"/>
        <rFont val="楷体"/>
        <family val="3"/>
        <charset val="134"/>
      </rPr>
      <t>其他存款余额</t>
    </r>
    <phoneticPr fontId="4" type="noConversion"/>
  </si>
  <si>
    <r>
      <rPr>
        <sz val="10"/>
        <rFont val="楷体"/>
        <family val="3"/>
        <charset val="134"/>
      </rPr>
      <t>企业存款余额</t>
    </r>
    <phoneticPr fontId="4" type="noConversion"/>
  </si>
  <si>
    <r>
      <rPr>
        <sz val="10"/>
        <rFont val="楷体"/>
        <family val="3"/>
        <charset val="134"/>
      </rPr>
      <t>个人存款余额</t>
    </r>
    <phoneticPr fontId="4" type="noConversion"/>
  </si>
  <si>
    <r>
      <rPr>
        <b/>
        <sz val="10"/>
        <rFont val="楷体"/>
        <family val="3"/>
        <charset val="134"/>
      </rPr>
      <t>生息资产平均余额</t>
    </r>
  </si>
  <si>
    <r>
      <rPr>
        <b/>
        <sz val="10"/>
        <rFont val="楷体"/>
        <family val="3"/>
        <charset val="134"/>
      </rPr>
      <t>发放贷款（包含境外业务）平均余额</t>
    </r>
  </si>
  <si>
    <r>
      <rPr>
        <sz val="10"/>
        <rFont val="楷体"/>
        <family val="3"/>
        <charset val="134"/>
      </rPr>
      <t>企业贷款平均余额</t>
    </r>
  </si>
  <si>
    <r>
      <t xml:space="preserve">  </t>
    </r>
    <r>
      <rPr>
        <sz val="10"/>
        <rFont val="楷体"/>
        <family val="3"/>
        <charset val="134"/>
      </rPr>
      <t>一般公司贷款平均余额</t>
    </r>
  </si>
  <si>
    <r>
      <t xml:space="preserve">  </t>
    </r>
    <r>
      <rPr>
        <sz val="10"/>
        <rFont val="楷体"/>
        <family val="3"/>
        <charset val="134"/>
      </rPr>
      <t>贴现平均余额</t>
    </r>
  </si>
  <si>
    <r>
      <rPr>
        <sz val="10"/>
        <rFont val="楷体"/>
        <family val="3"/>
        <charset val="134"/>
      </rPr>
      <t>个人贷款平均余额</t>
    </r>
  </si>
  <si>
    <r>
      <rPr>
        <b/>
        <sz val="10"/>
        <rFont val="楷体"/>
        <family val="3"/>
        <charset val="134"/>
      </rPr>
      <t>债券投资平均余额</t>
    </r>
  </si>
  <si>
    <r>
      <rPr>
        <sz val="10"/>
        <rFont val="楷体"/>
        <family val="3"/>
        <charset val="134"/>
      </rPr>
      <t>交易性平均余额</t>
    </r>
  </si>
  <si>
    <r>
      <rPr>
        <sz val="10"/>
        <rFont val="楷体"/>
        <family val="3"/>
        <charset val="134"/>
      </rPr>
      <t>可供出售平均余额</t>
    </r>
  </si>
  <si>
    <r>
      <rPr>
        <sz val="10"/>
        <rFont val="楷体"/>
        <family val="3"/>
        <charset val="134"/>
      </rPr>
      <t>持有至到期平均余额</t>
    </r>
  </si>
  <si>
    <r>
      <rPr>
        <sz val="10"/>
        <rFont val="楷体"/>
        <family val="3"/>
        <charset val="134"/>
      </rPr>
      <t>应收款项类平均余额</t>
    </r>
  </si>
  <si>
    <r>
      <rPr>
        <b/>
        <sz val="10"/>
        <rFont val="楷体"/>
        <family val="3"/>
        <charset val="134"/>
      </rPr>
      <t>现金及存放央行平均余额</t>
    </r>
  </si>
  <si>
    <r>
      <rPr>
        <b/>
        <sz val="10"/>
        <rFont val="楷体"/>
        <family val="3"/>
        <charset val="134"/>
      </rPr>
      <t>同业资产平均余额</t>
    </r>
  </si>
  <si>
    <r>
      <rPr>
        <sz val="10"/>
        <rFont val="楷体"/>
        <family val="3"/>
        <charset val="134"/>
      </rPr>
      <t>存放同业平均余额</t>
    </r>
  </si>
  <si>
    <r>
      <rPr>
        <sz val="10"/>
        <rFont val="楷体"/>
        <family val="3"/>
        <charset val="134"/>
      </rPr>
      <t>拆出资金平均余额</t>
    </r>
  </si>
  <si>
    <r>
      <rPr>
        <sz val="10"/>
        <rFont val="楷体"/>
        <family val="3"/>
        <charset val="134"/>
      </rPr>
      <t>买入返售平均余额</t>
    </r>
  </si>
  <si>
    <r>
      <rPr>
        <b/>
        <sz val="10"/>
        <rFont val="楷体"/>
        <family val="3"/>
        <charset val="134"/>
      </rPr>
      <t>其他生息资产平均余额</t>
    </r>
  </si>
  <si>
    <r>
      <rPr>
        <b/>
        <sz val="10"/>
        <rFont val="楷体"/>
        <family val="3"/>
        <charset val="134"/>
      </rPr>
      <t>付息负债平均余额</t>
    </r>
  </si>
  <si>
    <r>
      <rPr>
        <b/>
        <sz val="10"/>
        <rFont val="楷体"/>
        <family val="3"/>
        <charset val="134"/>
      </rPr>
      <t>存款平均余额</t>
    </r>
  </si>
  <si>
    <r>
      <rPr>
        <sz val="10"/>
        <rFont val="楷体"/>
        <family val="3"/>
        <charset val="134"/>
      </rPr>
      <t>活期存款平均余额</t>
    </r>
  </si>
  <si>
    <r>
      <t xml:space="preserve">   </t>
    </r>
    <r>
      <rPr>
        <sz val="10"/>
        <rFont val="楷体"/>
        <family val="3"/>
        <charset val="134"/>
      </rPr>
      <t>企业活期存款：平均余额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</si>
  <si>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个人活期存款：平均余额</t>
    </r>
    <phoneticPr fontId="4" type="noConversion"/>
  </si>
  <si>
    <r>
      <rPr>
        <sz val="10"/>
        <rFont val="楷体"/>
        <family val="3"/>
        <charset val="134"/>
      </rPr>
      <t>定期存款存款：平均余额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</si>
  <si>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企业定期存款：平均余额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</si>
  <si>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个人定期存款：平均余额</t>
    </r>
    <phoneticPr fontId="4" type="noConversion"/>
  </si>
  <si>
    <r>
      <rPr>
        <sz val="10"/>
        <rFont val="楷体"/>
        <family val="3"/>
        <charset val="134"/>
      </rPr>
      <t>其他（境外业务）存款：平均余额</t>
    </r>
    <phoneticPr fontId="4" type="noConversion"/>
  </si>
  <si>
    <r>
      <rPr>
        <b/>
        <sz val="10"/>
        <rFont val="楷体"/>
        <family val="3"/>
        <charset val="134"/>
      </rPr>
      <t>发行债券平均余额</t>
    </r>
  </si>
  <si>
    <r>
      <rPr>
        <b/>
        <sz val="10"/>
        <rFont val="楷体"/>
        <family val="3"/>
        <charset val="134"/>
      </rPr>
      <t>同业负债平均余额</t>
    </r>
  </si>
  <si>
    <r>
      <rPr>
        <sz val="10"/>
        <rFont val="楷体"/>
        <family val="3"/>
        <charset val="134"/>
      </rPr>
      <t>同业存放平均余额</t>
    </r>
  </si>
  <si>
    <r>
      <rPr>
        <sz val="10"/>
        <rFont val="楷体"/>
        <family val="3"/>
        <charset val="134"/>
      </rPr>
      <t>拆入资金平均余额</t>
    </r>
  </si>
  <si>
    <r>
      <rPr>
        <sz val="10"/>
        <rFont val="楷体"/>
        <family val="3"/>
        <charset val="134"/>
      </rPr>
      <t>卖出回购平均余额</t>
    </r>
  </si>
  <si>
    <r>
      <rPr>
        <b/>
        <sz val="10"/>
        <rFont val="楷体"/>
        <family val="3"/>
        <charset val="134"/>
      </rPr>
      <t>向央行借款平均余额</t>
    </r>
  </si>
  <si>
    <r>
      <rPr>
        <b/>
        <sz val="10"/>
        <rFont val="楷体"/>
        <family val="3"/>
        <charset val="134"/>
      </rPr>
      <t>其他付息负债平均余额</t>
    </r>
  </si>
  <si>
    <r>
      <rPr>
        <b/>
        <sz val="10"/>
        <rFont val="楷体"/>
        <family val="3"/>
        <charset val="134"/>
      </rPr>
      <t>发放贷款：利息收入</t>
    </r>
  </si>
  <si>
    <r>
      <rPr>
        <sz val="10"/>
        <rFont val="楷体"/>
        <family val="3"/>
        <charset val="134"/>
      </rPr>
      <t>企业贷款：利息收入</t>
    </r>
  </si>
  <si>
    <r>
      <t xml:space="preserve">  </t>
    </r>
    <r>
      <rPr>
        <sz val="10"/>
        <rFont val="楷体"/>
        <family val="3"/>
        <charset val="134"/>
      </rPr>
      <t>企业贷款及垫款（含其他）：利息收入</t>
    </r>
  </si>
  <si>
    <r>
      <t xml:space="preserve">  </t>
    </r>
    <r>
      <rPr>
        <sz val="10"/>
        <rFont val="楷体"/>
        <family val="3"/>
        <charset val="134"/>
      </rPr>
      <t>贴现：利息收入</t>
    </r>
  </si>
  <si>
    <r>
      <rPr>
        <sz val="10"/>
        <rFont val="楷体"/>
        <family val="3"/>
        <charset val="134"/>
      </rPr>
      <t>个人贷款：利息收入</t>
    </r>
  </si>
  <si>
    <r>
      <rPr>
        <b/>
        <sz val="10"/>
        <rFont val="楷体"/>
        <family val="3"/>
        <charset val="134"/>
      </rPr>
      <t>债券投资：利息收入</t>
    </r>
  </si>
  <si>
    <r>
      <rPr>
        <sz val="10"/>
        <rFont val="楷体"/>
        <family val="3"/>
        <charset val="134"/>
      </rPr>
      <t>交易性：利息收入</t>
    </r>
  </si>
  <si>
    <r>
      <rPr>
        <sz val="10"/>
        <rFont val="楷体"/>
        <family val="3"/>
        <charset val="134"/>
      </rPr>
      <t>可供出售：利息收入</t>
    </r>
  </si>
  <si>
    <r>
      <rPr>
        <sz val="10"/>
        <rFont val="楷体"/>
        <family val="3"/>
        <charset val="134"/>
      </rPr>
      <t>持有至到期：利息收入</t>
    </r>
  </si>
  <si>
    <r>
      <rPr>
        <sz val="10"/>
        <rFont val="楷体"/>
        <family val="3"/>
        <charset val="134"/>
      </rPr>
      <t>应收款项类：利息收入</t>
    </r>
  </si>
  <si>
    <r>
      <rPr>
        <b/>
        <sz val="10"/>
        <rFont val="楷体"/>
        <family val="3"/>
        <charset val="134"/>
      </rPr>
      <t>现金及存放央行：利息收入</t>
    </r>
  </si>
  <si>
    <r>
      <rPr>
        <b/>
        <sz val="10"/>
        <rFont val="楷体"/>
        <family val="3"/>
        <charset val="134"/>
      </rPr>
      <t>同业资产：利息收入</t>
    </r>
  </si>
  <si>
    <r>
      <rPr>
        <sz val="10"/>
        <rFont val="楷体"/>
        <family val="3"/>
        <charset val="134"/>
      </rPr>
      <t>存放同业：利息收入</t>
    </r>
  </si>
  <si>
    <r>
      <rPr>
        <sz val="10"/>
        <rFont val="楷体"/>
        <family val="3"/>
        <charset val="134"/>
      </rPr>
      <t>拆出资金：利息收入</t>
    </r>
  </si>
  <si>
    <r>
      <rPr>
        <sz val="10"/>
        <rFont val="楷体"/>
        <family val="3"/>
        <charset val="134"/>
      </rPr>
      <t>买入返售：利息收入</t>
    </r>
  </si>
  <si>
    <r>
      <rPr>
        <b/>
        <sz val="10"/>
        <rFont val="楷体"/>
        <family val="3"/>
        <charset val="134"/>
      </rPr>
      <t>其他利息收入：利息收入</t>
    </r>
  </si>
  <si>
    <r>
      <rPr>
        <b/>
        <sz val="10"/>
        <rFont val="楷体"/>
        <family val="3"/>
        <charset val="134"/>
      </rPr>
      <t>存款：利息支出</t>
    </r>
  </si>
  <si>
    <r>
      <rPr>
        <sz val="10"/>
        <rFont val="楷体"/>
        <family val="3"/>
        <charset val="134"/>
      </rPr>
      <t>活期存款：利息支出</t>
    </r>
  </si>
  <si>
    <r>
      <t xml:space="preserve">   </t>
    </r>
    <r>
      <rPr>
        <sz val="10"/>
        <rFont val="楷体"/>
        <family val="3"/>
        <charset val="134"/>
      </rPr>
      <t>企业活期：利息支出</t>
    </r>
  </si>
  <si>
    <r>
      <t xml:space="preserve">   </t>
    </r>
    <r>
      <rPr>
        <sz val="10"/>
        <rFont val="楷体"/>
        <family val="3"/>
        <charset val="134"/>
      </rPr>
      <t>个人活期：利息支出</t>
    </r>
  </si>
  <si>
    <r>
      <rPr>
        <sz val="10"/>
        <rFont val="楷体"/>
        <family val="3"/>
        <charset val="134"/>
      </rPr>
      <t>定期存款：利息支出</t>
    </r>
  </si>
  <si>
    <r>
      <t xml:space="preserve">   </t>
    </r>
    <r>
      <rPr>
        <sz val="10"/>
        <rFont val="楷体"/>
        <family val="3"/>
        <charset val="134"/>
      </rPr>
      <t>企业定期：利息支出</t>
    </r>
  </si>
  <si>
    <r>
      <t xml:space="preserve">   </t>
    </r>
    <r>
      <rPr>
        <sz val="10"/>
        <rFont val="楷体"/>
        <family val="3"/>
        <charset val="134"/>
      </rPr>
      <t>个人定期：利息支出</t>
    </r>
  </si>
  <si>
    <r>
      <rPr>
        <sz val="10"/>
        <rFont val="楷体"/>
        <family val="3"/>
        <charset val="134"/>
      </rPr>
      <t>其他存款（境外业务）：利息支出</t>
    </r>
    <phoneticPr fontId="4" type="noConversion"/>
  </si>
  <si>
    <r>
      <rPr>
        <b/>
        <sz val="10"/>
        <rFont val="楷体"/>
        <family val="3"/>
        <charset val="134"/>
      </rPr>
      <t>发行债券：利息支出</t>
    </r>
  </si>
  <si>
    <r>
      <rPr>
        <b/>
        <sz val="10"/>
        <rFont val="楷体"/>
        <family val="3"/>
        <charset val="134"/>
      </rPr>
      <t>同业负债：利息支出</t>
    </r>
  </si>
  <si>
    <r>
      <rPr>
        <sz val="10"/>
        <rFont val="楷体"/>
        <family val="3"/>
        <charset val="134"/>
      </rPr>
      <t>同业存放：利息支出</t>
    </r>
  </si>
  <si>
    <r>
      <rPr>
        <sz val="10"/>
        <rFont val="楷体"/>
        <family val="3"/>
        <charset val="134"/>
      </rPr>
      <t>拆入资金：利息支出</t>
    </r>
  </si>
  <si>
    <r>
      <rPr>
        <sz val="10"/>
        <rFont val="楷体"/>
        <family val="3"/>
        <charset val="134"/>
      </rPr>
      <t>卖出回购：利息支出</t>
    </r>
  </si>
  <si>
    <r>
      <rPr>
        <b/>
        <sz val="10"/>
        <rFont val="楷体"/>
        <family val="3"/>
        <charset val="134"/>
      </rPr>
      <t>向央行借款：利息支出</t>
    </r>
  </si>
  <si>
    <r>
      <rPr>
        <b/>
        <sz val="10"/>
        <rFont val="楷体"/>
        <family val="3"/>
        <charset val="134"/>
      </rPr>
      <t>发放贷款：收益率</t>
    </r>
  </si>
  <si>
    <r>
      <rPr>
        <sz val="10"/>
        <rFont val="楷体"/>
        <family val="3"/>
        <charset val="134"/>
      </rPr>
      <t>企业贷款：收益率</t>
    </r>
  </si>
  <si>
    <r>
      <t xml:space="preserve">  </t>
    </r>
    <r>
      <rPr>
        <sz val="10"/>
        <rFont val="楷体"/>
        <family val="3"/>
        <charset val="134"/>
      </rPr>
      <t>一般企业贷款（含其他）：收益率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</si>
  <si>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贴现：收益率</t>
    </r>
  </si>
  <si>
    <r>
      <rPr>
        <sz val="10"/>
        <rFont val="楷体"/>
        <family val="3"/>
        <charset val="134"/>
      </rPr>
      <t>个人贷款：收益率</t>
    </r>
  </si>
  <si>
    <r>
      <rPr>
        <b/>
        <sz val="10"/>
        <rFont val="楷体"/>
        <family val="3"/>
        <charset val="134"/>
      </rPr>
      <t>债券投资：收益率</t>
    </r>
  </si>
  <si>
    <r>
      <rPr>
        <sz val="10"/>
        <rFont val="楷体"/>
        <family val="3"/>
        <charset val="134"/>
      </rPr>
      <t>交易性：收益率</t>
    </r>
  </si>
  <si>
    <r>
      <rPr>
        <sz val="10"/>
        <rFont val="楷体"/>
        <family val="3"/>
        <charset val="134"/>
      </rPr>
      <t>可供出售：收益率</t>
    </r>
  </si>
  <si>
    <r>
      <rPr>
        <sz val="10"/>
        <rFont val="楷体"/>
        <family val="3"/>
        <charset val="134"/>
      </rPr>
      <t>持有至到期：收益率</t>
    </r>
  </si>
  <si>
    <r>
      <rPr>
        <sz val="10"/>
        <rFont val="楷体"/>
        <family val="3"/>
        <charset val="134"/>
      </rPr>
      <t>应收款项类：收益率</t>
    </r>
  </si>
  <si>
    <r>
      <rPr>
        <b/>
        <sz val="10"/>
        <rFont val="楷体"/>
        <family val="3"/>
        <charset val="134"/>
      </rPr>
      <t>现金及存放央行：收益率</t>
    </r>
  </si>
  <si>
    <r>
      <rPr>
        <b/>
        <sz val="10"/>
        <rFont val="楷体"/>
        <family val="3"/>
        <charset val="134"/>
      </rPr>
      <t>同业资产：收益率</t>
    </r>
  </si>
  <si>
    <r>
      <rPr>
        <sz val="10"/>
        <rFont val="楷体"/>
        <family val="3"/>
        <charset val="134"/>
      </rPr>
      <t>存放同业：收益率</t>
    </r>
  </si>
  <si>
    <r>
      <rPr>
        <sz val="10"/>
        <rFont val="楷体"/>
        <family val="3"/>
        <charset val="134"/>
      </rPr>
      <t>拆出资金：收益率</t>
    </r>
  </si>
  <si>
    <r>
      <rPr>
        <sz val="10"/>
        <rFont val="楷体"/>
        <family val="3"/>
        <charset val="134"/>
      </rPr>
      <t>买入返售：收益率</t>
    </r>
  </si>
  <si>
    <r>
      <rPr>
        <b/>
        <sz val="10"/>
        <rFont val="楷体"/>
        <family val="3"/>
        <charset val="134"/>
      </rPr>
      <t>存款：成本率</t>
    </r>
  </si>
  <si>
    <r>
      <rPr>
        <sz val="10"/>
        <rFont val="楷体"/>
        <family val="3"/>
        <charset val="134"/>
      </rPr>
      <t>活期存款：成本率</t>
    </r>
  </si>
  <si>
    <r>
      <t xml:space="preserve">   </t>
    </r>
    <r>
      <rPr>
        <sz val="10"/>
        <rFont val="楷体"/>
        <family val="3"/>
        <charset val="134"/>
      </rPr>
      <t>企业活期：成本率</t>
    </r>
  </si>
  <si>
    <r>
      <t xml:space="preserve">   </t>
    </r>
    <r>
      <rPr>
        <sz val="10"/>
        <rFont val="楷体"/>
        <family val="3"/>
        <charset val="134"/>
      </rPr>
      <t>个人活期：成本率</t>
    </r>
  </si>
  <si>
    <r>
      <rPr>
        <sz val="10"/>
        <rFont val="楷体"/>
        <family val="3"/>
        <charset val="134"/>
      </rPr>
      <t>定期存款：成本率</t>
    </r>
  </si>
  <si>
    <r>
      <t xml:space="preserve">   </t>
    </r>
    <r>
      <rPr>
        <sz val="10"/>
        <rFont val="楷体"/>
        <family val="3"/>
        <charset val="134"/>
      </rPr>
      <t>企业定期：成本率</t>
    </r>
  </si>
  <si>
    <r>
      <t xml:space="preserve">   </t>
    </r>
    <r>
      <rPr>
        <sz val="10"/>
        <rFont val="楷体"/>
        <family val="3"/>
        <charset val="134"/>
      </rPr>
      <t>个人定期：成本率</t>
    </r>
  </si>
  <si>
    <r>
      <rPr>
        <sz val="10"/>
        <rFont val="楷体"/>
        <family val="3"/>
        <charset val="134"/>
      </rPr>
      <t>其他：成本率</t>
    </r>
  </si>
  <si>
    <r>
      <rPr>
        <b/>
        <sz val="10"/>
        <rFont val="楷体"/>
        <family val="3"/>
        <charset val="134"/>
      </rPr>
      <t>发行债券：成本率</t>
    </r>
  </si>
  <si>
    <r>
      <rPr>
        <b/>
        <sz val="10"/>
        <rFont val="楷体"/>
        <family val="3"/>
        <charset val="134"/>
      </rPr>
      <t>同业负债：成本率</t>
    </r>
  </si>
  <si>
    <r>
      <rPr>
        <sz val="10"/>
        <rFont val="楷体"/>
        <family val="3"/>
        <charset val="134"/>
      </rPr>
      <t>同业存放：成本率</t>
    </r>
  </si>
  <si>
    <r>
      <rPr>
        <sz val="10"/>
        <rFont val="楷体"/>
        <family val="3"/>
        <charset val="134"/>
      </rPr>
      <t>拆入资金：成本率</t>
    </r>
  </si>
  <si>
    <r>
      <rPr>
        <sz val="10"/>
        <rFont val="楷体"/>
        <family val="3"/>
        <charset val="134"/>
      </rPr>
      <t>卖出回购：成本率</t>
    </r>
  </si>
  <si>
    <r>
      <rPr>
        <b/>
        <sz val="10"/>
        <rFont val="楷体"/>
        <family val="3"/>
        <charset val="134"/>
      </rPr>
      <t>向央行借款：成本率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</si>
  <si>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</si>
  <si>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</si>
  <si>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</si>
  <si>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t xml:space="preserve">      </t>
    </r>
    <r>
      <rPr>
        <sz val="10"/>
        <color theme="1"/>
        <rFont val="楷体"/>
        <family val="3"/>
        <charset val="134"/>
      </rPr>
      <t>本年划转</t>
    </r>
  </si>
  <si>
    <r>
      <t xml:space="preserve">      </t>
    </r>
    <r>
      <rPr>
        <sz val="10"/>
        <color theme="1"/>
        <rFont val="楷体"/>
        <family val="3"/>
        <charset val="134"/>
      </rPr>
      <t>本年回拨</t>
    </r>
  </si>
  <si>
    <r>
      <rPr>
        <sz val="10"/>
        <rFont val="楷体"/>
        <family val="3"/>
        <charset val="134"/>
      </rPr>
      <t>收入拆分</t>
    </r>
    <phoneticPr fontId="4" type="noConversion"/>
  </si>
  <si>
    <r>
      <rPr>
        <b/>
        <sz val="10"/>
        <rFont val="楷体"/>
        <family val="3"/>
        <charset val="134"/>
      </rPr>
      <t>营业总收入</t>
    </r>
  </si>
  <si>
    <r>
      <t xml:space="preserve">  </t>
    </r>
    <r>
      <rPr>
        <sz val="10"/>
        <rFont val="楷体"/>
        <family val="3"/>
        <charset val="134"/>
      </rPr>
      <t>利息收入</t>
    </r>
  </si>
  <si>
    <r>
      <t xml:space="preserve">  </t>
    </r>
    <r>
      <rPr>
        <sz val="10"/>
        <rFont val="楷体"/>
        <family val="3"/>
        <charset val="134"/>
      </rPr>
      <t>　　发放贷款及垫款</t>
    </r>
  </si>
  <si>
    <r>
      <t xml:space="preserve">  </t>
    </r>
    <r>
      <rPr>
        <sz val="10"/>
        <rFont val="楷体"/>
        <family val="3"/>
        <charset val="134"/>
      </rPr>
      <t>　　　　个人及公司贷款业务</t>
    </r>
  </si>
  <si>
    <r>
      <t xml:space="preserve">    </t>
    </r>
    <r>
      <rPr>
        <sz val="10"/>
        <rFont val="楷体"/>
        <family val="3"/>
        <charset val="134"/>
      </rPr>
      <t>公司贷款业务</t>
    </r>
  </si>
  <si>
    <r>
      <t xml:space="preserve">    </t>
    </r>
    <r>
      <rPr>
        <sz val="10"/>
        <rFont val="楷体"/>
        <family val="3"/>
        <charset val="134"/>
      </rPr>
      <t>个人贷款业务</t>
    </r>
  </si>
  <si>
    <r>
      <t xml:space="preserve">  </t>
    </r>
    <r>
      <rPr>
        <sz val="10"/>
        <rFont val="楷体"/>
        <family val="3"/>
        <charset val="134"/>
      </rPr>
      <t>　　　　票据贴现业务</t>
    </r>
  </si>
  <si>
    <r>
      <t xml:space="preserve">  </t>
    </r>
    <r>
      <rPr>
        <sz val="10"/>
        <rFont val="楷体"/>
        <family val="3"/>
        <charset val="134"/>
      </rPr>
      <t>　　债券投资</t>
    </r>
  </si>
  <si>
    <r>
      <t xml:space="preserve">  </t>
    </r>
    <r>
      <rPr>
        <sz val="10"/>
        <rFont val="楷体"/>
        <family val="3"/>
        <charset val="134"/>
      </rPr>
      <t>　　存放中央银行款项</t>
    </r>
  </si>
  <si>
    <r>
      <t xml:space="preserve">  </t>
    </r>
    <r>
      <rPr>
        <sz val="10"/>
        <rFont val="楷体"/>
        <family val="3"/>
        <charset val="134"/>
      </rPr>
      <t>　　存放同业和其他金融机构款项</t>
    </r>
  </si>
  <si>
    <r>
      <t xml:space="preserve">  </t>
    </r>
    <r>
      <rPr>
        <sz val="10"/>
        <rFont val="楷体"/>
        <family val="3"/>
        <charset val="134"/>
      </rPr>
      <t>非利息收入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手续费及佣金收入</t>
    </r>
  </si>
  <si>
    <r>
      <t xml:space="preserve">  </t>
    </r>
    <r>
      <rPr>
        <sz val="10"/>
        <rFont val="楷体"/>
        <family val="3"/>
        <charset val="134"/>
      </rPr>
      <t>　　理财业务</t>
    </r>
  </si>
  <si>
    <r>
      <t xml:space="preserve">  </t>
    </r>
    <r>
      <rPr>
        <sz val="10"/>
        <rFont val="楷体"/>
        <family val="3"/>
        <charset val="134"/>
      </rPr>
      <t>　　　　对私理财</t>
    </r>
  </si>
  <si>
    <r>
      <t xml:space="preserve">  </t>
    </r>
    <r>
      <rPr>
        <sz val="10"/>
        <rFont val="楷体"/>
        <family val="3"/>
        <charset val="134"/>
      </rPr>
      <t>　　　　对公理财</t>
    </r>
  </si>
  <si>
    <r>
      <t xml:space="preserve">  </t>
    </r>
    <r>
      <rPr>
        <sz val="10"/>
        <rFont val="楷体"/>
        <family val="3"/>
        <charset val="134"/>
      </rPr>
      <t>　　银行卡业务</t>
    </r>
  </si>
  <si>
    <r>
      <t xml:space="preserve">  </t>
    </r>
    <r>
      <rPr>
        <sz val="10"/>
        <rFont val="楷体"/>
        <family val="3"/>
        <charset val="134"/>
      </rPr>
      <t>　　结算业务</t>
    </r>
  </si>
  <si>
    <r>
      <t xml:space="preserve">  </t>
    </r>
    <r>
      <rPr>
        <sz val="10"/>
        <rFont val="楷体"/>
        <family val="3"/>
        <charset val="134"/>
      </rPr>
      <t>　　投资银行业务</t>
    </r>
  </si>
  <si>
    <r>
      <t xml:space="preserve">  </t>
    </r>
    <r>
      <rPr>
        <sz val="10"/>
        <rFont val="楷体"/>
        <family val="3"/>
        <charset val="134"/>
      </rPr>
      <t>　　担保承诺业务</t>
    </r>
  </si>
  <si>
    <r>
      <t xml:space="preserve">  </t>
    </r>
    <r>
      <rPr>
        <sz val="10"/>
        <rFont val="楷体"/>
        <family val="3"/>
        <charset val="134"/>
      </rPr>
      <t>　　代理委托业务</t>
    </r>
  </si>
  <si>
    <r>
      <t xml:space="preserve">  </t>
    </r>
    <r>
      <rPr>
        <sz val="10"/>
        <rFont val="楷体"/>
        <family val="3"/>
        <charset val="134"/>
      </rPr>
      <t>　　结售汇业务</t>
    </r>
  </si>
  <si>
    <r>
      <t xml:space="preserve">  </t>
    </r>
    <r>
      <rPr>
        <sz val="10"/>
        <rFont val="楷体"/>
        <family val="3"/>
        <charset val="134"/>
      </rPr>
      <t>　　托管及其他受托业务</t>
    </r>
  </si>
  <si>
    <r>
      <t xml:space="preserve">  </t>
    </r>
    <r>
      <rPr>
        <sz val="10"/>
        <rFont val="楷体"/>
        <family val="3"/>
        <charset val="134"/>
      </rPr>
      <t>　　其他业务</t>
    </r>
  </si>
  <si>
    <r>
      <rPr>
        <sz val="10"/>
        <rFont val="楷体"/>
        <family val="3"/>
        <charset val="134"/>
      </rPr>
      <t>收入结构</t>
    </r>
    <phoneticPr fontId="4" type="noConversion"/>
  </si>
  <si>
    <r>
      <rPr>
        <sz val="10"/>
        <rFont val="楷体"/>
        <family val="3"/>
        <charset val="134"/>
      </rPr>
      <t>利息收入结构</t>
    </r>
    <phoneticPr fontId="4" type="noConversion"/>
  </si>
  <si>
    <r>
      <rPr>
        <sz val="10"/>
        <rFont val="楷体"/>
        <family val="3"/>
        <charset val="134"/>
      </rPr>
      <t>发放贷款及垫款</t>
    </r>
  </si>
  <si>
    <r>
      <rPr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</si>
  <si>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存放中央银行款项</t>
    </r>
  </si>
  <si>
    <r>
      <rPr>
        <sz val="10"/>
        <rFont val="楷体"/>
        <family val="3"/>
        <charset val="134"/>
      </rPr>
      <t>存放同业和其他金融机构款项</t>
    </r>
  </si>
  <si>
    <r>
      <rPr>
        <sz val="10"/>
        <rFont val="楷体"/>
        <family val="3"/>
        <charset val="134"/>
      </rPr>
      <t>非利息收入结构</t>
    </r>
    <phoneticPr fontId="26" type="noConversion"/>
  </si>
  <si>
    <r>
      <rPr>
        <sz val="10"/>
        <rFont val="楷体"/>
        <family val="3"/>
        <charset val="134"/>
      </rPr>
      <t>理财业务</t>
    </r>
  </si>
  <si>
    <r>
      <rPr>
        <sz val="10"/>
        <rFont val="楷体"/>
        <family val="3"/>
        <charset val="134"/>
      </rPr>
      <t>银行卡业务</t>
    </r>
  </si>
  <si>
    <r>
      <rPr>
        <sz val="10"/>
        <rFont val="楷体"/>
        <family val="3"/>
        <charset val="134"/>
      </rPr>
      <t>结算业务</t>
    </r>
  </si>
  <si>
    <r>
      <rPr>
        <sz val="10"/>
        <rFont val="楷体"/>
        <family val="3"/>
        <charset val="134"/>
      </rPr>
      <t>投资银行业务</t>
    </r>
  </si>
  <si>
    <r>
      <rPr>
        <sz val="10"/>
        <rFont val="楷体"/>
        <family val="3"/>
        <charset val="134"/>
      </rPr>
      <t>担保承诺业务</t>
    </r>
  </si>
  <si>
    <r>
      <rPr>
        <sz val="10"/>
        <rFont val="楷体"/>
        <family val="3"/>
        <charset val="134"/>
      </rPr>
      <t>代理委托业务</t>
    </r>
  </si>
  <si>
    <r>
      <rPr>
        <sz val="10"/>
        <rFont val="楷体"/>
        <family val="3"/>
        <charset val="134"/>
      </rPr>
      <t>托管及其他受托业务</t>
    </r>
  </si>
  <si>
    <r>
      <rPr>
        <sz val="10"/>
        <rFont val="楷体"/>
        <family val="3"/>
        <charset val="134"/>
      </rPr>
      <t>其他业务</t>
    </r>
  </si>
  <si>
    <r>
      <rPr>
        <sz val="10"/>
        <rFont val="楷体"/>
        <family val="3"/>
        <charset val="134"/>
      </rPr>
      <t>利润表环比增速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</si>
  <si>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</si>
  <si>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</si>
  <si>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</si>
  <si>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</si>
  <si>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营业税金及附加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</si>
  <si>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管理费用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</si>
  <si>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归母净利润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</si>
  <si>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rFont val="楷体"/>
        <family val="3"/>
        <charset val="134"/>
      </rPr>
      <t>利润表同比增速</t>
    </r>
    <phoneticPr fontId="4" type="noConversion"/>
  </si>
  <si>
    <r>
      <rPr>
        <sz val="10"/>
        <color theme="1"/>
        <rFont val="楷体"/>
        <family val="3"/>
        <charset val="134"/>
      </rPr>
      <t>同比增速</t>
    </r>
    <phoneticPr fontId="4" type="noConversion"/>
  </si>
  <si>
    <r>
      <rPr>
        <sz val="10"/>
        <color theme="1"/>
        <rFont val="楷体"/>
        <family val="3"/>
        <charset val="134"/>
      </rPr>
      <t>营业收入：同比增速</t>
    </r>
  </si>
  <si>
    <r>
      <rPr>
        <sz val="10"/>
        <color theme="1"/>
        <rFont val="楷体"/>
        <family val="3"/>
        <charset val="134"/>
      </rPr>
      <t>利息净收入：同比增速</t>
    </r>
  </si>
  <si>
    <r>
      <rPr>
        <sz val="10"/>
        <color theme="1"/>
        <rFont val="楷体"/>
        <family val="3"/>
        <charset val="134"/>
      </rPr>
      <t>非息净收入：同比增速</t>
    </r>
  </si>
  <si>
    <r>
      <rPr>
        <sz val="10"/>
        <color theme="1"/>
        <rFont val="楷体"/>
        <family val="3"/>
        <charset val="134"/>
      </rPr>
      <t>手续费及佣金净收入：同比增速</t>
    </r>
  </si>
  <si>
    <r>
      <rPr>
        <sz val="10"/>
        <color theme="1"/>
        <rFont val="楷体"/>
        <family val="3"/>
        <charset val="134"/>
      </rPr>
      <t>营业税金及附加：同比增速</t>
    </r>
  </si>
  <si>
    <r>
      <rPr>
        <sz val="10"/>
        <color theme="1"/>
        <rFont val="楷体"/>
        <family val="3"/>
        <charset val="134"/>
      </rPr>
      <t>管理费用：同比增速</t>
    </r>
  </si>
  <si>
    <r>
      <rPr>
        <sz val="10"/>
        <color theme="1"/>
        <rFont val="楷体"/>
        <family val="3"/>
        <charset val="134"/>
      </rPr>
      <t>归母净利润：同比增速</t>
    </r>
    <phoneticPr fontId="4" type="noConversion"/>
  </si>
  <si>
    <r>
      <rPr>
        <sz val="10"/>
        <rFont val="楷体"/>
        <family val="3"/>
        <charset val="134"/>
      </rPr>
      <t>利润表关键科目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</si>
  <si>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</si>
  <si>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phoneticPr fontId="4" type="noConversion"/>
  </si>
  <si>
    <r>
      <rPr>
        <sz val="10"/>
        <color theme="1"/>
        <rFont val="楷体"/>
        <family val="3"/>
        <charset val="134"/>
      </rPr>
      <t>非息净收入</t>
    </r>
    <phoneticPr fontId="4" type="noConversion"/>
  </si>
  <si>
    <r>
      <rPr>
        <sz val="10"/>
        <color theme="1"/>
        <rFont val="楷体"/>
        <family val="3"/>
        <charset val="134"/>
      </rPr>
      <t>手续费及佣金净收入</t>
    </r>
    <phoneticPr fontId="4" type="noConversion"/>
  </si>
  <si>
    <r>
      <rPr>
        <sz val="10"/>
        <color theme="1"/>
        <rFont val="楷体"/>
        <family val="3"/>
        <charset val="134"/>
      </rPr>
      <t>管理费用</t>
    </r>
    <phoneticPr fontId="4" type="noConversion"/>
  </si>
  <si>
    <r>
      <rPr>
        <sz val="10"/>
        <color theme="1"/>
        <rFont val="楷体"/>
        <family val="3"/>
        <charset val="134"/>
      </rPr>
      <t>归母净利润</t>
    </r>
    <phoneticPr fontId="4" type="noConversion"/>
  </si>
  <si>
    <r>
      <rPr>
        <sz val="10"/>
        <rFont val="楷体"/>
        <family val="3"/>
        <charset val="134"/>
      </rPr>
      <t>利润表结构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</si>
  <si>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</si>
  <si>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</si>
  <si>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</si>
  <si>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成本收入比</t>
    </r>
    <phoneticPr fontId="4" type="noConversion"/>
  </si>
  <si>
    <r>
      <rPr>
        <sz val="10"/>
        <rFont val="楷体"/>
        <family val="3"/>
        <charset val="134"/>
      </rPr>
      <t>利润驱动因素分解</t>
    </r>
    <phoneticPr fontId="4" type="noConversion"/>
  </si>
  <si>
    <r>
      <rPr>
        <sz val="10"/>
        <rFont val="楷体"/>
        <family val="3"/>
        <charset val="134"/>
      </rPr>
      <t>净利润同比变动</t>
    </r>
    <phoneticPr fontId="4" type="noConversion"/>
  </si>
  <si>
    <r>
      <rPr>
        <sz val="10"/>
        <color theme="1"/>
        <rFont val="楷体"/>
        <family val="3"/>
        <charset val="134"/>
      </rPr>
      <t>平均生息资产：驱动因素</t>
    </r>
  </si>
  <si>
    <r>
      <rPr>
        <sz val="10"/>
        <color theme="1"/>
        <rFont val="楷体"/>
        <family val="3"/>
        <charset val="134"/>
      </rPr>
      <t>净息差：驱动因素</t>
    </r>
  </si>
  <si>
    <r>
      <rPr>
        <sz val="10"/>
        <color theme="1"/>
        <rFont val="楷体"/>
        <family val="3"/>
        <charset val="134"/>
      </rPr>
      <t>非利息净收入：驱动因素</t>
    </r>
  </si>
  <si>
    <r>
      <rPr>
        <sz val="10"/>
        <color theme="1"/>
        <rFont val="楷体"/>
        <family val="3"/>
        <charset val="134"/>
      </rPr>
      <t>营业成本及所得税：驱动因素</t>
    </r>
  </si>
  <si>
    <r>
      <rPr>
        <sz val="10"/>
        <color theme="1"/>
        <rFont val="楷体"/>
        <family val="3"/>
        <charset val="134"/>
      </rPr>
      <t>资产减值损失：驱动因素</t>
    </r>
  </si>
  <si>
    <r>
      <rPr>
        <sz val="10"/>
        <color theme="1"/>
        <rFont val="楷体"/>
        <family val="3"/>
        <charset val="134"/>
      </rPr>
      <t>营业外利润：驱动因素</t>
    </r>
  </si>
  <si>
    <r>
      <rPr>
        <sz val="10"/>
        <rFont val="楷体"/>
        <family val="3"/>
        <charset val="134"/>
      </rPr>
      <t>资产端关键科目</t>
    </r>
    <phoneticPr fontId="4" type="noConversion"/>
  </si>
  <si>
    <r>
      <rPr>
        <sz val="10"/>
        <color theme="1"/>
        <rFont val="楷体"/>
        <family val="3"/>
        <charset val="134"/>
      </rPr>
      <t>贷款及垫款</t>
    </r>
    <phoneticPr fontId="4" type="noConversion"/>
  </si>
  <si>
    <r>
      <rPr>
        <sz val="10"/>
        <color theme="1"/>
        <rFont val="楷体"/>
        <family val="3"/>
        <charset val="134"/>
      </rPr>
      <t>同业资产</t>
    </r>
    <phoneticPr fontId="4" type="noConversion"/>
  </si>
  <si>
    <r>
      <rPr>
        <sz val="10"/>
        <color theme="1"/>
        <rFont val="楷体"/>
        <family val="3"/>
        <charset val="134"/>
      </rPr>
      <t>债券类投资</t>
    </r>
    <phoneticPr fontId="4" type="noConversion"/>
  </si>
  <si>
    <r>
      <rPr>
        <sz val="10"/>
        <color theme="1"/>
        <rFont val="楷体"/>
        <family val="3"/>
        <charset val="134"/>
      </rPr>
      <t>应收款项类投资</t>
    </r>
    <phoneticPr fontId="4" type="noConversion"/>
  </si>
  <si>
    <r>
      <rPr>
        <sz val="10"/>
        <color theme="1"/>
        <rFont val="楷体"/>
        <family val="3"/>
        <charset val="134"/>
      </rPr>
      <t>投资类资产</t>
    </r>
    <phoneticPr fontId="26" type="noConversion"/>
  </si>
  <si>
    <r>
      <rPr>
        <sz val="10"/>
        <color theme="1"/>
        <rFont val="楷体"/>
        <family val="3"/>
        <charset val="134"/>
      </rPr>
      <t>存放央行</t>
    </r>
    <phoneticPr fontId="26" type="noConversion"/>
  </si>
  <si>
    <r>
      <rPr>
        <sz val="10"/>
        <color theme="1"/>
        <rFont val="楷体"/>
        <family val="3"/>
        <charset val="134"/>
      </rPr>
      <t>资产负债表其他资产</t>
    </r>
    <phoneticPr fontId="26" type="noConversion"/>
  </si>
  <si>
    <r>
      <rPr>
        <sz val="10"/>
        <color theme="1"/>
        <rFont val="楷体"/>
        <family val="3"/>
        <charset val="134"/>
      </rPr>
      <t>总资产</t>
    </r>
    <phoneticPr fontId="4" type="noConversion"/>
  </si>
  <si>
    <r>
      <rPr>
        <sz val="10"/>
        <rFont val="楷体"/>
        <family val="3"/>
        <charset val="134"/>
      </rPr>
      <t>资产端占比</t>
    </r>
    <phoneticPr fontId="4" type="noConversion"/>
  </si>
  <si>
    <r>
      <rPr>
        <sz val="10"/>
        <color theme="1"/>
        <rFont val="楷体"/>
        <family val="3"/>
        <charset val="134"/>
      </rPr>
      <t>贷款及垫款：占比</t>
    </r>
  </si>
  <si>
    <r>
      <rPr>
        <sz val="10"/>
        <color theme="1"/>
        <rFont val="楷体"/>
        <family val="3"/>
        <charset val="134"/>
      </rPr>
      <t>同业资产：占比</t>
    </r>
  </si>
  <si>
    <r>
      <rPr>
        <sz val="10"/>
        <color theme="1"/>
        <rFont val="楷体"/>
        <family val="3"/>
        <charset val="134"/>
      </rPr>
      <t>债券类投资：占比</t>
    </r>
  </si>
  <si>
    <r>
      <rPr>
        <sz val="10"/>
        <color theme="1"/>
        <rFont val="楷体"/>
        <family val="3"/>
        <charset val="134"/>
      </rPr>
      <t>应收款项类投资：占比</t>
    </r>
  </si>
  <si>
    <r>
      <rPr>
        <sz val="10"/>
        <color theme="1"/>
        <rFont val="楷体"/>
        <family val="3"/>
        <charset val="134"/>
      </rPr>
      <t>投资类资产：占比</t>
    </r>
  </si>
  <si>
    <r>
      <rPr>
        <sz val="10"/>
        <color theme="1"/>
        <rFont val="楷体"/>
        <family val="3"/>
        <charset val="134"/>
      </rPr>
      <t>存放央行：占比</t>
    </r>
  </si>
  <si>
    <r>
      <rPr>
        <sz val="10"/>
        <color theme="1"/>
        <rFont val="楷体"/>
        <family val="3"/>
        <charset val="134"/>
      </rPr>
      <t>其他资产：占比</t>
    </r>
  </si>
  <si>
    <r>
      <rPr>
        <sz val="10"/>
        <rFont val="楷体"/>
        <family val="3"/>
        <charset val="134"/>
      </rPr>
      <t>负债端关键科目</t>
    </r>
    <phoneticPr fontId="4" type="noConversion"/>
  </si>
  <si>
    <r>
      <rPr>
        <sz val="10"/>
        <color theme="1"/>
        <rFont val="楷体"/>
        <family val="3"/>
        <charset val="134"/>
      </rPr>
      <t>存款</t>
    </r>
    <phoneticPr fontId="4" type="noConversion"/>
  </si>
  <si>
    <r>
      <rPr>
        <sz val="10"/>
        <color theme="1"/>
        <rFont val="楷体"/>
        <family val="3"/>
        <charset val="134"/>
      </rPr>
      <t>同业负债</t>
    </r>
    <phoneticPr fontId="4" type="noConversion"/>
  </si>
  <si>
    <r>
      <rPr>
        <sz val="10"/>
        <color theme="1"/>
        <rFont val="楷体"/>
        <family val="3"/>
        <charset val="134"/>
      </rPr>
      <t>应付债券</t>
    </r>
    <phoneticPr fontId="26" type="noConversion"/>
  </si>
  <si>
    <r>
      <rPr>
        <sz val="10"/>
        <color theme="1"/>
        <rFont val="楷体"/>
        <family val="3"/>
        <charset val="134"/>
      </rPr>
      <t>向央行借款</t>
    </r>
    <phoneticPr fontId="26" type="noConversion"/>
  </si>
  <si>
    <r>
      <rPr>
        <sz val="10"/>
        <color theme="1"/>
        <rFont val="楷体"/>
        <family val="3"/>
        <charset val="134"/>
      </rPr>
      <t>其他负债</t>
    </r>
    <phoneticPr fontId="26" type="noConversion"/>
  </si>
  <si>
    <r>
      <rPr>
        <sz val="10"/>
        <color theme="1"/>
        <rFont val="楷体"/>
        <family val="3"/>
        <charset val="134"/>
      </rPr>
      <t>总负债</t>
    </r>
    <phoneticPr fontId="26" type="noConversion"/>
  </si>
  <si>
    <r>
      <rPr>
        <sz val="10"/>
        <color theme="1"/>
        <rFont val="楷体"/>
        <family val="3"/>
        <charset val="134"/>
      </rPr>
      <t>负债端关键科目占比</t>
    </r>
    <phoneticPr fontId="4" type="noConversion"/>
  </si>
  <si>
    <r>
      <rPr>
        <sz val="10"/>
        <color theme="1"/>
        <rFont val="楷体"/>
        <family val="3"/>
        <charset val="134"/>
      </rPr>
      <t>存款：占比</t>
    </r>
  </si>
  <si>
    <r>
      <rPr>
        <sz val="10"/>
        <color theme="1"/>
        <rFont val="楷体"/>
        <family val="3"/>
        <charset val="134"/>
      </rPr>
      <t>同业负债：占比</t>
    </r>
  </si>
  <si>
    <r>
      <rPr>
        <sz val="10"/>
        <color theme="1"/>
        <rFont val="楷体"/>
        <family val="3"/>
        <charset val="134"/>
      </rPr>
      <t>应付债券：占比</t>
    </r>
  </si>
  <si>
    <r>
      <rPr>
        <sz val="10"/>
        <color theme="1"/>
        <rFont val="楷体"/>
        <family val="3"/>
        <charset val="134"/>
      </rPr>
      <t>向央行借款：占比</t>
    </r>
  </si>
  <si>
    <r>
      <rPr>
        <sz val="10"/>
        <color theme="1"/>
        <rFont val="楷体"/>
        <family val="3"/>
        <charset val="134"/>
      </rPr>
      <t>其他负债：占比</t>
    </r>
  </si>
  <si>
    <r>
      <rPr>
        <sz val="10"/>
        <color theme="1"/>
        <rFont val="楷体"/>
        <family val="3"/>
        <charset val="134"/>
      </rPr>
      <t>同业存单</t>
    </r>
    <r>
      <rPr>
        <sz val="10"/>
        <color theme="1"/>
        <rFont val="Times New Roman"/>
        <family val="1"/>
      </rPr>
      <t>+</t>
    </r>
    <r>
      <rPr>
        <sz val="10"/>
        <color theme="1"/>
        <rFont val="楷体"/>
        <family val="3"/>
        <charset val="134"/>
      </rPr>
      <t>同业负债占比</t>
    </r>
    <phoneticPr fontId="26" type="noConversion"/>
  </si>
  <si>
    <r>
      <rPr>
        <sz val="10"/>
        <rFont val="楷体"/>
        <family val="3"/>
        <charset val="134"/>
      </rPr>
      <t>资产质量指标</t>
    </r>
    <phoneticPr fontId="4" type="noConversion"/>
  </si>
  <si>
    <r>
      <rPr>
        <sz val="10"/>
        <color theme="1"/>
        <rFont val="楷体"/>
        <family val="3"/>
        <charset val="134"/>
      </rPr>
      <t>不良率</t>
    </r>
    <phoneticPr fontId="4" type="noConversion"/>
  </si>
  <si>
    <r>
      <rPr>
        <sz val="10"/>
        <color theme="1"/>
        <rFont val="楷体"/>
        <family val="3"/>
        <charset val="134"/>
      </rPr>
      <t>关注类贷款占比</t>
    </r>
    <phoneticPr fontId="4" type="noConversion"/>
  </si>
  <si>
    <r>
      <rPr>
        <sz val="10"/>
        <color theme="1"/>
        <rFont val="楷体"/>
        <family val="3"/>
        <charset val="134"/>
      </rPr>
      <t>逾期贷款占比</t>
    </r>
    <phoneticPr fontId="4" type="noConversion"/>
  </si>
  <si>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个月以上贷款占比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</si>
  <si>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</si>
  <si>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</t>
    </r>
    <phoneticPr fontId="4" type="noConversion"/>
  </si>
  <si>
    <r>
      <rPr>
        <sz val="10"/>
        <color theme="1"/>
        <rFont val="楷体"/>
        <family val="3"/>
        <charset val="134"/>
      </rPr>
      <t>拨备覆盖率</t>
    </r>
    <phoneticPr fontId="4" type="noConversion"/>
  </si>
  <si>
    <r>
      <rPr>
        <sz val="10"/>
        <rFont val="楷体"/>
        <family val="3"/>
        <charset val="134"/>
      </rPr>
      <t>贷款结构占比</t>
    </r>
    <phoneticPr fontId="4" type="noConversion"/>
  </si>
  <si>
    <r>
      <rPr>
        <sz val="10"/>
        <color theme="1"/>
        <rFont val="楷体"/>
        <family val="3"/>
        <charset val="134"/>
      </rPr>
      <t>公司贷款占比</t>
    </r>
    <phoneticPr fontId="4" type="noConversion"/>
  </si>
  <si>
    <r>
      <rPr>
        <sz val="10"/>
        <color theme="1"/>
        <rFont val="楷体"/>
        <family val="3"/>
        <charset val="134"/>
      </rPr>
      <t>个人贷款占比</t>
    </r>
    <phoneticPr fontId="4" type="noConversion"/>
  </si>
  <si>
    <r>
      <rPr>
        <sz val="10"/>
        <color theme="1"/>
        <rFont val="楷体"/>
        <family val="3"/>
        <charset val="134"/>
      </rPr>
      <t>票据贴现占比</t>
    </r>
    <phoneticPr fontId="4" type="noConversion"/>
  </si>
  <si>
    <r>
      <rPr>
        <sz val="10"/>
        <rFont val="楷体"/>
        <family val="3"/>
        <charset val="134"/>
      </rPr>
      <t>个人贷款占比</t>
    </r>
    <phoneticPr fontId="4" type="noConversion"/>
  </si>
  <si>
    <r>
      <t xml:space="preserve"> </t>
    </r>
    <r>
      <rPr>
        <sz val="10"/>
        <color theme="1"/>
        <rFont val="楷体"/>
        <family val="3"/>
        <charset val="134"/>
      </rPr>
      <t>个人住房贷款：占比</t>
    </r>
    <phoneticPr fontId="4" type="noConversion"/>
  </si>
  <si>
    <r>
      <t xml:space="preserve">  </t>
    </r>
    <r>
      <rPr>
        <sz val="10"/>
        <color theme="1"/>
        <rFont val="楷体"/>
        <family val="3"/>
        <charset val="134"/>
      </rPr>
      <t>个人汽车贷款：占比</t>
    </r>
  </si>
  <si>
    <r>
      <t xml:space="preserve">  </t>
    </r>
    <r>
      <rPr>
        <sz val="10"/>
        <color theme="1"/>
        <rFont val="楷体"/>
        <family val="3"/>
        <charset val="134"/>
      </rPr>
      <t>个人经营性贷款：占比</t>
    </r>
  </si>
  <si>
    <r>
      <t xml:space="preserve">  </t>
    </r>
    <r>
      <rPr>
        <sz val="10"/>
        <color theme="1"/>
        <rFont val="楷体"/>
        <family val="3"/>
        <charset val="134"/>
      </rPr>
      <t>其他个人贷款：占比</t>
    </r>
  </si>
  <si>
    <r>
      <t xml:space="preserve">  </t>
    </r>
    <r>
      <rPr>
        <sz val="10"/>
        <color theme="1"/>
        <rFont val="楷体"/>
        <family val="3"/>
        <charset val="134"/>
      </rPr>
      <t>信用卡应收账款：占比</t>
    </r>
  </si>
  <si>
    <r>
      <rPr>
        <sz val="10"/>
        <rFont val="楷体"/>
        <family val="3"/>
        <charset val="134"/>
      </rPr>
      <t>不良贷款生成表</t>
    </r>
    <phoneticPr fontId="26" type="noConversion"/>
  </si>
  <si>
    <r>
      <rPr>
        <sz val="10"/>
        <color theme="1"/>
        <rFont val="楷体"/>
        <family val="3"/>
        <charset val="134"/>
      </rPr>
      <t>计提</t>
    </r>
    <phoneticPr fontId="26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</si>
  <si>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</si>
  <si>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26" type="noConversion"/>
  </si>
  <si>
    <r>
      <rPr>
        <sz val="10"/>
        <color theme="1"/>
        <rFont val="楷体"/>
        <family val="3"/>
        <charset val="134"/>
      </rPr>
      <t>不良生成额</t>
    </r>
    <phoneticPr fontId="26" type="noConversion"/>
  </si>
  <si>
    <r>
      <rPr>
        <sz val="10"/>
        <color theme="1"/>
        <rFont val="楷体"/>
        <family val="3"/>
        <charset val="134"/>
      </rPr>
      <t>不良生成率</t>
    </r>
    <phoneticPr fontId="26" type="noConversion"/>
  </si>
  <si>
    <r>
      <rPr>
        <sz val="10"/>
        <rFont val="楷体"/>
        <family val="3"/>
        <charset val="134"/>
      </rPr>
      <t>存款占比</t>
    </r>
    <phoneticPr fontId="26" type="noConversion"/>
  </si>
  <si>
    <r>
      <rPr>
        <sz val="10"/>
        <color theme="1"/>
        <rFont val="楷体"/>
        <family val="3"/>
        <charset val="134"/>
      </rPr>
      <t>公司存款占比</t>
    </r>
    <phoneticPr fontId="4" type="noConversion"/>
  </si>
  <si>
    <r>
      <rPr>
        <sz val="10"/>
        <color theme="1"/>
        <rFont val="楷体"/>
        <family val="3"/>
        <charset val="134"/>
      </rPr>
      <t>个人存款占比</t>
    </r>
    <phoneticPr fontId="4" type="noConversion"/>
  </si>
  <si>
    <r>
      <rPr>
        <sz val="10"/>
        <color theme="1"/>
        <rFont val="楷体"/>
        <family val="3"/>
        <charset val="134"/>
      </rPr>
      <t>活期存款占比</t>
    </r>
    <phoneticPr fontId="4" type="noConversion"/>
  </si>
  <si>
    <r>
      <rPr>
        <sz val="10"/>
        <color theme="1"/>
        <rFont val="楷体"/>
        <family val="3"/>
        <charset val="134"/>
      </rPr>
      <t>定期存款占比</t>
    </r>
    <phoneticPr fontId="4" type="noConversion"/>
  </si>
  <si>
    <r>
      <rPr>
        <b/>
        <sz val="10"/>
        <color theme="1"/>
        <rFont val="楷体"/>
        <family val="3"/>
        <charset val="134"/>
      </rPr>
      <t>分行业不良率</t>
    </r>
    <phoneticPr fontId="26" type="noConversion"/>
  </si>
  <si>
    <r>
      <rPr>
        <sz val="10"/>
        <color theme="1"/>
        <rFont val="楷体"/>
        <family val="3"/>
        <charset val="134"/>
      </rPr>
      <t>交通运输、仓储和邮政业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</si>
  <si>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制造业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</si>
  <si>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化工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</si>
  <si>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机械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</si>
  <si>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金属加工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</si>
  <si>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纺织及服装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</si>
  <si>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计算机、通信和其他电子设备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</si>
  <si>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钢铁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</si>
  <si>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交通运输设备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</si>
  <si>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非金属矿物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</si>
  <si>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石油加工、炼焦及核燃料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</si>
  <si>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其他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</si>
  <si>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电力、热力、燃气及水生产和供应业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</si>
  <si>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租赁和商贸服务业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</si>
  <si>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水利、环境和公共设施管理业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</si>
  <si>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批发和零售业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</si>
  <si>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房地产业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</si>
  <si>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采矿业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</si>
  <si>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建筑业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</si>
  <si>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科教文卫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</si>
  <si>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住宿和餐饮业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</si>
  <si>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其他行业不良率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</si>
  <si>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合计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</si>
  <si>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专题分析</t>
    </r>
    <phoneticPr fontId="26" type="noConversion"/>
  </si>
  <si>
    <r>
      <rPr>
        <sz val="10"/>
        <rFont val="楷体"/>
        <family val="3"/>
        <charset val="134"/>
      </rPr>
      <t>一张图财务快报</t>
    </r>
    <phoneticPr fontId="26" type="noConversion"/>
  </si>
  <si>
    <r>
      <rPr>
        <sz val="10"/>
        <color rgb="FF000000"/>
        <rFont val="楷体"/>
        <family val="3"/>
        <charset val="134"/>
      </rPr>
      <t>【东吴银行马婷婷团队】一张图看懂【工商银行】中报业绩</t>
    </r>
    <phoneticPr fontId="58" type="noConversion"/>
  </si>
  <si>
    <r>
      <rPr>
        <sz val="10"/>
        <color rgb="FF000000"/>
        <rFont val="楷体"/>
        <family val="3"/>
        <charset val="134"/>
      </rPr>
      <t>（亿元）</t>
    </r>
    <phoneticPr fontId="58" type="noConversion"/>
  </si>
  <si>
    <r>
      <rPr>
        <sz val="10"/>
        <color rgb="FF000000"/>
        <rFont val="楷体"/>
        <family val="3"/>
        <charset val="134"/>
      </rPr>
      <t>资产负债情况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</si>
  <si>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</t>
    </r>
  </si>
  <si>
    <r>
      <rPr>
        <sz val="10"/>
        <color rgb="FF000000"/>
        <rFont val="楷体"/>
        <family val="3"/>
        <charset val="134"/>
      </rPr>
      <t>季度环比</t>
    </r>
  </si>
  <si>
    <r>
      <rPr>
        <sz val="10"/>
        <color rgb="FF000000"/>
        <rFont val="楷体"/>
        <family val="3"/>
        <charset val="134"/>
      </rPr>
      <t>总资产</t>
    </r>
  </si>
  <si>
    <r>
      <rPr>
        <sz val="10"/>
        <color rgb="FF000000"/>
        <rFont val="楷体"/>
        <family val="3"/>
        <charset val="134"/>
      </rPr>
      <t>存款总额</t>
    </r>
  </si>
  <si>
    <r>
      <rPr>
        <sz val="10"/>
        <color rgb="FF000000"/>
        <rFont val="楷体"/>
        <family val="3"/>
        <charset val="134"/>
      </rPr>
      <t>利润表</t>
    </r>
  </si>
  <si>
    <r>
      <rPr>
        <sz val="10"/>
        <color rgb="FF000000"/>
        <rFont val="楷体"/>
        <family val="3"/>
        <charset val="134"/>
      </rPr>
      <t>同比</t>
    </r>
  </si>
  <si>
    <r>
      <rPr>
        <sz val="10"/>
        <color rgb="FF000000"/>
        <rFont val="楷体"/>
        <family val="3"/>
        <charset val="134"/>
      </rPr>
      <t>利息净收入</t>
    </r>
  </si>
  <si>
    <r>
      <rPr>
        <sz val="10"/>
        <color rgb="FF000000"/>
        <rFont val="楷体"/>
        <family val="3"/>
        <charset val="134"/>
      </rPr>
      <t>营业收入</t>
    </r>
  </si>
  <si>
    <r>
      <rPr>
        <sz val="10"/>
        <color rgb="FF000000"/>
        <rFont val="楷体"/>
        <family val="3"/>
        <charset val="134"/>
      </rPr>
      <t>资产减值损失</t>
    </r>
  </si>
  <si>
    <r>
      <rPr>
        <sz val="10"/>
        <color rgb="FF000000"/>
        <rFont val="楷体"/>
        <family val="3"/>
        <charset val="134"/>
      </rPr>
      <t>拨备前利润</t>
    </r>
  </si>
  <si>
    <r>
      <rPr>
        <sz val="10"/>
        <color rgb="FF000000"/>
        <rFont val="楷体"/>
        <family val="3"/>
        <charset val="134"/>
      </rPr>
      <t>归母净利润</t>
    </r>
  </si>
  <si>
    <r>
      <rPr>
        <sz val="10"/>
        <color rgb="FF000000"/>
        <rFont val="楷体"/>
        <family val="3"/>
        <charset val="134"/>
      </rPr>
      <t>盈利能力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</si>
  <si>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17Q1</t>
    </r>
  </si>
  <si>
    <r>
      <rPr>
        <sz val="10"/>
        <color rgb="FF000000"/>
        <rFont val="楷体"/>
        <family val="3"/>
        <charset val="134"/>
      </rPr>
      <t>净息差</t>
    </r>
  </si>
  <si>
    <r>
      <rPr>
        <sz val="10"/>
        <color rgb="FF000000"/>
        <rFont val="楷体"/>
        <family val="3"/>
        <charset val="134"/>
      </rPr>
      <t>成本收入比</t>
    </r>
  </si>
  <si>
    <r>
      <rPr>
        <sz val="10"/>
        <color rgb="FF000000"/>
        <rFont val="楷体"/>
        <family val="3"/>
        <charset val="134"/>
      </rPr>
      <t>资产质量</t>
    </r>
  </si>
  <si>
    <r>
      <rPr>
        <sz val="10"/>
        <color rgb="FF000000"/>
        <rFont val="楷体"/>
        <family val="3"/>
        <charset val="134"/>
      </rPr>
      <t>不良贷款增量</t>
    </r>
  </si>
  <si>
    <r>
      <rPr>
        <sz val="10"/>
        <color rgb="FF000000"/>
        <rFont val="楷体"/>
        <family val="3"/>
        <charset val="134"/>
      </rPr>
      <t>不良率</t>
    </r>
  </si>
  <si>
    <r>
      <rPr>
        <sz val="10"/>
        <color rgb="FF000000"/>
        <rFont val="楷体"/>
        <family val="3"/>
        <charset val="134"/>
      </rPr>
      <t>逾期贷款占比</t>
    </r>
  </si>
  <si>
    <r>
      <rPr>
        <sz val="10"/>
        <color rgb="FF000000"/>
        <rFont val="楷体"/>
        <family val="3"/>
        <charset val="134"/>
      </rPr>
      <t>拨备覆盖率</t>
    </r>
  </si>
  <si>
    <r>
      <rPr>
        <sz val="10"/>
        <color rgb="FF000000"/>
        <rFont val="楷体"/>
        <family val="3"/>
        <charset val="134"/>
      </rPr>
      <t>资本充足率</t>
    </r>
  </si>
  <si>
    <r>
      <rPr>
        <sz val="10"/>
        <color rgb="FF000000"/>
        <rFont val="楷体"/>
        <family val="3"/>
        <charset val="134"/>
      </rPr>
      <t>注：</t>
    </r>
    <r>
      <rPr>
        <sz val="10"/>
        <color rgb="FF000000"/>
        <rFont val="Times New Roman"/>
        <family val="1"/>
      </rPr>
      <t>2016A</t>
    </r>
    <r>
      <rPr>
        <sz val="10"/>
        <color rgb="FF000000"/>
        <rFont val="楷体"/>
        <family val="3"/>
        <charset val="134"/>
      </rPr>
      <t>不良贷款增量为下半年增量</t>
    </r>
  </si>
  <si>
    <r>
      <rPr>
        <sz val="10"/>
        <color rgb="FF000000"/>
        <rFont val="楷体"/>
        <family val="3"/>
        <charset val="134"/>
      </rPr>
      <t>资料来源：公司中报，东吴证券研究所</t>
    </r>
  </si>
  <si>
    <r>
      <rPr>
        <sz val="10"/>
        <rFont val="楷体"/>
        <family val="3"/>
        <charset val="134"/>
      </rPr>
      <t>利润表分析</t>
    </r>
    <phoneticPr fontId="26" type="noConversion"/>
  </si>
  <si>
    <r>
      <rPr>
        <sz val="10"/>
        <color rgb="FF000000"/>
        <rFont val="楷体"/>
        <family val="3"/>
        <charset val="134"/>
      </rPr>
      <t>单位：亿元</t>
    </r>
  </si>
  <si>
    <r>
      <t>2017H</t>
    </r>
    <r>
      <rPr>
        <sz val="10"/>
        <color rgb="FF000000"/>
        <rFont val="楷体"/>
        <family val="3"/>
        <charset val="134"/>
      </rPr>
      <t>同比增长</t>
    </r>
  </si>
  <si>
    <r>
      <rPr>
        <sz val="10"/>
        <color rgb="FF000000"/>
        <rFont val="楷体"/>
        <family val="3"/>
        <charset val="134"/>
      </rPr>
      <t>非息净收入</t>
    </r>
  </si>
  <si>
    <r>
      <rPr>
        <sz val="10"/>
        <color rgb="FF000000"/>
        <rFont val="楷体"/>
        <family val="3"/>
        <charset val="134"/>
      </rPr>
      <t>手续费及佣金净收入</t>
    </r>
  </si>
  <si>
    <r>
      <rPr>
        <sz val="10"/>
        <color rgb="FF000000"/>
        <rFont val="楷体"/>
        <family val="3"/>
        <charset val="134"/>
      </rPr>
      <t>管理费用</t>
    </r>
  </si>
  <si>
    <r>
      <rPr>
        <sz val="10"/>
        <color rgb="FF000000"/>
        <rFont val="楷体"/>
        <family val="3"/>
        <charset val="134"/>
      </rPr>
      <t>占比</t>
    </r>
  </si>
  <si>
    <r>
      <t>2017H</t>
    </r>
    <r>
      <rPr>
        <sz val="10"/>
        <color rgb="FF000000"/>
        <rFont val="楷体"/>
        <family val="3"/>
        <charset val="134"/>
      </rPr>
      <t>变动幅度（</t>
    </r>
    <r>
      <rPr>
        <sz val="10"/>
        <color rgb="FF000000"/>
        <rFont val="Times New Roman"/>
        <family val="1"/>
      </rPr>
      <t>pc)</t>
    </r>
  </si>
  <si>
    <r>
      <rPr>
        <sz val="10"/>
        <color rgb="FF000000"/>
        <rFont val="楷体"/>
        <family val="3"/>
        <charset val="134"/>
      </rPr>
      <t>营业收入同比增速</t>
    </r>
  </si>
  <si>
    <r>
      <rPr>
        <sz val="10"/>
        <color rgb="FF000000"/>
        <rFont val="楷体"/>
        <family val="3"/>
        <charset val="134"/>
      </rPr>
      <t>归母净利润同比增速</t>
    </r>
  </si>
  <si>
    <r>
      <rPr>
        <sz val="10"/>
        <color rgb="FF000000"/>
        <rFont val="楷体"/>
        <family val="3"/>
        <charset val="134"/>
      </rPr>
      <t>净利息收入占比</t>
    </r>
  </si>
  <si>
    <r>
      <rPr>
        <sz val="10"/>
        <color rgb="FF000000"/>
        <rFont val="楷体"/>
        <family val="3"/>
        <charset val="134"/>
      </rPr>
      <t>非息收入占比</t>
    </r>
  </si>
  <si>
    <r>
      <rPr>
        <sz val="10"/>
        <rFont val="楷体"/>
        <family val="3"/>
        <charset val="134"/>
      </rPr>
      <t>资产负债结构分析</t>
    </r>
    <phoneticPr fontId="26" type="noConversion"/>
  </si>
  <si>
    <r>
      <rPr>
        <sz val="10"/>
        <color rgb="FF000000"/>
        <rFont val="楷体"/>
        <family val="3"/>
        <charset val="134"/>
      </rPr>
      <t>资产端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</si>
  <si>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</si>
  <si>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</si>
  <si>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</si>
  <si>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</si>
  <si>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贷款及垫款</t>
    </r>
  </si>
  <si>
    <r>
      <rPr>
        <sz val="10"/>
        <color rgb="FF000000"/>
        <rFont val="楷体"/>
        <family val="3"/>
        <charset val="134"/>
      </rPr>
      <t>同业资产</t>
    </r>
  </si>
  <si>
    <r>
      <rPr>
        <sz val="10"/>
        <color rgb="FF000000"/>
        <rFont val="楷体"/>
        <family val="3"/>
        <charset val="134"/>
      </rPr>
      <t>债券类投资</t>
    </r>
  </si>
  <si>
    <r>
      <rPr>
        <sz val="10"/>
        <color rgb="FF000000"/>
        <rFont val="楷体"/>
        <family val="3"/>
        <charset val="134"/>
      </rPr>
      <t>应收款项类投资</t>
    </r>
  </si>
  <si>
    <r>
      <rPr>
        <sz val="10"/>
        <color rgb="FF000000"/>
        <rFont val="楷体"/>
        <family val="3"/>
        <charset val="134"/>
      </rPr>
      <t>投资类资产</t>
    </r>
  </si>
  <si>
    <r>
      <rPr>
        <sz val="10"/>
        <color rgb="FF000000"/>
        <rFont val="楷体"/>
        <family val="3"/>
        <charset val="134"/>
      </rPr>
      <t>存放央行</t>
    </r>
  </si>
  <si>
    <r>
      <rPr>
        <sz val="10"/>
        <color rgb="FF000000"/>
        <rFont val="楷体"/>
        <family val="3"/>
        <charset val="134"/>
      </rPr>
      <t>资产端占比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</si>
  <si>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末占比比较（占比变动）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</si>
  <si>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年末占比比较（占比变动）</t>
    </r>
  </si>
  <si>
    <r>
      <rPr>
        <sz val="10"/>
        <color rgb="FF000000"/>
        <rFont val="楷体"/>
        <family val="3"/>
        <charset val="134"/>
      </rPr>
      <t>负债端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</si>
  <si>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</si>
  <si>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</si>
  <si>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比较，增速（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</si>
  <si>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年末比较，增速（</t>
    </r>
    <r>
      <rPr>
        <sz val="10"/>
        <color rgb="FF000000"/>
        <rFont val="Times New Roman"/>
        <family val="1"/>
      </rPr>
      <t>…%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</si>
  <si>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存款</t>
    </r>
  </si>
  <si>
    <r>
      <rPr>
        <sz val="10"/>
        <color rgb="FF000000"/>
        <rFont val="楷体"/>
        <family val="3"/>
        <charset val="134"/>
      </rPr>
      <t>同业负债</t>
    </r>
  </si>
  <si>
    <r>
      <rPr>
        <sz val="10"/>
        <color rgb="FF000000"/>
        <rFont val="楷体"/>
        <family val="3"/>
        <charset val="134"/>
      </rPr>
      <t>应付债券</t>
    </r>
  </si>
  <si>
    <r>
      <rPr>
        <sz val="10"/>
        <color rgb="FF000000"/>
        <rFont val="楷体"/>
        <family val="3"/>
        <charset val="134"/>
      </rPr>
      <t>向央行借款</t>
    </r>
  </si>
  <si>
    <r>
      <rPr>
        <sz val="10"/>
        <color rgb="FF000000"/>
        <rFont val="楷体"/>
        <family val="3"/>
        <charset val="134"/>
      </rPr>
      <t>总负债</t>
    </r>
  </si>
  <si>
    <r>
      <rPr>
        <sz val="10"/>
        <color rgb="FF000000"/>
        <rFont val="楷体"/>
        <family val="3"/>
        <charset val="134"/>
      </rPr>
      <t>同业存单（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月末未到期规模）</t>
    </r>
  </si>
  <si>
    <r>
      <rPr>
        <sz val="10"/>
        <color rgb="FF000000"/>
        <rFont val="楷体"/>
        <family val="3"/>
        <charset val="134"/>
      </rPr>
      <t>同业负债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同业存单</t>
    </r>
  </si>
  <si>
    <r>
      <rPr>
        <sz val="10"/>
        <color rgb="FF000000"/>
        <rFont val="楷体"/>
        <family val="3"/>
        <charset val="134"/>
      </rPr>
      <t>同业存单（最新未到期规模）</t>
    </r>
  </si>
  <si>
    <r>
      <rPr>
        <sz val="10"/>
        <color rgb="FF000000"/>
        <rFont val="楷体"/>
        <family val="3"/>
        <charset val="134"/>
      </rPr>
      <t>负债端占比</t>
    </r>
  </si>
  <si>
    <r>
      <rPr>
        <sz val="10"/>
        <color rgb="FF000000"/>
        <rFont val="楷体"/>
        <family val="3"/>
        <charset val="134"/>
      </rPr>
      <t>同业存单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同业负债占比</t>
    </r>
  </si>
  <si>
    <r>
      <rPr>
        <sz val="10"/>
        <rFont val="楷体"/>
        <family val="3"/>
        <charset val="134"/>
      </rPr>
      <t>贷款结构及质量分析</t>
    </r>
    <phoneticPr fontId="26" type="noConversion"/>
  </si>
  <si>
    <r>
      <rPr>
        <sz val="10"/>
        <color rgb="FF000000"/>
        <rFont val="楷体"/>
        <family val="3"/>
        <charset val="134"/>
      </rPr>
      <t>贷款质量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</si>
  <si>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年末比较（占比的变动）</t>
    </r>
  </si>
  <si>
    <r>
      <rPr>
        <sz val="10"/>
        <color rgb="FF000000"/>
        <rFont val="楷体"/>
        <family val="3"/>
        <charset val="134"/>
      </rPr>
      <t>关注类贷款占比</t>
    </r>
  </si>
  <si>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个月以上贷款占比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</si>
  <si>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</si>
  <si>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</t>
    </r>
  </si>
  <si>
    <r>
      <rPr>
        <sz val="10"/>
        <color rgb="FF000000"/>
        <rFont val="楷体"/>
        <family val="3"/>
        <charset val="134"/>
      </rPr>
      <t>贷款结构</t>
    </r>
  </si>
  <si>
    <r>
      <rPr>
        <sz val="10"/>
        <color rgb="FF000000"/>
        <rFont val="楷体"/>
        <family val="3"/>
        <charset val="134"/>
      </rPr>
      <t>公司贷款占比</t>
    </r>
  </si>
  <si>
    <r>
      <rPr>
        <sz val="10"/>
        <color rgb="FF000000"/>
        <rFont val="楷体"/>
        <family val="3"/>
        <charset val="134"/>
      </rPr>
      <t>个人贷款占比</t>
    </r>
  </si>
  <si>
    <r>
      <rPr>
        <sz val="10"/>
        <color rgb="FF000000"/>
        <rFont val="楷体"/>
        <family val="3"/>
        <charset val="134"/>
      </rPr>
      <t>票据贴现</t>
    </r>
  </si>
  <si>
    <r>
      <rPr>
        <b/>
        <sz val="10"/>
        <color rgb="FF000000"/>
        <rFont val="楷体"/>
        <family val="3"/>
        <charset val="134"/>
      </rPr>
      <t>　公司贷款余额新增情况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</si>
  <si>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年末变动</t>
    </r>
  </si>
  <si>
    <r>
      <t xml:space="preserve">         </t>
    </r>
    <r>
      <rPr>
        <sz val="10"/>
        <color rgb="FF000000"/>
        <rFont val="楷体"/>
        <family val="3"/>
        <charset val="134"/>
      </rPr>
      <t>交通运输、仓储和邮政业</t>
    </r>
  </si>
  <si>
    <r>
      <t xml:space="preserve">         </t>
    </r>
    <r>
      <rPr>
        <sz val="10"/>
        <color rgb="FF000000"/>
        <rFont val="楷体"/>
        <family val="3"/>
        <charset val="134"/>
      </rPr>
      <t>制造业</t>
    </r>
  </si>
  <si>
    <r>
      <t xml:space="preserve">         </t>
    </r>
    <r>
      <rPr>
        <sz val="10"/>
        <color rgb="FF000000"/>
        <rFont val="楷体"/>
        <family val="3"/>
        <charset val="134"/>
      </rPr>
      <t>电力、热力、燃气及水生产和供应业</t>
    </r>
  </si>
  <si>
    <r>
      <t xml:space="preserve">         </t>
    </r>
    <r>
      <rPr>
        <sz val="10"/>
        <color rgb="FF000000"/>
        <rFont val="楷体"/>
        <family val="3"/>
        <charset val="134"/>
      </rPr>
      <t>租赁和商务服务业</t>
    </r>
  </si>
  <si>
    <r>
      <t xml:space="preserve">         </t>
    </r>
    <r>
      <rPr>
        <sz val="10"/>
        <color rgb="FF000000"/>
        <rFont val="楷体"/>
        <family val="3"/>
        <charset val="134"/>
      </rPr>
      <t>水利、环境和公共设施管理业</t>
    </r>
  </si>
  <si>
    <r>
      <t xml:space="preserve">         </t>
    </r>
    <r>
      <rPr>
        <sz val="10"/>
        <color rgb="FF000000"/>
        <rFont val="楷体"/>
        <family val="3"/>
        <charset val="134"/>
      </rPr>
      <t>批发和零售业</t>
    </r>
  </si>
  <si>
    <r>
      <t xml:space="preserve">         </t>
    </r>
    <r>
      <rPr>
        <sz val="10"/>
        <color rgb="FF000000"/>
        <rFont val="楷体"/>
        <family val="3"/>
        <charset val="134"/>
      </rPr>
      <t>房地产业</t>
    </r>
  </si>
  <si>
    <r>
      <t xml:space="preserve">         </t>
    </r>
    <r>
      <rPr>
        <sz val="10"/>
        <color rgb="FF000000"/>
        <rFont val="楷体"/>
        <family val="3"/>
        <charset val="134"/>
      </rPr>
      <t>采矿业</t>
    </r>
  </si>
  <si>
    <r>
      <t xml:space="preserve">         </t>
    </r>
    <r>
      <rPr>
        <sz val="10"/>
        <color rgb="FF000000"/>
        <rFont val="楷体"/>
        <family val="3"/>
        <charset val="134"/>
      </rPr>
      <t>建筑业</t>
    </r>
  </si>
  <si>
    <r>
      <t xml:space="preserve">         </t>
    </r>
    <r>
      <rPr>
        <sz val="10"/>
        <color rgb="FF000000"/>
        <rFont val="楷体"/>
        <family val="3"/>
        <charset val="134"/>
      </rPr>
      <t>科教文卫</t>
    </r>
  </si>
  <si>
    <r>
      <t xml:space="preserve">         </t>
    </r>
    <r>
      <rPr>
        <sz val="10"/>
        <color rgb="FF000000"/>
        <rFont val="楷体"/>
        <family val="3"/>
        <charset val="134"/>
      </rPr>
      <t>住宿和餐饮业</t>
    </r>
  </si>
  <si>
    <r>
      <t xml:space="preserve">         </t>
    </r>
    <r>
      <rPr>
        <sz val="10"/>
        <color rgb="FF000000"/>
        <rFont val="楷体"/>
        <family val="3"/>
        <charset val="134"/>
      </rPr>
      <t>其他</t>
    </r>
  </si>
  <si>
    <r>
      <rPr>
        <sz val="10"/>
        <color rgb="FF000000"/>
        <rFont val="楷体"/>
        <family val="3"/>
        <charset val="134"/>
      </rPr>
      <t>个人贷款结构</t>
    </r>
  </si>
  <si>
    <r>
      <rPr>
        <b/>
        <sz val="10"/>
        <color rgb="FF000000"/>
        <rFont val="楷体"/>
        <family val="3"/>
        <charset val="134"/>
      </rPr>
      <t>个人贷款余额</t>
    </r>
  </si>
  <si>
    <r>
      <rPr>
        <sz val="10"/>
        <color rgb="FF000000"/>
        <rFont val="楷体"/>
        <family val="3"/>
        <charset val="134"/>
      </rPr>
      <t>个人住房贷款</t>
    </r>
  </si>
  <si>
    <r>
      <rPr>
        <sz val="10"/>
        <color rgb="FF000000"/>
        <rFont val="楷体"/>
        <family val="3"/>
        <charset val="134"/>
      </rPr>
      <t>个人汽车贷款</t>
    </r>
  </si>
  <si>
    <r>
      <rPr>
        <sz val="10"/>
        <color rgb="FF000000"/>
        <rFont val="楷体"/>
        <family val="3"/>
        <charset val="134"/>
      </rPr>
      <t>个人经营性贷款</t>
    </r>
  </si>
  <si>
    <r>
      <rPr>
        <sz val="10"/>
        <color rgb="FF000000"/>
        <rFont val="楷体"/>
        <family val="3"/>
        <charset val="134"/>
      </rPr>
      <t>其他个人贷款</t>
    </r>
  </si>
  <si>
    <r>
      <rPr>
        <sz val="10"/>
        <color rgb="FF000000"/>
        <rFont val="楷体"/>
        <family val="3"/>
        <charset val="134"/>
      </rPr>
      <t>信用卡应收账款</t>
    </r>
  </si>
  <si>
    <r>
      <rPr>
        <sz val="10"/>
        <rFont val="楷体"/>
        <family val="3"/>
        <charset val="134"/>
      </rPr>
      <t>净息差分析</t>
    </r>
    <phoneticPr fontId="26" type="noConversion"/>
  </si>
  <si>
    <r>
      <rPr>
        <sz val="10"/>
        <rFont val="楷体"/>
        <family val="3"/>
        <charset val="134"/>
      </rPr>
      <t>净息差</t>
    </r>
    <phoneticPr fontId="58" type="noConversion"/>
  </si>
  <si>
    <r>
      <rPr>
        <sz val="10"/>
        <color rgb="FF000000"/>
        <rFont val="楷体"/>
        <family val="3"/>
        <charset val="134"/>
      </rPr>
      <t>单位：亿元</t>
    </r>
    <phoneticPr fontId="58" type="noConversion"/>
  </si>
  <si>
    <r>
      <rPr>
        <sz val="10"/>
        <color rgb="FF000000"/>
        <rFont val="楷体"/>
        <family val="3"/>
        <charset val="134"/>
      </rPr>
      <t>平均余额</t>
    </r>
  </si>
  <si>
    <r>
      <rPr>
        <sz val="10"/>
        <color rgb="FF000000"/>
        <rFont val="楷体"/>
        <family val="3"/>
        <charset val="134"/>
      </rPr>
      <t>平均利率</t>
    </r>
  </si>
  <si>
    <r>
      <rPr>
        <sz val="10"/>
        <color rgb="FF000000"/>
        <rFont val="楷体"/>
        <family val="3"/>
        <charset val="134"/>
      </rPr>
      <t>生息资产合计</t>
    </r>
  </si>
  <si>
    <r>
      <rPr>
        <sz val="10"/>
        <color rgb="FF000000"/>
        <rFont val="楷体"/>
        <family val="3"/>
        <charset val="134"/>
      </rPr>
      <t>客户贷款</t>
    </r>
  </si>
  <si>
    <r>
      <rPr>
        <sz val="10"/>
        <color rgb="FF000000"/>
        <rFont val="楷体"/>
        <family val="3"/>
        <charset val="134"/>
      </rPr>
      <t>其中：公司类贷款</t>
    </r>
  </si>
  <si>
    <r>
      <rPr>
        <sz val="10"/>
        <color rgb="FF000000"/>
        <rFont val="楷体"/>
        <family val="3"/>
        <charset val="134"/>
      </rPr>
      <t>个人贷款</t>
    </r>
  </si>
  <si>
    <r>
      <rPr>
        <sz val="10"/>
        <color rgb="FF000000"/>
        <rFont val="楷体"/>
        <family val="3"/>
        <charset val="134"/>
      </rPr>
      <t>境外业务</t>
    </r>
  </si>
  <si>
    <r>
      <rPr>
        <sz val="10"/>
        <color rgb="FF000000"/>
        <rFont val="楷体"/>
        <family val="3"/>
        <charset val="134"/>
      </rPr>
      <t>证券投资</t>
    </r>
  </si>
  <si>
    <r>
      <rPr>
        <sz val="10"/>
        <color rgb="FF000000"/>
        <rFont val="楷体"/>
        <family val="3"/>
        <charset val="134"/>
      </rPr>
      <t>存拆放同业</t>
    </r>
  </si>
  <si>
    <r>
      <rPr>
        <sz val="10"/>
        <color rgb="FF000000"/>
        <rFont val="楷体"/>
        <family val="3"/>
        <charset val="134"/>
      </rPr>
      <t>计息负债合计</t>
    </r>
  </si>
  <si>
    <r>
      <rPr>
        <sz val="10"/>
        <color rgb="FF000000"/>
        <rFont val="楷体"/>
        <family val="3"/>
        <charset val="134"/>
      </rPr>
      <t>吸收存款</t>
    </r>
  </si>
  <si>
    <r>
      <rPr>
        <sz val="10"/>
        <color rgb="FF000000"/>
        <rFont val="楷体"/>
        <family val="3"/>
        <charset val="134"/>
      </rPr>
      <t>其中：公司定期</t>
    </r>
  </si>
  <si>
    <r>
      <rPr>
        <sz val="10"/>
        <color rgb="FF000000"/>
        <rFont val="楷体"/>
        <family val="3"/>
        <charset val="134"/>
      </rPr>
      <t>公司活期</t>
    </r>
  </si>
  <si>
    <r>
      <rPr>
        <sz val="10"/>
        <color rgb="FF000000"/>
        <rFont val="楷体"/>
        <family val="3"/>
        <charset val="134"/>
      </rPr>
      <t>个人定期</t>
    </r>
  </si>
  <si>
    <r>
      <rPr>
        <sz val="10"/>
        <color rgb="FF000000"/>
        <rFont val="楷体"/>
        <family val="3"/>
        <charset val="134"/>
      </rPr>
      <t>个人活期</t>
    </r>
  </si>
  <si>
    <r>
      <rPr>
        <sz val="10"/>
        <color rgb="FF000000"/>
        <rFont val="楷体"/>
        <family val="3"/>
        <charset val="134"/>
      </rPr>
      <t>同业存拆放</t>
    </r>
  </si>
  <si>
    <r>
      <rPr>
        <sz val="10"/>
        <color rgb="FF000000"/>
        <rFont val="楷体"/>
        <family val="3"/>
        <charset val="134"/>
      </rPr>
      <t>发行债券</t>
    </r>
  </si>
  <si>
    <r>
      <rPr>
        <sz val="10"/>
        <rFont val="楷体"/>
        <family val="3"/>
        <charset val="134"/>
      </rPr>
      <t>同业存单分析</t>
    </r>
    <phoneticPr fontId="26" type="noConversion"/>
  </si>
  <si>
    <r>
      <t>Q2</t>
    </r>
    <r>
      <rPr>
        <sz val="10"/>
        <color rgb="FF000000"/>
        <rFont val="楷体"/>
        <family val="3"/>
        <charset val="134"/>
      </rPr>
      <t>的发行量</t>
    </r>
  </si>
  <si>
    <r>
      <t>Q2</t>
    </r>
    <r>
      <rPr>
        <sz val="10"/>
        <color rgb="FF000000"/>
        <rFont val="楷体"/>
        <family val="3"/>
        <charset val="134"/>
      </rPr>
      <t>到期量</t>
    </r>
  </si>
  <si>
    <r>
      <t>Q2</t>
    </r>
    <r>
      <rPr>
        <sz val="10"/>
        <color rgb="FF000000"/>
        <rFont val="楷体"/>
        <family val="3"/>
        <charset val="134"/>
      </rPr>
      <t>净融资</t>
    </r>
  </si>
  <si>
    <r>
      <t>6</t>
    </r>
    <r>
      <rPr>
        <sz val="10"/>
        <color rgb="FF000000"/>
        <rFont val="楷体"/>
        <family val="3"/>
        <charset val="134"/>
      </rPr>
      <t>月末存量未到期规模</t>
    </r>
  </si>
  <si>
    <r>
      <rPr>
        <sz val="10"/>
        <color rgb="FF000000"/>
        <rFont val="楷体"/>
        <family val="3"/>
        <charset val="134"/>
      </rPr>
      <t>工商银行</t>
    </r>
    <phoneticPr fontId="58" type="noConversion"/>
  </si>
  <si>
    <r>
      <t>2016</t>
    </r>
    <r>
      <rPr>
        <sz val="10"/>
        <color rgb="FF000000"/>
        <rFont val="楷体"/>
        <family val="3"/>
        <charset val="134"/>
      </rPr>
      <t>年末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</si>
  <si>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</si>
  <si>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</si>
  <si>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7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</si>
  <si>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rPr>
        <sz val="10"/>
        <color rgb="FF000000"/>
        <rFont val="楷体"/>
        <family val="3"/>
        <charset val="134"/>
      </rPr>
      <t>未到期规模</t>
    </r>
    <phoneticPr fontId="58" type="noConversion"/>
  </si>
  <si>
    <r>
      <rPr>
        <sz val="10"/>
        <color rgb="FF000000"/>
        <rFont val="楷体"/>
        <family val="3"/>
        <charset val="134"/>
      </rPr>
      <t>加权平均利率</t>
    </r>
    <phoneticPr fontId="58" type="noConversion"/>
  </si>
  <si>
    <t>核心一级资本净额</t>
    <phoneticPr fontId="4" type="noConversion"/>
  </si>
  <si>
    <t>分红及其他</t>
    <phoneticPr fontId="4" type="noConversion"/>
  </si>
  <si>
    <t>收入拆分</t>
    <phoneticPr fontId="4" type="noConversion"/>
  </si>
  <si>
    <t>收入结构</t>
    <phoneticPr fontId="4" type="noConversion"/>
  </si>
  <si>
    <t>利润表环比增速</t>
    <phoneticPr fontId="4" type="noConversion"/>
  </si>
  <si>
    <t>利润表同比增速</t>
    <phoneticPr fontId="4" type="noConversion"/>
  </si>
  <si>
    <t>利润表关键科目</t>
    <phoneticPr fontId="4" type="noConversion"/>
  </si>
  <si>
    <t>利润表结构</t>
    <phoneticPr fontId="4" type="noConversion"/>
  </si>
  <si>
    <t>利润驱动因素分解</t>
    <phoneticPr fontId="4" type="noConversion"/>
  </si>
  <si>
    <t>资产端关键科目</t>
    <phoneticPr fontId="4" type="noConversion"/>
  </si>
  <si>
    <t>资产端占比</t>
    <phoneticPr fontId="4" type="noConversion"/>
  </si>
  <si>
    <t>负债端关键科目</t>
    <phoneticPr fontId="4" type="noConversion"/>
  </si>
  <si>
    <t>负债端关键科目占比</t>
    <phoneticPr fontId="4" type="noConversion"/>
  </si>
  <si>
    <t>资产质量指标</t>
    <phoneticPr fontId="4" type="noConversion"/>
  </si>
  <si>
    <t>贷款结构占比</t>
    <phoneticPr fontId="4" type="noConversion"/>
  </si>
  <si>
    <t>个人贷款占比</t>
    <phoneticPr fontId="4" type="noConversion"/>
  </si>
  <si>
    <t>不良贷款生成表</t>
    <phoneticPr fontId="26" type="noConversion"/>
  </si>
  <si>
    <t>存款占比</t>
    <phoneticPr fontId="26" type="noConversion"/>
  </si>
  <si>
    <t>分行业不良率</t>
    <phoneticPr fontId="26" type="noConversion"/>
  </si>
  <si>
    <t>活期存款余额</t>
    <phoneticPr fontId="4" type="noConversion"/>
  </si>
  <si>
    <t>同比增速</t>
    <phoneticPr fontId="4" type="noConversion"/>
  </si>
  <si>
    <t>营业收入</t>
    <phoneticPr fontId="4" type="noConversion"/>
  </si>
  <si>
    <t>净利润同比变动</t>
    <phoneticPr fontId="4" type="noConversion"/>
  </si>
  <si>
    <t>贷款及垫款</t>
    <phoneticPr fontId="4" type="noConversion"/>
  </si>
  <si>
    <t>存款</t>
    <phoneticPr fontId="4" type="noConversion"/>
  </si>
  <si>
    <t>不良率</t>
    <phoneticPr fontId="4" type="noConversion"/>
  </si>
  <si>
    <t>公司贷款占比</t>
    <phoneticPr fontId="4" type="noConversion"/>
  </si>
  <si>
    <t xml:space="preserve"> 个人住房贷款：占比</t>
    <phoneticPr fontId="4" type="noConversion"/>
  </si>
  <si>
    <t>计提</t>
    <phoneticPr fontId="26" type="noConversion"/>
  </si>
  <si>
    <t>公司存款占比</t>
    <phoneticPr fontId="4" type="noConversion"/>
  </si>
  <si>
    <t xml:space="preserve">  企业一般贷款（含其他）余额</t>
    <phoneticPr fontId="4" type="noConversion"/>
  </si>
  <si>
    <t xml:space="preserve">  企业活期存款余额</t>
    <phoneticPr fontId="4" type="noConversion"/>
  </si>
  <si>
    <t>利息净收入</t>
    <phoneticPr fontId="4" type="noConversion"/>
  </si>
  <si>
    <t>同业资产</t>
    <phoneticPr fontId="4" type="noConversion"/>
  </si>
  <si>
    <t>同业负债</t>
    <phoneticPr fontId="4" type="noConversion"/>
  </si>
  <si>
    <t>关注类贷款占比</t>
    <phoneticPr fontId="4" type="noConversion"/>
  </si>
  <si>
    <t>个人存款占比</t>
    <phoneticPr fontId="4" type="noConversion"/>
  </si>
  <si>
    <t xml:space="preserve">  个人活期存款余额</t>
    <phoneticPr fontId="4" type="noConversion"/>
  </si>
  <si>
    <t>存贷比</t>
    <phoneticPr fontId="6" type="noConversion"/>
  </si>
  <si>
    <t>非息净收入</t>
    <phoneticPr fontId="4" type="noConversion"/>
  </si>
  <si>
    <t>债券类投资</t>
    <phoneticPr fontId="4" type="noConversion"/>
  </si>
  <si>
    <t>应付债券</t>
    <phoneticPr fontId="26" type="noConversion"/>
  </si>
  <si>
    <t>逾期贷款占比</t>
    <phoneticPr fontId="4" type="noConversion"/>
  </si>
  <si>
    <t>票据贴现占比</t>
    <phoneticPr fontId="4" type="noConversion"/>
  </si>
  <si>
    <t>收回以前年度核销</t>
    <phoneticPr fontId="26" type="noConversion"/>
  </si>
  <si>
    <t>活期存款占比</t>
    <phoneticPr fontId="4" type="noConversion"/>
  </si>
  <si>
    <t>定期存款余额</t>
    <phoneticPr fontId="4" type="noConversion"/>
  </si>
  <si>
    <t xml:space="preserve">  一般企业贷款（含其他）：收益率</t>
    <phoneticPr fontId="4" type="noConversion"/>
  </si>
  <si>
    <t>本期转出</t>
    <phoneticPr fontId="6" type="noConversion"/>
  </si>
  <si>
    <t>手续费及佣金净收入</t>
    <phoneticPr fontId="4" type="noConversion"/>
  </si>
  <si>
    <t>成本收入比</t>
    <phoneticPr fontId="4" type="noConversion"/>
  </si>
  <si>
    <t>应收款项类投资</t>
    <phoneticPr fontId="4" type="noConversion"/>
  </si>
  <si>
    <t>向央行借款</t>
    <phoneticPr fontId="26" type="noConversion"/>
  </si>
  <si>
    <t>逾期3个月以上贷款占比</t>
    <phoneticPr fontId="4" type="noConversion"/>
  </si>
  <si>
    <t>不良生成额</t>
    <phoneticPr fontId="26" type="noConversion"/>
  </si>
  <si>
    <t>定期存款占比</t>
    <phoneticPr fontId="4" type="noConversion"/>
  </si>
  <si>
    <t xml:space="preserve">  企业定期存款余额</t>
    <phoneticPr fontId="4" type="noConversion"/>
  </si>
  <si>
    <t>管理费用</t>
    <phoneticPr fontId="4" type="noConversion"/>
  </si>
  <si>
    <t>投资类资产</t>
    <phoneticPr fontId="26" type="noConversion"/>
  </si>
  <si>
    <t>其他负债</t>
    <phoneticPr fontId="26" type="noConversion"/>
  </si>
  <si>
    <t>不良/逾期</t>
    <phoneticPr fontId="4" type="noConversion"/>
  </si>
  <si>
    <t>不良生成率</t>
    <phoneticPr fontId="26" type="noConversion"/>
  </si>
  <si>
    <t xml:space="preserve">  个人定期存款余额</t>
    <phoneticPr fontId="4" type="noConversion"/>
  </si>
  <si>
    <t>非利息收入结构</t>
    <phoneticPr fontId="26" type="noConversion"/>
  </si>
  <si>
    <t>归母净利润</t>
    <phoneticPr fontId="4" type="noConversion"/>
  </si>
  <si>
    <t>存放央行</t>
    <phoneticPr fontId="26" type="noConversion"/>
  </si>
  <si>
    <t>总负债</t>
    <phoneticPr fontId="26" type="noConversion"/>
  </si>
  <si>
    <t>同业存单+同业负债占比</t>
    <phoneticPr fontId="26" type="noConversion"/>
  </si>
  <si>
    <t>不良/逾期3个月以上</t>
    <phoneticPr fontId="4" type="noConversion"/>
  </si>
  <si>
    <t>其他存款余额</t>
    <phoneticPr fontId="4" type="noConversion"/>
  </si>
  <si>
    <t>资产负债表其他资产</t>
    <phoneticPr fontId="26" type="noConversion"/>
  </si>
  <si>
    <t>拨备覆盖率</t>
    <phoneticPr fontId="4" type="noConversion"/>
  </si>
  <si>
    <t>企业存款余额</t>
    <phoneticPr fontId="4" type="noConversion"/>
  </si>
  <si>
    <t>归母净利润：同比增速</t>
    <phoneticPr fontId="4" type="noConversion"/>
  </si>
  <si>
    <t>总资产</t>
    <phoneticPr fontId="4" type="noConversion"/>
  </si>
  <si>
    <t>个人存款余额</t>
    <phoneticPr fontId="4" type="noConversion"/>
  </si>
  <si>
    <t>利息支出总额</t>
    <phoneticPr fontId="6" type="noConversion"/>
  </si>
  <si>
    <t xml:space="preserve">   个人定期存款：平均余额</t>
    <phoneticPr fontId="4" type="noConversion"/>
  </si>
  <si>
    <t>其他（境外业务）存款：平均余额</t>
    <phoneticPr fontId="4" type="noConversion"/>
  </si>
  <si>
    <t>其他存款（境外业务）：利息支出</t>
    <phoneticPr fontId="4" type="noConversion"/>
  </si>
  <si>
    <t>利润表</t>
    <phoneticPr fontId="4" type="noConversion"/>
  </si>
  <si>
    <t>数据底稿目录</t>
    <phoneticPr fontId="4" type="noConversion"/>
  </si>
  <si>
    <t>专题分析目录</t>
    <phoneticPr fontId="4" type="noConversion"/>
  </si>
  <si>
    <t>一张图财务快报</t>
  </si>
  <si>
    <t>利润表分析</t>
  </si>
  <si>
    <t>资产负债结构分析</t>
  </si>
  <si>
    <t>贷款结构及质量分析</t>
  </si>
  <si>
    <t>净息差分析</t>
  </si>
  <si>
    <t>同业存单分析</t>
  </si>
  <si>
    <t>净利润同比变动</t>
  </si>
  <si>
    <t>净利润变动因子分解</t>
  </si>
  <si>
    <t>平均生息资产</t>
  </si>
  <si>
    <t>净息差</t>
  </si>
  <si>
    <t>营业成本及所得税</t>
  </si>
  <si>
    <t>营业外利润</t>
  </si>
  <si>
    <t>利润表单季度分析</t>
    <phoneticPr fontId="4" type="noConversion"/>
  </si>
  <si>
    <t>单位：亿元</t>
  </si>
  <si>
    <t>2015Q1</t>
  </si>
  <si>
    <t>2015Q2</t>
  </si>
  <si>
    <t>2015Q3</t>
  </si>
  <si>
    <t>2015Q4</t>
  </si>
  <si>
    <t>非息净收入</t>
  </si>
  <si>
    <t>管理费用</t>
  </si>
  <si>
    <t>归母净利润</t>
  </si>
  <si>
    <t>环比</t>
  </si>
  <si>
    <t>同比增速</t>
  </si>
  <si>
    <t>营业收入同比增速</t>
  </si>
  <si>
    <t>归母净利润同比增速</t>
  </si>
  <si>
    <t>财务速览</t>
    <phoneticPr fontId="4" type="noConversion"/>
  </si>
  <si>
    <t>利润分析</t>
    <phoneticPr fontId="4" type="noConversion"/>
  </si>
  <si>
    <t>资产负债分析</t>
    <phoneticPr fontId="4" type="noConversion"/>
  </si>
  <si>
    <t>贷款结构及质量分析</t>
    <phoneticPr fontId="4" type="noConversion"/>
  </si>
  <si>
    <t>资产质量</t>
    <phoneticPr fontId="4" type="noConversion"/>
  </si>
  <si>
    <t>不良贷款计提表</t>
    <phoneticPr fontId="4" type="noConversion"/>
  </si>
  <si>
    <t>投资类占比分析</t>
    <phoneticPr fontId="4" type="noConversion"/>
  </si>
  <si>
    <t>工商银行</t>
  </si>
  <si>
    <t>银行经营数据</t>
    <phoneticPr fontId="26" type="noConversion"/>
  </si>
  <si>
    <t>　　银行卡手续费(百万元)</t>
  </si>
  <si>
    <t>　　代理服务手续费(百万元)</t>
  </si>
  <si>
    <t>　　托管及其他受托业务佣金(百万元)</t>
  </si>
  <si>
    <t>　　结算与清算手续费(百万元)</t>
  </si>
  <si>
    <t>　　担保及承诺业务手续费(百万元)</t>
  </si>
  <si>
    <t>　　借记卡新增发卡量(万张)</t>
  </si>
  <si>
    <t>　　借记卡累计发卡量(万张)</t>
  </si>
  <si>
    <t>　　信用卡新增发卡量(万张)</t>
  </si>
  <si>
    <t>　　信用卡累计发卡量(万张)</t>
  </si>
  <si>
    <t>　　信用卡贷款余额(亿元)</t>
  </si>
  <si>
    <t>　　本行发行的理财产品销售额(亿元)</t>
  </si>
  <si>
    <t>　　代销基金金额(亿元)</t>
  </si>
  <si>
    <t>　　理财产品销售额(亿元)</t>
  </si>
  <si>
    <t>　　第三方存管客户总数(户)</t>
  </si>
  <si>
    <t>　　代销保险金额(亿元)</t>
  </si>
  <si>
    <t>　　代销国债金额(亿元)</t>
  </si>
  <si>
    <t>　　托管资产总规模(亿元)</t>
  </si>
  <si>
    <t>　　企业年金托管签约客户(家)</t>
  </si>
  <si>
    <t>　　企业年金基金托管规模(亿元)</t>
  </si>
  <si>
    <t>　　证券投资基金托管总数(只)</t>
  </si>
  <si>
    <t>　　国际结算量(亿美元)</t>
  </si>
  <si>
    <t>　　网银个人客户数(万户)</t>
  </si>
  <si>
    <t>　　网银客户总数(万户)</t>
  </si>
  <si>
    <t>　　网银交易金额(亿元)</t>
  </si>
  <si>
    <t>　　网银交易笔数(万笔)</t>
  </si>
  <si>
    <t>　　网银企业客户数(万户)</t>
  </si>
  <si>
    <t>　　手机银行客户数(万户)</t>
  </si>
  <si>
    <t>　　电子银行交易总额(亿元)</t>
  </si>
  <si>
    <t>　　网银企业客户交易额(亿元)</t>
  </si>
  <si>
    <t>　　网银个人客户交易额(亿元)</t>
  </si>
  <si>
    <t>　　电话银行客户数(万户)</t>
  </si>
  <si>
    <t>　　电话银行交易额(亿元)</t>
  </si>
  <si>
    <t>　　电话银行交易笔数(万笔)</t>
  </si>
  <si>
    <t>　　(中)小企业授信客户数(户)</t>
  </si>
  <si>
    <t>　　(中)小企业贷款余额(亿元)</t>
  </si>
  <si>
    <t>　　短期融资券及中期票据承销量(亿元)</t>
  </si>
  <si>
    <t>　　自助银行数(个)</t>
  </si>
  <si>
    <t>　　自助设备数(台)</t>
  </si>
  <si>
    <t>　　私人银行个数(家)</t>
  </si>
  <si>
    <t>　　私人银行客户数(户)</t>
  </si>
  <si>
    <t>　　私人银行客户资产规模(亿元)</t>
  </si>
  <si>
    <t>　　AFP/CFP/EFP人数合计(人)</t>
  </si>
  <si>
    <t>　　财富管理中心个数(个)</t>
  </si>
  <si>
    <t>　　零售客户资产规模(亿元)</t>
  </si>
  <si>
    <t>　　零售客户数(个)</t>
  </si>
  <si>
    <t>　　非利息收入占营业收入比(%)</t>
  </si>
  <si>
    <t>　　信用卡贷款余额增长率(%)</t>
  </si>
  <si>
    <t>　　营业网点(个)</t>
  </si>
  <si>
    <t>　　中小微企业贷款余额(亿元)</t>
  </si>
  <si>
    <t>　　小微企业贷款余额(亿元)</t>
  </si>
  <si>
    <t>　　本行管理的理财产品余额(亿元)</t>
  </si>
  <si>
    <t>17H</t>
  </si>
  <si>
    <t>保证贷款总额对的上</t>
  </si>
  <si>
    <t>政策性银行</t>
  </si>
  <si>
    <t>权益投资</t>
  </si>
  <si>
    <t>其他债务工具</t>
  </si>
  <si>
    <t>其他投资</t>
  </si>
  <si>
    <t>债券</t>
  </si>
  <si>
    <t>国债</t>
  </si>
  <si>
    <t>政策性银行债</t>
  </si>
  <si>
    <t>金融债券</t>
  </si>
  <si>
    <t>企业债券</t>
  </si>
  <si>
    <t>银行经营数据</t>
    <phoneticPr fontId="26" type="noConversion"/>
  </si>
  <si>
    <t>（单位：百万元）</t>
    <phoneticPr fontId="4" type="noConversion"/>
  </si>
  <si>
    <t>（单位：%）</t>
    <phoneticPr fontId="4" type="noConversion"/>
  </si>
  <si>
    <t>（单位：元）</t>
    <phoneticPr fontId="4" type="noConversion"/>
  </si>
  <si>
    <t>（百万元）</t>
  </si>
  <si>
    <t>（万张）</t>
  </si>
  <si>
    <t>（户）</t>
  </si>
  <si>
    <t>（家）</t>
  </si>
  <si>
    <t>（只）</t>
  </si>
  <si>
    <t>（亿美元）</t>
  </si>
  <si>
    <t>（万户）</t>
  </si>
  <si>
    <t>（万笔）</t>
  </si>
  <si>
    <t>（个）</t>
  </si>
  <si>
    <t>（台）</t>
  </si>
  <si>
    <t>（人）</t>
  </si>
  <si>
    <t>（%）</t>
  </si>
  <si>
    <t>（户）</t>
    <phoneticPr fontId="4" type="noConversion"/>
  </si>
  <si>
    <t>(亿元)</t>
    <phoneticPr fontId="4" type="noConversion"/>
  </si>
  <si>
    <t>（亿元）</t>
    <phoneticPr fontId="4" type="noConversion"/>
  </si>
  <si>
    <t>半年度</t>
    <phoneticPr fontId="4" type="noConversion"/>
  </si>
  <si>
    <t>年度</t>
    <phoneticPr fontId="4" type="noConversion"/>
  </si>
  <si>
    <t>选择频率</t>
    <phoneticPr fontId="4" type="noConversion"/>
  </si>
  <si>
    <t>季度</t>
    <phoneticPr fontId="4" type="noConversion"/>
  </si>
  <si>
    <t>选择开始日期</t>
    <phoneticPr fontId="4" type="noConversion"/>
  </si>
  <si>
    <t>利润驱动因素分解分析</t>
    <phoneticPr fontId="4" type="noConversion"/>
  </si>
  <si>
    <t>利润驱动因素分解分析</t>
    <phoneticPr fontId="4" type="noConversion"/>
  </si>
  <si>
    <t>专题分析</t>
    <phoneticPr fontId="4" type="noConversion"/>
  </si>
  <si>
    <t>半年度</t>
  </si>
  <si>
    <t>资产负债分析</t>
  </si>
  <si>
    <t>利润表结构</t>
  </si>
  <si>
    <t>成本收入比</t>
  </si>
  <si>
    <t>投资类占比分析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</si>
</sst>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1" formatCode="###,###,##0.00"/>
    <numFmt numFmtId="192" formatCode="0.00_ "/>
    <numFmt numFmtId="193" formatCode="0.0_ "/>
    <numFmt numFmtId="194" formatCode="0.00%;[Red]\(0.00%\);0.00%"/>
    <numFmt numFmtId="195" formatCode="###,##0.00_ "/>
    <numFmt numFmtId="196" formatCode="0_);[Red]\(0\)"/>
    <numFmt numFmtId="198" formatCode="00.00%"/>
  </numFmts>
  <fonts count="63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9"/>
      <color theme="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楷体"/>
      <family val="3"/>
      <charset val="134"/>
    </font>
    <font>
      <b/>
      <sz val="10"/>
      <color rgb="FF000000"/>
      <name val="Times New Roman"/>
      <family val="1"/>
    </font>
    <font>
      <b/>
      <sz val="10"/>
      <color rgb="FF000000"/>
      <name val="楷体"/>
      <family val="3"/>
      <charset val="134"/>
    </font>
    <font>
      <b/>
      <sz val="9"/>
      <color indexed="81"/>
      <name val="宋体"/>
      <family val="3"/>
      <charset val="134"/>
    </font>
    <font>
      <b/>
      <sz val="10"/>
      <color rgb="FF000080"/>
      <name val="Times New Roman"/>
      <family val="1"/>
    </font>
    <font>
      <sz val="10"/>
      <color rgb="FFFFFFFF"/>
      <name val="Times New Roman"/>
      <family val="1"/>
    </font>
    <font>
      <sz val="9"/>
      <name val="等线"/>
      <family val="2"/>
      <charset val="134"/>
    </font>
    <font>
      <b/>
      <sz val="10"/>
      <color theme="1"/>
      <name val="楷体"/>
      <family val="3"/>
      <charset val="134"/>
    </font>
    <font>
      <b/>
      <sz val="10"/>
      <color theme="1"/>
      <name val="Times New Roman"/>
      <family val="1"/>
    </font>
    <font>
      <b/>
      <sz val="9"/>
      <color rgb="FF000000"/>
      <name val="楷体"/>
      <family val="3"/>
      <charset val="134"/>
    </font>
    <font>
      <sz val="9"/>
      <color rgb="FFFFFFFF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9BC2E6"/>
        <bgColor rgb="FF000000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7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088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14" fontId="3" fillId="2" borderId="1" xfId="2" applyNumberFormat="1" applyFont="1" applyFill="1" applyBorder="1" applyAlignment="1" applyProtection="1">
      <alignment horizontal="center"/>
    </xf>
    <xf numFmtId="0" fontId="10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0" fillId="2" borderId="0" xfId="2" applyFont="1" applyFill="1" applyAlignment="1" applyProtection="1">
      <alignment horizontal="right"/>
    </xf>
    <xf numFmtId="0" fontId="10" fillId="2" borderId="0" xfId="2" applyNumberFormat="1" applyFont="1" applyFill="1" applyBorder="1" applyAlignment="1" applyProtection="1">
      <alignment horizontal="center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176" fontId="2" fillId="2" borderId="0" xfId="2" applyNumberFormat="1" applyFill="1"/>
    <xf numFmtId="0" fontId="11" fillId="2" borderId="0" xfId="2" applyFont="1" applyFill="1"/>
    <xf numFmtId="0" fontId="3" fillId="2" borderId="5" xfId="2" applyFont="1" applyFill="1" applyBorder="1"/>
    <xf numFmtId="10" fontId="2" fillId="2" borderId="0" xfId="4" applyNumberFormat="1">
      <alignment horizontal="right"/>
    </xf>
    <xf numFmtId="0" fontId="3" fillId="2" borderId="0" xfId="2" applyFont="1" applyFill="1"/>
    <xf numFmtId="0" fontId="2" fillId="0" borderId="0" xfId="2" applyFill="1"/>
    <xf numFmtId="0" fontId="2" fillId="2" borderId="2" xfId="2" applyFill="1" applyBorder="1"/>
    <xf numFmtId="0" fontId="2" fillId="2" borderId="10" xfId="2" applyFill="1" applyBorder="1"/>
    <xf numFmtId="0" fontId="2" fillId="2" borderId="1" xfId="2" applyFill="1" applyBorder="1"/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2" fillId="6" borderId="0" xfId="2" applyFont="1" applyFill="1" applyProtection="1"/>
    <xf numFmtId="0" fontId="13" fillId="2" borderId="0" xfId="2" applyFont="1" applyFill="1"/>
    <xf numFmtId="176" fontId="13" fillId="7" borderId="0" xfId="2" applyNumberFormat="1" applyFont="1" applyFill="1"/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0" fontId="3" fillId="2" borderId="2" xfId="2" applyFont="1" applyFill="1" applyBorder="1"/>
    <xf numFmtId="0" fontId="14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1" fillId="2" borderId="0" xfId="2" applyFont="1" applyFill="1" applyBorder="1" applyAlignment="1">
      <alignment horizontal="left"/>
    </xf>
    <xf numFmtId="0" fontId="11" fillId="2" borderId="0" xfId="2" applyFont="1" applyFill="1" applyBorder="1" applyAlignment="1" applyProtection="1">
      <alignment horizontal="left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0" fontId="5" fillId="2" borderId="13" xfId="2" applyNumberFormat="1" applyFont="1" applyFill="1" applyBorder="1" applyAlignment="1" applyProtection="1">
      <alignment horizontal="left"/>
    </xf>
    <xf numFmtId="0" fontId="14" fillId="2" borderId="13" xfId="2" applyFont="1" applyFill="1" applyBorder="1" applyProtection="1"/>
    <xf numFmtId="0" fontId="3" fillId="2" borderId="0" xfId="2" applyFont="1" applyFill="1" applyBorder="1" applyProtection="1"/>
    <xf numFmtId="0" fontId="11" fillId="2" borderId="10" xfId="2" applyFont="1" applyFill="1" applyBorder="1" applyProtection="1"/>
    <xf numFmtId="0" fontId="5" fillId="2" borderId="13" xfId="2" applyFont="1" applyFill="1" applyBorder="1" applyProtection="1"/>
    <xf numFmtId="0" fontId="15" fillId="2" borderId="0" xfId="2" applyFont="1" applyFill="1" applyBorder="1" applyProtection="1"/>
    <xf numFmtId="0" fontId="5" fillId="2" borderId="0" xfId="2" applyFont="1" applyFill="1" applyBorder="1" applyProtection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1" fillId="2" borderId="0" xfId="2" applyFont="1" applyFill="1" applyProtection="1"/>
    <xf numFmtId="0" fontId="11" fillId="2" borderId="1" xfId="2" applyFont="1" applyFill="1" applyBorder="1" applyProtection="1"/>
    <xf numFmtId="176" fontId="3" fillId="4" borderId="11" xfId="3" applyFont="1" applyFill="1" applyBorder="1">
      <alignment horizontal="right" vertical="center"/>
    </xf>
    <xf numFmtId="0" fontId="11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0" fontId="5" fillId="2" borderId="15" xfId="2" applyFont="1" applyFill="1" applyBorder="1" applyProtection="1"/>
    <xf numFmtId="0" fontId="16" fillId="2" borderId="0" xfId="2" applyFont="1" applyFill="1" applyAlignment="1" applyProtection="1">
      <alignment horizontal="left"/>
    </xf>
    <xf numFmtId="0" fontId="5" fillId="0" borderId="0" xfId="2" applyFont="1" applyFill="1" applyAlignment="1" applyProtection="1">
      <alignment horizontal="left"/>
    </xf>
    <xf numFmtId="176" fontId="2" fillId="4" borderId="6" xfId="3" applyFill="1" applyBorder="1">
      <alignment horizontal="right" vertical="center"/>
    </xf>
    <xf numFmtId="0" fontId="16" fillId="0" borderId="0" xfId="2" applyFont="1" applyFill="1" applyAlignment="1" applyProtection="1">
      <alignment horizontal="left"/>
    </xf>
    <xf numFmtId="0" fontId="13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0" fontId="5" fillId="2" borderId="10" xfId="2" applyFont="1" applyFill="1" applyBorder="1" applyProtection="1"/>
    <xf numFmtId="0" fontId="5" fillId="2" borderId="2" xfId="2" applyFont="1" applyFill="1" applyBorder="1"/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11" fillId="2" borderId="2" xfId="2" applyFont="1" applyFill="1" applyBorder="1"/>
    <xf numFmtId="0" fontId="11" fillId="2" borderId="0" xfId="2" applyFont="1" applyFill="1" applyBorder="1"/>
    <xf numFmtId="0" fontId="11" fillId="2" borderId="1" xfId="2" applyFont="1" applyFill="1" applyBorder="1"/>
    <xf numFmtId="0" fontId="14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0" fontId="5" fillId="0" borderId="13" xfId="2" applyFont="1" applyFill="1" applyBorder="1" applyProtection="1"/>
    <xf numFmtId="176" fontId="3" fillId="2" borderId="0" xfId="3" applyFont="1" applyBorder="1">
      <alignment horizontal="right" vertical="center"/>
    </xf>
    <xf numFmtId="0" fontId="13" fillId="2" borderId="0" xfId="2" applyFont="1" applyFill="1" applyBorder="1" applyProtection="1"/>
    <xf numFmtId="43" fontId="17" fillId="2" borderId="0" xfId="2" applyNumberFormat="1" applyFont="1" applyFill="1" applyProtection="1"/>
    <xf numFmtId="0" fontId="18" fillId="2" borderId="0" xfId="2" applyFont="1" applyFill="1" applyBorder="1" applyProtection="1"/>
    <xf numFmtId="0" fontId="11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0" fontId="11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187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1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0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19" fillId="0" borderId="0" xfId="0" applyFont="1"/>
    <xf numFmtId="0" fontId="0" fillId="0" borderId="0" xfId="0" applyBorder="1"/>
    <xf numFmtId="0" fontId="24" fillId="0" borderId="0" xfId="0" applyFont="1"/>
    <xf numFmtId="0" fontId="19" fillId="0" borderId="0" xfId="0" applyFont="1" applyFill="1" applyBorder="1"/>
    <xf numFmtId="0" fontId="0" fillId="0" borderId="0" xfId="0" applyFill="1" applyBorder="1"/>
    <xf numFmtId="0" fontId="0" fillId="0" borderId="0" xfId="0" applyFill="1"/>
    <xf numFmtId="0" fontId="19" fillId="0" borderId="29" xfId="0" applyFont="1" applyBorder="1"/>
    <xf numFmtId="0" fontId="19" fillId="0" borderId="30" xfId="0" applyFont="1" applyBorder="1"/>
    <xf numFmtId="0" fontId="24" fillId="0" borderId="29" xfId="0" applyFont="1" applyBorder="1"/>
    <xf numFmtId="0" fontId="0" fillId="0" borderId="30" xfId="0" applyBorder="1"/>
    <xf numFmtId="14" fontId="20" fillId="2" borderId="1" xfId="2" applyNumberFormat="1" applyFont="1" applyFill="1" applyBorder="1" applyAlignment="1" applyProtection="1">
      <alignment horizont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14" fontId="31" fillId="2" borderId="0" xfId="2" applyNumberFormat="1" applyFont="1" applyFill="1"/>
    <xf numFmtId="0" fontId="31" fillId="2" borderId="0" xfId="2" applyFont="1" applyFill="1"/>
    <xf numFmtId="191" fontId="31" fillId="2" borderId="0" xfId="2" applyNumberFormat="1" applyFont="1" applyFill="1"/>
    <xf numFmtId="0" fontId="31" fillId="2" borderId="0" xfId="2" applyFont="1" applyFill="1" applyAlignment="1">
      <alignment horizontal="left"/>
    </xf>
    <xf numFmtId="10" fontId="31" fillId="2" borderId="0" xfId="2" applyNumberFormat="1" applyFont="1" applyFill="1"/>
    <xf numFmtId="0" fontId="20" fillId="2" borderId="0" xfId="2" applyFont="1" applyFill="1" applyBorder="1" applyAlignment="1"/>
    <xf numFmtId="37" fontId="20" fillId="2" borderId="0" xfId="2" applyNumberFormat="1" applyFont="1" applyFill="1" applyBorder="1" applyProtection="1"/>
    <xf numFmtId="0" fontId="20" fillId="2" borderId="0" xfId="2" applyFont="1" applyFill="1" applyBorder="1"/>
    <xf numFmtId="0" fontId="35" fillId="2" borderId="0" xfId="2" applyFont="1" applyFill="1" applyBorder="1"/>
    <xf numFmtId="0" fontId="36" fillId="2" borderId="0" xfId="2" applyFont="1" applyFill="1" applyAlignment="1">
      <alignment horizontal="left"/>
    </xf>
    <xf numFmtId="0" fontId="37" fillId="2" borderId="1" xfId="2" applyFont="1" applyFill="1" applyBorder="1" applyAlignment="1">
      <alignment horizontal="center"/>
    </xf>
    <xf numFmtId="0" fontId="20" fillId="2" borderId="1" xfId="2" applyFont="1" applyFill="1" applyBorder="1" applyAlignment="1" applyProtection="1">
      <alignment horizontal="right"/>
    </xf>
    <xf numFmtId="0" fontId="38" fillId="0" borderId="0" xfId="2" applyFont="1"/>
    <xf numFmtId="0" fontId="39" fillId="2" borderId="1" xfId="2" applyFont="1" applyFill="1" applyBorder="1" applyAlignment="1" applyProtection="1">
      <alignment horizontal="right"/>
    </xf>
    <xf numFmtId="0" fontId="39" fillId="2" borderId="0" xfId="2" applyFont="1" applyFill="1" applyBorder="1" applyAlignment="1" applyProtection="1">
      <alignment horizontal="right"/>
    </xf>
    <xf numFmtId="0" fontId="20" fillId="2" borderId="0" xfId="2" applyFont="1" applyFill="1" applyAlignment="1" applyProtection="1">
      <alignment horizontal="right"/>
    </xf>
    <xf numFmtId="0" fontId="39" fillId="2" borderId="0" xfId="2" applyFont="1" applyFill="1" applyAlignment="1" applyProtection="1">
      <alignment horizontal="right"/>
    </xf>
    <xf numFmtId="0" fontId="39" fillId="2" borderId="0" xfId="2" applyNumberFormat="1" applyFont="1" applyFill="1" applyBorder="1" applyAlignment="1" applyProtection="1">
      <alignment horizontal="center"/>
    </xf>
    <xf numFmtId="0" fontId="20" fillId="0" borderId="0" xfId="2" applyFont="1" applyFill="1" applyBorder="1" applyAlignment="1" applyProtection="1">
      <alignment horizontal="left"/>
    </xf>
    <xf numFmtId="0" fontId="20" fillId="2" borderId="0" xfId="2" applyNumberFormat="1" applyFont="1" applyFill="1" applyBorder="1" applyAlignment="1" applyProtection="1">
      <alignment horizontal="left"/>
    </xf>
    <xf numFmtId="0" fontId="20" fillId="2" borderId="1" xfId="2" applyNumberFormat="1" applyFont="1" applyFill="1" applyBorder="1" applyAlignment="1" applyProtection="1">
      <alignment horizontal="center"/>
    </xf>
    <xf numFmtId="0" fontId="20" fillId="0" borderId="1" xfId="2" applyNumberFormat="1" applyFont="1" applyFill="1" applyBorder="1" applyAlignment="1" applyProtection="1">
      <alignment horizontal="center"/>
    </xf>
    <xf numFmtId="0" fontId="20" fillId="3" borderId="1" xfId="2" applyNumberFormat="1" applyFont="1" applyFill="1" applyBorder="1" applyAlignment="1" applyProtection="1">
      <alignment horizontal="center"/>
    </xf>
    <xf numFmtId="0" fontId="31" fillId="0" borderId="2" xfId="2" applyFont="1" applyFill="1" applyBorder="1"/>
    <xf numFmtId="189" fontId="31" fillId="4" borderId="3" xfId="3" applyNumberFormat="1" applyFont="1" applyFill="1" applyBorder="1">
      <alignment horizontal="right" vertical="center"/>
    </xf>
    <xf numFmtId="0" fontId="31" fillId="0" borderId="0" xfId="2" applyFont="1" applyFill="1"/>
    <xf numFmtId="189" fontId="31" fillId="0" borderId="4" xfId="3" applyNumberFormat="1" applyFont="1" applyFill="1" applyBorder="1">
      <alignment horizontal="right" vertical="center"/>
    </xf>
    <xf numFmtId="0" fontId="20" fillId="2" borderId="5" xfId="2" applyFont="1" applyFill="1" applyBorder="1"/>
    <xf numFmtId="189" fontId="20" fillId="4" borderId="6" xfId="3" applyNumberFormat="1" applyFont="1" applyFill="1" applyBorder="1">
      <alignment horizontal="right" vertical="center"/>
    </xf>
    <xf numFmtId="189" fontId="31" fillId="2" borderId="0" xfId="2" applyNumberFormat="1" applyFont="1" applyFill="1"/>
    <xf numFmtId="0" fontId="20" fillId="2" borderId="0" xfId="2" applyFont="1" applyFill="1"/>
    <xf numFmtId="176" fontId="31" fillId="2" borderId="0" xfId="2" applyNumberFormat="1" applyFont="1" applyFill="1"/>
    <xf numFmtId="10" fontId="31" fillId="0" borderId="0" xfId="2" applyNumberFormat="1" applyFont="1" applyFill="1"/>
    <xf numFmtId="189" fontId="31" fillId="4" borderId="7" xfId="3" applyNumberFormat="1" applyFont="1" applyFill="1" applyBorder="1">
      <alignment horizontal="right" vertical="center"/>
    </xf>
    <xf numFmtId="0" fontId="31" fillId="3" borderId="0" xfId="2" applyFont="1" applyFill="1"/>
    <xf numFmtId="189" fontId="31" fillId="4" borderId="4" xfId="3" applyNumberFormat="1" applyFont="1" applyFill="1" applyBorder="1">
      <alignment horizontal="right" vertical="center"/>
    </xf>
    <xf numFmtId="0" fontId="31" fillId="2" borderId="2" xfId="2" applyFont="1" applyFill="1" applyBorder="1"/>
    <xf numFmtId="0" fontId="31" fillId="3" borderId="0" xfId="2" applyFont="1" applyFill="1" applyBorder="1"/>
    <xf numFmtId="189" fontId="31" fillId="4" borderId="8" xfId="3" applyNumberFormat="1" applyFont="1" applyFill="1" applyBorder="1">
      <alignment horizontal="right" vertical="center"/>
    </xf>
    <xf numFmtId="189" fontId="31" fillId="4" borderId="9" xfId="3" applyNumberFormat="1" applyFont="1" applyFill="1" applyBorder="1">
      <alignment horizontal="right" vertical="center"/>
    </xf>
    <xf numFmtId="0" fontId="31" fillId="2" borderId="10" xfId="2" applyFont="1" applyFill="1" applyBorder="1"/>
    <xf numFmtId="189" fontId="31" fillId="4" borderId="11" xfId="3" applyNumberFormat="1" applyFont="1" applyFill="1" applyBorder="1">
      <alignment horizontal="right" vertical="center"/>
    </xf>
    <xf numFmtId="0" fontId="31" fillId="2" borderId="1" xfId="2" applyFont="1" applyFill="1" applyBorder="1"/>
    <xf numFmtId="189" fontId="31" fillId="4" borderId="12" xfId="3" applyNumberFormat="1" applyFont="1" applyFill="1" applyBorder="1">
      <alignment horizontal="right" vertical="center"/>
    </xf>
    <xf numFmtId="0" fontId="20" fillId="2" borderId="10" xfId="2" applyFont="1" applyFill="1" applyBorder="1"/>
    <xf numFmtId="189" fontId="20" fillId="2" borderId="0" xfId="2" applyNumberFormat="1" applyFont="1" applyFill="1"/>
    <xf numFmtId="0" fontId="20" fillId="2" borderId="13" xfId="2" applyFont="1" applyFill="1" applyBorder="1"/>
    <xf numFmtId="189" fontId="20" fillId="2" borderId="13" xfId="2" applyNumberFormat="1" applyFont="1" applyFill="1" applyBorder="1"/>
    <xf numFmtId="0" fontId="38" fillId="6" borderId="0" xfId="2" applyFont="1" applyFill="1" applyProtection="1"/>
    <xf numFmtId="0" fontId="38" fillId="2" borderId="0" xfId="2" applyFont="1" applyFill="1"/>
    <xf numFmtId="189" fontId="38" fillId="7" borderId="0" xfId="2" applyNumberFormat="1" applyFont="1" applyFill="1"/>
    <xf numFmtId="0" fontId="20" fillId="3" borderId="0" xfId="2" applyFont="1" applyFill="1" applyBorder="1" applyAlignment="1" applyProtection="1">
      <alignment horizontal="left"/>
    </xf>
    <xf numFmtId="0" fontId="20" fillId="2" borderId="14" xfId="2" applyFont="1" applyFill="1" applyBorder="1"/>
    <xf numFmtId="189" fontId="20" fillId="2" borderId="14" xfId="2" applyNumberFormat="1" applyFont="1" applyFill="1" applyBorder="1"/>
    <xf numFmtId="181" fontId="31" fillId="2" borderId="0" xfId="2" applyNumberFormat="1" applyFont="1" applyFill="1"/>
    <xf numFmtId="0" fontId="31" fillId="2" borderId="15" xfId="2" applyFont="1" applyFill="1" applyBorder="1"/>
    <xf numFmtId="189" fontId="31" fillId="2" borderId="15" xfId="2" applyNumberFormat="1" applyFont="1" applyFill="1" applyBorder="1"/>
    <xf numFmtId="0" fontId="31" fillId="2" borderId="13" xfId="2" applyFont="1" applyFill="1" applyBorder="1"/>
    <xf numFmtId="189" fontId="31" fillId="4" borderId="16" xfId="3" applyNumberFormat="1" applyFont="1" applyFill="1" applyBorder="1">
      <alignment horizontal="right" vertical="center"/>
    </xf>
    <xf numFmtId="186" fontId="31" fillId="2" borderId="0" xfId="2" applyNumberFormat="1" applyFont="1" applyFill="1"/>
    <xf numFmtId="182" fontId="31" fillId="2" borderId="0" xfId="2" applyNumberFormat="1" applyFont="1" applyFill="1"/>
    <xf numFmtId="189" fontId="31" fillId="2" borderId="0" xfId="3" applyNumberFormat="1" applyFont="1" applyBorder="1">
      <alignment horizontal="right" vertical="center"/>
    </xf>
    <xf numFmtId="0" fontId="31" fillId="2" borderId="0" xfId="2" applyFont="1" applyFill="1" applyBorder="1"/>
    <xf numFmtId="0" fontId="20" fillId="2" borderId="15" xfId="2" applyFont="1" applyFill="1" applyBorder="1"/>
    <xf numFmtId="189" fontId="20" fillId="2" borderId="15" xfId="2" applyNumberFormat="1" applyFont="1" applyFill="1" applyBorder="1"/>
    <xf numFmtId="189" fontId="31" fillId="4" borderId="17" xfId="3" applyNumberFormat="1" applyFont="1" applyFill="1" applyBorder="1">
      <alignment horizontal="right" vertical="center"/>
    </xf>
    <xf numFmtId="186" fontId="31" fillId="4" borderId="18" xfId="3" applyNumberFormat="1" applyFont="1" applyFill="1" applyBorder="1">
      <alignment horizontal="right" vertical="center"/>
    </xf>
    <xf numFmtId="189" fontId="31" fillId="4" borderId="20" xfId="3" applyNumberFormat="1" applyFont="1" applyFill="1" applyBorder="1">
      <alignment horizontal="right" vertical="center"/>
    </xf>
    <xf numFmtId="0" fontId="20" fillId="2" borderId="2" xfId="2" applyFont="1" applyFill="1" applyBorder="1"/>
    <xf numFmtId="189" fontId="31" fillId="2" borderId="2" xfId="2" applyNumberFormat="1" applyFont="1" applyFill="1" applyBorder="1"/>
    <xf numFmtId="0" fontId="31" fillId="0" borderId="13" xfId="2" applyFont="1" applyFill="1" applyBorder="1"/>
    <xf numFmtId="0" fontId="20" fillId="3" borderId="0" xfId="2" applyFont="1" applyFill="1" applyBorder="1" applyProtection="1"/>
    <xf numFmtId="0" fontId="39" fillId="2" borderId="13" xfId="2" applyFont="1" applyFill="1" applyBorder="1" applyAlignment="1" applyProtection="1">
      <alignment horizontal="left"/>
    </xf>
    <xf numFmtId="0" fontId="31" fillId="2" borderId="0" xfId="2" applyFont="1" applyFill="1" applyBorder="1" applyAlignment="1" applyProtection="1">
      <alignment horizontal="center"/>
    </xf>
    <xf numFmtId="0" fontId="31" fillId="2" borderId="0" xfId="2" applyFont="1" applyFill="1" applyBorder="1" applyAlignment="1">
      <alignment horizontal="left"/>
    </xf>
    <xf numFmtId="0" fontId="31" fillId="2" borderId="0" xfId="2" applyFont="1" applyFill="1" applyBorder="1" applyAlignment="1" applyProtection="1">
      <alignment horizontal="left"/>
    </xf>
    <xf numFmtId="0" fontId="20" fillId="2" borderId="0" xfId="2" applyFont="1" applyFill="1" applyBorder="1" applyAlignment="1" applyProtection="1">
      <alignment horizontal="center"/>
    </xf>
    <xf numFmtId="0" fontId="20" fillId="2" borderId="10" xfId="2" applyNumberFormat="1" applyFont="1" applyFill="1" applyBorder="1" applyAlignment="1" applyProtection="1">
      <alignment horizontal="left"/>
    </xf>
    <xf numFmtId="189" fontId="20" fillId="2" borderId="10" xfId="3" applyNumberFormat="1" applyFont="1" applyBorder="1">
      <alignment horizontal="right" vertical="center"/>
    </xf>
    <xf numFmtId="0" fontId="20" fillId="2" borderId="13" xfId="2" applyNumberFormat="1" applyFont="1" applyFill="1" applyBorder="1" applyAlignment="1" applyProtection="1">
      <alignment horizontal="left"/>
    </xf>
    <xf numFmtId="0" fontId="39" fillId="2" borderId="13" xfId="2" applyFont="1" applyFill="1" applyBorder="1" applyProtection="1"/>
    <xf numFmtId="0" fontId="20" fillId="2" borderId="0" xfId="2" applyFont="1" applyFill="1" applyBorder="1" applyProtection="1"/>
    <xf numFmtId="189" fontId="31" fillId="8" borderId="21" xfId="3" applyNumberFormat="1" applyFont="1" applyFill="1" applyBorder="1">
      <alignment horizontal="right" vertical="center"/>
    </xf>
    <xf numFmtId="0" fontId="31" fillId="2" borderId="10" xfId="2" applyFont="1" applyFill="1" applyBorder="1" applyProtection="1"/>
    <xf numFmtId="0" fontId="20" fillId="2" borderId="13" xfId="2" applyFont="1" applyFill="1" applyBorder="1" applyProtection="1"/>
    <xf numFmtId="0" fontId="40" fillId="2" borderId="0" xfId="2" applyFont="1" applyFill="1" applyBorder="1" applyProtection="1"/>
    <xf numFmtId="0" fontId="20" fillId="2" borderId="0" xfId="2" applyFont="1" applyFill="1" applyAlignment="1" applyProtection="1">
      <alignment horizontal="left"/>
    </xf>
    <xf numFmtId="0" fontId="20" fillId="2" borderId="0" xfId="2" applyFont="1" applyFill="1" applyBorder="1" applyAlignment="1" applyProtection="1">
      <alignment horizontal="left"/>
    </xf>
    <xf numFmtId="0" fontId="20" fillId="2" borderId="14" xfId="2" applyFont="1" applyFill="1" applyBorder="1" applyProtection="1"/>
    <xf numFmtId="189" fontId="20" fillId="4" borderId="22" xfId="3" applyNumberFormat="1" applyFont="1" applyFill="1" applyBorder="1">
      <alignment horizontal="right" vertical="center"/>
    </xf>
    <xf numFmtId="0" fontId="20" fillId="3" borderId="15" xfId="2" applyFont="1" applyFill="1" applyBorder="1" applyProtection="1"/>
    <xf numFmtId="189" fontId="20" fillId="4" borderId="23" xfId="3" applyNumberFormat="1" applyFont="1" applyFill="1" applyBorder="1">
      <alignment horizontal="right" vertical="center"/>
    </xf>
    <xf numFmtId="0" fontId="31" fillId="2" borderId="0" xfId="2" applyFont="1" applyFill="1" applyProtection="1"/>
    <xf numFmtId="0" fontId="31" fillId="2" borderId="1" xfId="2" applyFont="1" applyFill="1" applyBorder="1" applyProtection="1"/>
    <xf numFmtId="0" fontId="20" fillId="3" borderId="0" xfId="2" applyFont="1" applyFill="1" applyProtection="1"/>
    <xf numFmtId="189" fontId="20" fillId="4" borderId="11" xfId="3" applyNumberFormat="1" applyFont="1" applyFill="1" applyBorder="1">
      <alignment horizontal="right" vertical="center"/>
    </xf>
    <xf numFmtId="0" fontId="31" fillId="2" borderId="0" xfId="2" applyFont="1" applyFill="1" applyBorder="1" applyProtection="1"/>
    <xf numFmtId="189" fontId="20" fillId="4" borderId="17" xfId="3" applyNumberFormat="1" applyFont="1" applyFill="1" applyBorder="1">
      <alignment horizontal="right" vertical="center"/>
    </xf>
    <xf numFmtId="0" fontId="20" fillId="2" borderId="5" xfId="2" applyFont="1" applyFill="1" applyBorder="1" applyProtection="1"/>
    <xf numFmtId="0" fontId="31" fillId="2" borderId="13" xfId="2" applyFont="1" applyFill="1" applyBorder="1" applyProtection="1"/>
    <xf numFmtId="0" fontId="20" fillId="2" borderId="1" xfId="2" applyFont="1" applyFill="1" applyBorder="1" applyProtection="1"/>
    <xf numFmtId="189" fontId="20" fillId="4" borderId="18" xfId="3" applyNumberFormat="1" applyFont="1" applyFill="1" applyBorder="1">
      <alignment horizontal="right" vertical="center"/>
    </xf>
    <xf numFmtId="189" fontId="31" fillId="0" borderId="24" xfId="3" applyNumberFormat="1" applyFont="1" applyFill="1" applyBorder="1">
      <alignment horizontal="right" vertical="center"/>
    </xf>
    <xf numFmtId="0" fontId="20" fillId="9" borderId="15" xfId="2" applyFont="1" applyFill="1" applyBorder="1" applyProtection="1"/>
    <xf numFmtId="0" fontId="20" fillId="2" borderId="15" xfId="2" applyFont="1" applyFill="1" applyBorder="1" applyProtection="1"/>
    <xf numFmtId="189" fontId="20" fillId="4" borderId="9" xfId="3" applyNumberFormat="1" applyFont="1" applyFill="1" applyBorder="1">
      <alignment horizontal="right" vertical="center"/>
    </xf>
    <xf numFmtId="189" fontId="20" fillId="0" borderId="25" xfId="2" applyNumberFormat="1" applyFont="1" applyFill="1" applyBorder="1"/>
    <xf numFmtId="189" fontId="20" fillId="0" borderId="15" xfId="2" applyNumberFormat="1" applyFont="1" applyFill="1" applyBorder="1"/>
    <xf numFmtId="189" fontId="31" fillId="10" borderId="11" xfId="2" applyNumberFormat="1" applyFont="1" applyFill="1" applyBorder="1"/>
    <xf numFmtId="189" fontId="20" fillId="10" borderId="23" xfId="2" applyNumberFormat="1" applyFont="1" applyFill="1" applyBorder="1"/>
    <xf numFmtId="0" fontId="40" fillId="2" borderId="0" xfId="2" applyFont="1" applyFill="1" applyAlignment="1" applyProtection="1">
      <alignment horizontal="left"/>
    </xf>
    <xf numFmtId="189" fontId="31" fillId="0" borderId="10" xfId="3" applyNumberFormat="1" applyFont="1" applyFill="1" applyBorder="1">
      <alignment horizontal="right" vertical="center"/>
    </xf>
    <xf numFmtId="0" fontId="20" fillId="0" borderId="0" xfId="2" applyFont="1" applyFill="1" applyAlignment="1" applyProtection="1">
      <alignment horizontal="left"/>
    </xf>
    <xf numFmtId="0" fontId="31" fillId="0" borderId="0" xfId="2" applyFont="1" applyFill="1" applyProtection="1"/>
    <xf numFmtId="189" fontId="31" fillId="0" borderId="0" xfId="2" applyNumberFormat="1" applyFont="1" applyFill="1"/>
    <xf numFmtId="189" fontId="31" fillId="0" borderId="3" xfId="3" applyNumberFormat="1" applyFont="1" applyFill="1" applyBorder="1">
      <alignment horizontal="right" vertical="center"/>
    </xf>
    <xf numFmtId="189" fontId="20" fillId="10" borderId="23" xfId="3" applyNumberFormat="1" applyFont="1" applyFill="1" applyBorder="1">
      <alignment horizontal="right" vertical="center"/>
    </xf>
    <xf numFmtId="189" fontId="31" fillId="4" borderId="6" xfId="3" applyNumberFormat="1" applyFont="1" applyFill="1" applyBorder="1">
      <alignment horizontal="right" vertical="center"/>
    </xf>
    <xf numFmtId="0" fontId="40" fillId="0" borderId="0" xfId="2" applyFont="1" applyFill="1" applyAlignment="1" applyProtection="1">
      <alignment horizontal="left"/>
    </xf>
    <xf numFmtId="0" fontId="38" fillId="0" borderId="0" xfId="2" applyFont="1" applyFill="1"/>
    <xf numFmtId="0" fontId="20" fillId="0" borderId="0" xfId="2" applyFont="1" applyFill="1" applyBorder="1" applyProtection="1"/>
    <xf numFmtId="176" fontId="31" fillId="0" borderId="0" xfId="3" applyFont="1" applyFill="1" applyBorder="1">
      <alignment horizontal="right" vertical="center"/>
    </xf>
    <xf numFmtId="10" fontId="20" fillId="0" borderId="18" xfId="3" applyNumberFormat="1" applyFont="1" applyFill="1" applyBorder="1">
      <alignment horizontal="right" vertical="center"/>
    </xf>
    <xf numFmtId="184" fontId="20" fillId="0" borderId="14" xfId="5" applyFont="1" applyFill="1" applyBorder="1">
      <alignment horizontal="right" vertical="center"/>
    </xf>
    <xf numFmtId="184" fontId="20" fillId="0" borderId="15" xfId="5" applyFont="1" applyFill="1" applyBorder="1">
      <alignment horizontal="right" vertical="center"/>
    </xf>
    <xf numFmtId="184" fontId="31" fillId="0" borderId="10" xfId="5" applyFont="1" applyFill="1" applyBorder="1">
      <alignment horizontal="right" vertical="center"/>
    </xf>
    <xf numFmtId="184" fontId="20" fillId="0" borderId="10" xfId="5" applyFont="1" applyFill="1" applyBorder="1">
      <alignment horizontal="right" vertical="center"/>
    </xf>
    <xf numFmtId="184" fontId="31" fillId="0" borderId="0" xfId="5" applyFont="1" applyFill="1" applyBorder="1">
      <alignment horizontal="right" vertical="center"/>
    </xf>
    <xf numFmtId="184" fontId="31" fillId="0" borderId="1" xfId="5" applyFont="1" applyFill="1" applyBorder="1">
      <alignment horizontal="right" vertical="center"/>
    </xf>
    <xf numFmtId="0" fontId="20" fillId="2" borderId="0" xfId="2" applyFont="1" applyFill="1" applyProtection="1"/>
    <xf numFmtId="184" fontId="20" fillId="0" borderId="0" xfId="5" applyFont="1" applyFill="1" applyBorder="1">
      <alignment horizontal="right" vertical="center"/>
    </xf>
    <xf numFmtId="184" fontId="31" fillId="0" borderId="5" xfId="5" applyFont="1" applyFill="1" applyBorder="1">
      <alignment horizontal="right" vertical="center"/>
    </xf>
    <xf numFmtId="10" fontId="20" fillId="4" borderId="18" xfId="3" applyNumberFormat="1" applyFont="1" applyFill="1" applyBorder="1">
      <alignment horizontal="right" vertical="center"/>
    </xf>
    <xf numFmtId="0" fontId="20" fillId="2" borderId="10" xfId="2" applyFont="1" applyFill="1" applyBorder="1" applyProtection="1"/>
    <xf numFmtId="184" fontId="31" fillId="4" borderId="17" xfId="5" applyFont="1" applyFill="1" applyBorder="1">
      <alignment horizontal="right" vertical="center"/>
    </xf>
    <xf numFmtId="184" fontId="20" fillId="0" borderId="1" xfId="5" applyFont="1" applyFill="1" applyBorder="1">
      <alignment horizontal="right" vertical="center"/>
    </xf>
    <xf numFmtId="184" fontId="31" fillId="0" borderId="15" xfId="5" applyFont="1" applyFill="1" applyBorder="1">
      <alignment horizontal="right" vertical="center"/>
    </xf>
    <xf numFmtId="0" fontId="20" fillId="0" borderId="15" xfId="5" applyNumberFormat="1" applyFont="1" applyFill="1" applyBorder="1">
      <alignment horizontal="right" vertical="center"/>
    </xf>
    <xf numFmtId="10" fontId="20" fillId="4" borderId="7" xfId="5" applyNumberFormat="1" applyFont="1" applyFill="1" applyBorder="1">
      <alignment horizontal="right" vertical="center"/>
    </xf>
    <xf numFmtId="184" fontId="20" fillId="2" borderId="0" xfId="5" applyFont="1" applyBorder="1">
      <alignment horizontal="right" vertical="center"/>
    </xf>
    <xf numFmtId="184" fontId="20" fillId="4" borderId="11" xfId="5" applyFont="1" applyFill="1" applyBorder="1">
      <alignment horizontal="right" vertical="center"/>
    </xf>
    <xf numFmtId="184" fontId="20" fillId="4" borderId="16" xfId="5" applyFont="1" applyFill="1" applyBorder="1">
      <alignment horizontal="right" vertical="center"/>
    </xf>
    <xf numFmtId="0" fontId="20" fillId="3" borderId="0" xfId="2" applyFont="1" applyFill="1"/>
    <xf numFmtId="180" fontId="31" fillId="4" borderId="7" xfId="3" applyNumberFormat="1" applyFont="1" applyFill="1" applyBorder="1">
      <alignment horizontal="right" vertical="center"/>
    </xf>
    <xf numFmtId="180" fontId="31" fillId="4" borderId="3" xfId="3" applyNumberFormat="1" applyFont="1" applyFill="1" applyBorder="1">
      <alignment horizontal="right" vertical="center"/>
    </xf>
    <xf numFmtId="180" fontId="31" fillId="4" borderId="9" xfId="3" applyNumberFormat="1" applyFont="1" applyFill="1" applyBorder="1">
      <alignment horizontal="right" vertical="center"/>
    </xf>
    <xf numFmtId="10" fontId="20" fillId="4" borderId="11" xfId="5" applyNumberFormat="1" applyFont="1" applyFill="1" applyBorder="1">
      <alignment horizontal="right" vertical="center"/>
    </xf>
    <xf numFmtId="10" fontId="20" fillId="4" borderId="8" xfId="5" applyNumberFormat="1" applyFont="1" applyFill="1" applyBorder="1">
      <alignment horizontal="right" vertical="center"/>
    </xf>
    <xf numFmtId="10" fontId="20" fillId="4" borderId="16" xfId="5" applyNumberFormat="1" applyFont="1" applyFill="1" applyBorder="1">
      <alignment horizontal="right" vertical="center"/>
    </xf>
    <xf numFmtId="0" fontId="39" fillId="2" borderId="0" xfId="2" applyFont="1" applyFill="1" applyBorder="1" applyProtection="1"/>
    <xf numFmtId="180" fontId="31" fillId="2" borderId="0" xfId="2" applyNumberFormat="1" applyFont="1" applyFill="1"/>
    <xf numFmtId="180" fontId="20" fillId="4" borderId="18" xfId="3" applyNumberFormat="1" applyFont="1" applyFill="1" applyBorder="1">
      <alignment horizontal="right" vertical="center"/>
    </xf>
    <xf numFmtId="185" fontId="20" fillId="4" borderId="18" xfId="3" applyNumberFormat="1" applyFont="1" applyFill="1" applyBorder="1">
      <alignment horizontal="right" vertical="center"/>
    </xf>
    <xf numFmtId="180" fontId="31" fillId="4" borderId="8" xfId="3" applyNumberFormat="1" applyFont="1" applyFill="1" applyBorder="1">
      <alignment horizontal="right" vertical="center"/>
    </xf>
    <xf numFmtId="176" fontId="31" fillId="4" borderId="8" xfId="3" applyFont="1" applyFill="1" applyBorder="1">
      <alignment horizontal="right" vertical="center"/>
    </xf>
    <xf numFmtId="176" fontId="31" fillId="4" borderId="3" xfId="3" applyFont="1" applyFill="1" applyBorder="1">
      <alignment horizontal="right" vertical="center"/>
    </xf>
    <xf numFmtId="180" fontId="31" fillId="0" borderId="4" xfId="3" applyNumberFormat="1" applyFont="1" applyFill="1" applyBorder="1">
      <alignment horizontal="right" vertical="center"/>
    </xf>
    <xf numFmtId="176" fontId="31" fillId="0" borderId="4" xfId="3" applyFont="1" applyFill="1" applyBorder="1">
      <alignment horizontal="right" vertical="center"/>
    </xf>
    <xf numFmtId="180" fontId="31" fillId="0" borderId="27" xfId="3" applyNumberFormat="1" applyFont="1" applyFill="1" applyBorder="1">
      <alignment horizontal="right" vertical="center"/>
    </xf>
    <xf numFmtId="186" fontId="31" fillId="0" borderId="27" xfId="3" applyNumberFormat="1" applyFont="1" applyFill="1" applyBorder="1">
      <alignment horizontal="right" vertical="center"/>
    </xf>
    <xf numFmtId="0" fontId="20" fillId="0" borderId="13" xfId="2" applyFont="1" applyFill="1" applyBorder="1" applyProtection="1"/>
    <xf numFmtId="186" fontId="31" fillId="4" borderId="16" xfId="3" applyNumberFormat="1" applyFont="1" applyFill="1" applyBorder="1">
      <alignment horizontal="right" vertical="center"/>
    </xf>
    <xf numFmtId="182" fontId="31" fillId="4" borderId="16" xfId="3" applyNumberFormat="1" applyFont="1" applyFill="1" applyBorder="1">
      <alignment horizontal="right" vertical="center"/>
    </xf>
    <xf numFmtId="180" fontId="31" fillId="4" borderId="12" xfId="3" applyNumberFormat="1" applyFont="1" applyFill="1" applyBorder="1">
      <alignment horizontal="right" vertical="center"/>
    </xf>
    <xf numFmtId="180" fontId="31" fillId="4" borderId="23" xfId="3" applyNumberFormat="1" applyFont="1" applyFill="1" applyBorder="1">
      <alignment horizontal="right" vertical="center"/>
    </xf>
    <xf numFmtId="176" fontId="20" fillId="2" borderId="0" xfId="3" applyFont="1" applyBorder="1">
      <alignment horizontal="right" vertical="center"/>
    </xf>
    <xf numFmtId="0" fontId="38" fillId="2" borderId="0" xfId="2" applyFont="1" applyFill="1" applyBorder="1" applyProtection="1"/>
    <xf numFmtId="176" fontId="38" fillId="7" borderId="0" xfId="2" applyNumberFormat="1" applyFont="1" applyFill="1"/>
    <xf numFmtId="43" fontId="41" fillId="2" borderId="0" xfId="2" applyNumberFormat="1" applyFont="1" applyFill="1" applyProtection="1"/>
    <xf numFmtId="10" fontId="31" fillId="2" borderId="0" xfId="4" applyNumberFormat="1" applyFont="1">
      <alignment horizontal="right"/>
    </xf>
    <xf numFmtId="0" fontId="42" fillId="2" borderId="0" xfId="2" applyFont="1" applyFill="1" applyBorder="1" applyProtection="1"/>
    <xf numFmtId="178" fontId="31" fillId="2" borderId="0" xfId="4" applyFont="1">
      <alignment horizontal="right"/>
    </xf>
    <xf numFmtId="0" fontId="31" fillId="2" borderId="0" xfId="2" applyFont="1" applyFill="1" applyBorder="1" applyAlignment="1">
      <alignment horizontal="left" vertical="center" wrapText="1"/>
    </xf>
    <xf numFmtId="182" fontId="31" fillId="4" borderId="7" xfId="3" applyNumberFormat="1" applyFont="1" applyFill="1" applyBorder="1">
      <alignment horizontal="right" vertical="center"/>
    </xf>
    <xf numFmtId="182" fontId="31" fillId="4" borderId="3" xfId="3" applyNumberFormat="1" applyFont="1" applyFill="1" applyBorder="1">
      <alignment horizontal="right" vertical="center"/>
    </xf>
    <xf numFmtId="0" fontId="20" fillId="2" borderId="5" xfId="2" applyFont="1" applyFill="1" applyBorder="1" applyAlignment="1">
      <alignment horizontal="left" vertical="center" wrapText="1"/>
    </xf>
    <xf numFmtId="176" fontId="20" fillId="2" borderId="5" xfId="3" applyFont="1" applyBorder="1">
      <alignment horizontal="right" vertical="center"/>
    </xf>
    <xf numFmtId="0" fontId="31" fillId="2" borderId="2" xfId="2" applyFont="1" applyFill="1" applyBorder="1" applyAlignment="1">
      <alignment horizontal="left" vertical="center" wrapText="1"/>
    </xf>
    <xf numFmtId="176" fontId="31" fillId="4" borderId="7" xfId="3" applyFont="1" applyFill="1" applyBorder="1">
      <alignment horizontal="right" vertical="center"/>
    </xf>
    <xf numFmtId="187" fontId="31" fillId="4" borderId="28" xfId="3" applyNumberFormat="1" applyFont="1" applyFill="1" applyBorder="1">
      <alignment horizontal="right" vertical="center"/>
    </xf>
    <xf numFmtId="188" fontId="31" fillId="4" borderId="28" xfId="3" applyNumberFormat="1" applyFont="1" applyFill="1" applyBorder="1">
      <alignment horizontal="right" vertical="center"/>
    </xf>
    <xf numFmtId="10" fontId="31" fillId="10" borderId="7" xfId="4" applyNumberFormat="1" applyFont="1" applyFill="1" applyBorder="1">
      <alignment horizontal="right"/>
    </xf>
    <xf numFmtId="0" fontId="22" fillId="0" borderId="0" xfId="0" applyFont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6" applyFont="1" applyAlignment="1">
      <alignment vertical="center"/>
    </xf>
    <xf numFmtId="14" fontId="22" fillId="0" borderId="0" xfId="6" applyNumberFormat="1" applyFont="1" applyAlignment="1">
      <alignment vertical="center"/>
    </xf>
    <xf numFmtId="14" fontId="22" fillId="0" borderId="0" xfId="6" applyNumberFormat="1" applyFont="1" applyFill="1" applyAlignment="1">
      <alignment vertical="center"/>
    </xf>
    <xf numFmtId="0" fontId="22" fillId="0" borderId="0" xfId="6" applyFont="1"/>
    <xf numFmtId="0" fontId="22" fillId="0" borderId="0" xfId="6" applyFont="1" applyFill="1" applyAlignment="1">
      <alignment vertical="center"/>
    </xf>
    <xf numFmtId="0" fontId="31" fillId="0" borderId="0" xfId="6" applyFont="1"/>
    <xf numFmtId="0" fontId="22" fillId="0" borderId="0" xfId="6" applyFont="1" applyAlignment="1">
      <alignment horizontal="right"/>
    </xf>
    <xf numFmtId="0" fontId="22" fillId="0" borderId="0" xfId="0" applyFont="1" applyAlignment="1"/>
    <xf numFmtId="0" fontId="22" fillId="0" borderId="0" xfId="0" applyFont="1" applyFill="1" applyAlignment="1"/>
    <xf numFmtId="191" fontId="22" fillId="0" borderId="0" xfId="0" applyNumberFormat="1" applyFont="1" applyAlignment="1"/>
    <xf numFmtId="191" fontId="22" fillId="0" borderId="0" xfId="0" applyNumberFormat="1" applyFont="1" applyFill="1" applyAlignment="1"/>
    <xf numFmtId="191" fontId="22" fillId="0" borderId="0" xfId="0" applyNumberFormat="1" applyFont="1" applyAlignment="1">
      <alignment vertical="center"/>
    </xf>
    <xf numFmtId="191" fontId="22" fillId="0" borderId="0" xfId="0" applyNumberFormat="1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0" fontId="22" fillId="0" borderId="0" xfId="6" applyFont="1" applyFill="1" applyBorder="1" applyAlignment="1">
      <alignment horizontal="right" vertical="center"/>
    </xf>
    <xf numFmtId="0" fontId="22" fillId="0" borderId="0" xfId="7" applyFont="1" applyBorder="1" applyAlignment="1">
      <alignment horizontal="right" vertical="center" wrapText="1"/>
    </xf>
    <xf numFmtId="0" fontId="22" fillId="0" borderId="0" xfId="7" applyFont="1" applyFill="1" applyBorder="1" applyAlignment="1">
      <alignment horizontal="right" vertical="center" wrapText="1"/>
    </xf>
    <xf numFmtId="0" fontId="22" fillId="0" borderId="0" xfId="0" applyFont="1" applyFill="1" applyBorder="1" applyAlignment="1">
      <alignment vertical="center"/>
    </xf>
    <xf numFmtId="0" fontId="22" fillId="0" borderId="0" xfId="6" applyFont="1" applyFill="1" applyBorder="1" applyAlignment="1">
      <alignment vertical="center"/>
    </xf>
    <xf numFmtId="0" fontId="22" fillId="0" borderId="0" xfId="1" applyNumberFormat="1" applyFont="1" applyBorder="1">
      <alignment vertical="center"/>
    </xf>
    <xf numFmtId="0" fontId="22" fillId="0" borderId="0" xfId="0" applyFont="1" applyFill="1" applyBorder="1" applyAlignment="1">
      <alignment horizontal="right" vertical="center"/>
    </xf>
    <xf numFmtId="0" fontId="21" fillId="0" borderId="39" xfId="0" applyFont="1" applyBorder="1" applyAlignment="1">
      <alignment vertical="center"/>
    </xf>
    <xf numFmtId="14" fontId="21" fillId="0" borderId="40" xfId="0" applyNumberFormat="1" applyFont="1" applyBorder="1" applyAlignment="1">
      <alignment vertical="center"/>
    </xf>
    <xf numFmtId="0" fontId="21" fillId="0" borderId="41" xfId="0" applyFont="1" applyBorder="1" applyAlignment="1">
      <alignment horizontal="right" vertical="center"/>
    </xf>
    <xf numFmtId="0" fontId="21" fillId="0" borderId="40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2" fontId="43" fillId="0" borderId="0" xfId="0" applyNumberFormat="1" applyFont="1" applyBorder="1" applyAlignment="1">
      <alignment vertical="center"/>
    </xf>
    <xf numFmtId="0" fontId="43" fillId="0" borderId="43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188" fontId="43" fillId="0" borderId="0" xfId="0" applyNumberFormat="1" applyFont="1" applyBorder="1" applyAlignment="1">
      <alignment vertical="center"/>
    </xf>
    <xf numFmtId="188" fontId="43" fillId="0" borderId="43" xfId="0" applyNumberFormat="1" applyFont="1" applyBorder="1" applyAlignment="1">
      <alignment vertical="center"/>
    </xf>
    <xf numFmtId="0" fontId="21" fillId="0" borderId="42" xfId="0" applyFont="1" applyBorder="1" applyAlignment="1">
      <alignment vertical="center"/>
    </xf>
    <xf numFmtId="2" fontId="21" fillId="0" borderId="0" xfId="0" applyNumberFormat="1" applyFont="1" applyBorder="1" applyAlignment="1">
      <alignment vertical="center"/>
    </xf>
    <xf numFmtId="2" fontId="21" fillId="0" borderId="0" xfId="0" applyNumberFormat="1" applyFont="1" applyBorder="1" applyAlignment="1">
      <alignment horizontal="right" vertical="center"/>
    </xf>
    <xf numFmtId="0" fontId="21" fillId="0" borderId="43" xfId="0" applyFont="1" applyBorder="1" applyAlignment="1">
      <alignment vertical="center"/>
    </xf>
    <xf numFmtId="188" fontId="21" fillId="0" borderId="0" xfId="0" applyNumberFormat="1" applyFont="1" applyBorder="1" applyAlignment="1">
      <alignment vertical="center"/>
    </xf>
    <xf numFmtId="188" fontId="21" fillId="0" borderId="43" xfId="0" applyNumberFormat="1" applyFont="1" applyBorder="1" applyAlignment="1">
      <alignment vertical="center"/>
    </xf>
    <xf numFmtId="192" fontId="21" fillId="0" borderId="43" xfId="0" applyNumberFormat="1" applyFont="1" applyBorder="1" applyAlignment="1">
      <alignment vertical="center"/>
    </xf>
    <xf numFmtId="0" fontId="43" fillId="0" borderId="44" xfId="0" applyFont="1" applyBorder="1" applyAlignment="1">
      <alignment vertical="center"/>
    </xf>
    <xf numFmtId="2" fontId="43" fillId="0" borderId="2" xfId="0" applyNumberFormat="1" applyFont="1" applyBorder="1" applyAlignment="1">
      <alignment vertical="center"/>
    </xf>
    <xf numFmtId="0" fontId="43" fillId="0" borderId="2" xfId="0" applyFont="1" applyBorder="1" applyAlignment="1">
      <alignment vertical="center"/>
    </xf>
    <xf numFmtId="192" fontId="43" fillId="0" borderId="45" xfId="0" applyNumberFormat="1" applyFont="1" applyBorder="1" applyAlignment="1">
      <alignment vertical="center"/>
    </xf>
    <xf numFmtId="188" fontId="43" fillId="0" borderId="2" xfId="0" applyNumberFormat="1" applyFont="1" applyBorder="1" applyAlignment="1">
      <alignment vertical="center"/>
    </xf>
    <xf numFmtId="188" fontId="43" fillId="0" borderId="45" xfId="0" applyNumberFormat="1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46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47" xfId="0" applyFont="1" applyBorder="1" applyAlignment="1">
      <alignment vertical="center"/>
    </xf>
    <xf numFmtId="0" fontId="21" fillId="0" borderId="13" xfId="0" applyFont="1" applyFill="1" applyBorder="1" applyAlignment="1">
      <alignment vertical="center"/>
    </xf>
    <xf numFmtId="0" fontId="21" fillId="0" borderId="47" xfId="0" applyFont="1" applyFill="1" applyBorder="1" applyAlignment="1">
      <alignment vertical="center"/>
    </xf>
    <xf numFmtId="188" fontId="21" fillId="0" borderId="0" xfId="0" applyNumberFormat="1" applyFont="1" applyFill="1" applyBorder="1" applyAlignment="1">
      <alignment vertical="center"/>
    </xf>
    <xf numFmtId="0" fontId="19" fillId="0" borderId="44" xfId="0" applyFont="1" applyBorder="1" applyAlignment="1">
      <alignment vertical="center"/>
    </xf>
    <xf numFmtId="14" fontId="21" fillId="0" borderId="2" xfId="0" applyNumberFormat="1" applyFont="1" applyBorder="1" applyAlignment="1">
      <alignment vertical="center"/>
    </xf>
    <xf numFmtId="0" fontId="21" fillId="0" borderId="45" xfId="0" applyFont="1" applyBorder="1" applyAlignment="1">
      <alignment horizontal="right" vertical="center"/>
    </xf>
    <xf numFmtId="192" fontId="21" fillId="0" borderId="0" xfId="0" applyNumberFormat="1" applyFont="1" applyAlignment="1">
      <alignment vertical="center"/>
    </xf>
    <xf numFmtId="0" fontId="19" fillId="0" borderId="42" xfId="0" applyFont="1" applyBorder="1" applyAlignment="1">
      <alignment vertical="center"/>
    </xf>
    <xf numFmtId="192" fontId="21" fillId="0" borderId="0" xfId="0" applyNumberFormat="1" applyFont="1" applyBorder="1" applyAlignment="1">
      <alignment vertical="center"/>
    </xf>
    <xf numFmtId="193" fontId="21" fillId="0" borderId="0" xfId="0" applyNumberFormat="1" applyFont="1" applyBorder="1" applyAlignment="1">
      <alignment vertical="center"/>
    </xf>
    <xf numFmtId="0" fontId="19" fillId="0" borderId="0" xfId="0" applyFont="1" applyBorder="1" applyAlignment="1"/>
    <xf numFmtId="0" fontId="19" fillId="0" borderId="42" xfId="0" applyFont="1" applyFill="1" applyBorder="1" applyAlignment="1">
      <alignment vertical="center"/>
    </xf>
    <xf numFmtId="0" fontId="19" fillId="0" borderId="46" xfId="0" applyFont="1" applyFill="1" applyBorder="1" applyAlignment="1">
      <alignment vertical="center"/>
    </xf>
    <xf numFmtId="192" fontId="21" fillId="0" borderId="47" xfId="0" applyNumberFormat="1" applyFont="1" applyBorder="1" applyAlignment="1">
      <alignment vertical="center"/>
    </xf>
    <xf numFmtId="0" fontId="31" fillId="2" borderId="48" xfId="2" applyFont="1" applyFill="1" applyBorder="1"/>
    <xf numFmtId="0" fontId="19" fillId="11" borderId="0" xfId="0" applyFont="1" applyFill="1" applyBorder="1"/>
    <xf numFmtId="0" fontId="19" fillId="11" borderId="0" xfId="0" applyFont="1" applyFill="1"/>
    <xf numFmtId="0" fontId="0" fillId="11" borderId="0" xfId="0" applyFill="1"/>
    <xf numFmtId="0" fontId="19" fillId="0" borderId="0" xfId="0" applyFont="1" applyFill="1"/>
    <xf numFmtId="0" fontId="44" fillId="0" borderId="0" xfId="0" applyFont="1"/>
    <xf numFmtId="0" fontId="2" fillId="2" borderId="48" xfId="2" applyFill="1" applyBorder="1"/>
    <xf numFmtId="0" fontId="28" fillId="0" borderId="0" xfId="0" applyFont="1" applyFill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0" xfId="6" applyFont="1"/>
    <xf numFmtId="14" fontId="23" fillId="0" borderId="0" xfId="6" applyNumberFormat="1" applyFont="1" applyAlignment="1">
      <alignment vertical="center"/>
    </xf>
    <xf numFmtId="0" fontId="23" fillId="0" borderId="0" xfId="0" applyFont="1" applyAlignment="1">
      <alignment vertical="center"/>
    </xf>
    <xf numFmtId="191" fontId="23" fillId="0" borderId="0" xfId="0" applyNumberFormat="1" applyFont="1" applyAlignment="1"/>
    <xf numFmtId="0" fontId="28" fillId="0" borderId="36" xfId="0" applyFont="1" applyFill="1" applyBorder="1" applyAlignment="1">
      <alignment vertical="center"/>
    </xf>
    <xf numFmtId="0" fontId="28" fillId="0" borderId="15" xfId="6" applyFont="1" applyFill="1" applyBorder="1" applyAlignment="1">
      <alignment vertical="center"/>
    </xf>
    <xf numFmtId="0" fontId="28" fillId="0" borderId="15" xfId="6" applyFont="1" applyFill="1" applyBorder="1" applyAlignment="1">
      <alignment horizontal="right" vertical="center"/>
    </xf>
    <xf numFmtId="0" fontId="28" fillId="0" borderId="38" xfId="6" applyFont="1" applyFill="1" applyBorder="1" applyAlignment="1">
      <alignment vertical="center"/>
    </xf>
    <xf numFmtId="0" fontId="28" fillId="0" borderId="38" xfId="6" applyFont="1" applyFill="1" applyBorder="1" applyAlignment="1">
      <alignment horizontal="right" vertical="center"/>
    </xf>
    <xf numFmtId="0" fontId="28" fillId="0" borderId="33" xfId="7" applyFont="1" applyFill="1" applyBorder="1" applyAlignment="1">
      <alignment vertical="center" wrapText="1"/>
    </xf>
    <xf numFmtId="0" fontId="28" fillId="0" borderId="0" xfId="7" applyFont="1" applyFill="1" applyBorder="1" applyAlignment="1">
      <alignment vertical="center" wrapText="1"/>
    </xf>
    <xf numFmtId="0" fontId="28" fillId="0" borderId="31" xfId="7" applyFont="1" applyFill="1" applyBorder="1" applyAlignment="1">
      <alignment vertical="center" wrapText="1"/>
    </xf>
    <xf numFmtId="0" fontId="28" fillId="0" borderId="33" xfId="0" applyFont="1" applyFill="1" applyBorder="1" applyAlignment="1">
      <alignment vertical="center"/>
    </xf>
    <xf numFmtId="0" fontId="28" fillId="0" borderId="29" xfId="0" applyFont="1" applyFill="1" applyBorder="1" applyAlignment="1">
      <alignment vertical="center"/>
    </xf>
    <xf numFmtId="0" fontId="28" fillId="0" borderId="34" xfId="7" applyFont="1" applyFill="1" applyBorder="1" applyAlignment="1">
      <alignment vertical="center"/>
    </xf>
    <xf numFmtId="0" fontId="28" fillId="0" borderId="1" xfId="0" applyFont="1" applyFill="1" applyBorder="1" applyAlignment="1">
      <alignment vertical="center"/>
    </xf>
    <xf numFmtId="0" fontId="28" fillId="0" borderId="30" xfId="0" applyFont="1" applyFill="1" applyBorder="1" applyAlignment="1">
      <alignment vertical="center"/>
    </xf>
    <xf numFmtId="0" fontId="28" fillId="0" borderId="32" xfId="6" applyFont="1" applyFill="1" applyBorder="1" applyAlignment="1">
      <alignment vertical="center"/>
    </xf>
    <xf numFmtId="0" fontId="28" fillId="0" borderId="10" xfId="6" applyFont="1" applyFill="1" applyBorder="1" applyAlignment="1">
      <alignment vertical="center"/>
    </xf>
    <xf numFmtId="0" fontId="28" fillId="0" borderId="10" xfId="6" applyFont="1" applyFill="1" applyBorder="1" applyAlignment="1">
      <alignment horizontal="right" vertical="center"/>
    </xf>
    <xf numFmtId="0" fontId="28" fillId="12" borderId="0" xfId="0" applyFont="1" applyFill="1" applyBorder="1" applyAlignment="1">
      <alignment vertical="center"/>
    </xf>
    <xf numFmtId="191" fontId="28" fillId="0" borderId="37" xfId="6" applyNumberFormat="1" applyFont="1" applyFill="1" applyBorder="1" applyAlignment="1">
      <alignment vertical="center"/>
    </xf>
    <xf numFmtId="191" fontId="28" fillId="0" borderId="15" xfId="6" applyNumberFormat="1" applyFont="1" applyFill="1" applyBorder="1" applyAlignment="1">
      <alignment vertical="center"/>
    </xf>
    <xf numFmtId="191" fontId="28" fillId="0" borderId="38" xfId="6" applyNumberFormat="1" applyFont="1" applyFill="1" applyBorder="1" applyAlignment="1">
      <alignment vertical="center"/>
    </xf>
    <xf numFmtId="10" fontId="28" fillId="0" borderId="35" xfId="1" applyNumberFormat="1" applyFont="1" applyFill="1" applyBorder="1">
      <alignment vertical="center"/>
    </xf>
    <xf numFmtId="10" fontId="28" fillId="0" borderId="1" xfId="1" applyNumberFormat="1" applyFont="1" applyFill="1" applyBorder="1">
      <alignment vertical="center"/>
    </xf>
    <xf numFmtId="10" fontId="28" fillId="0" borderId="30" xfId="1" applyNumberFormat="1" applyFont="1" applyFill="1" applyBorder="1">
      <alignment vertical="center"/>
    </xf>
    <xf numFmtId="14" fontId="28" fillId="0" borderId="0" xfId="6" applyNumberFormat="1" applyFont="1" applyFill="1" applyBorder="1" applyAlignment="1">
      <alignment vertical="center"/>
    </xf>
    <xf numFmtId="0" fontId="28" fillId="0" borderId="0" xfId="6" applyFont="1" applyFill="1" applyBorder="1" applyAlignment="1">
      <alignment vertical="center"/>
    </xf>
    <xf numFmtId="191" fontId="28" fillId="0" borderId="0" xfId="0" applyNumberFormat="1" applyFont="1" applyFill="1" applyBorder="1" applyAlignment="1"/>
    <xf numFmtId="177" fontId="31" fillId="4" borderId="3" xfId="3" applyNumberFormat="1" applyFont="1" applyFill="1" applyBorder="1">
      <alignment horizontal="right" vertical="center"/>
    </xf>
    <xf numFmtId="177" fontId="31" fillId="0" borderId="4" xfId="3" applyNumberFormat="1" applyFont="1" applyFill="1" applyBorder="1">
      <alignment horizontal="right" vertical="center"/>
    </xf>
    <xf numFmtId="177" fontId="20" fillId="4" borderId="6" xfId="3" applyNumberFormat="1" applyFont="1" applyFill="1" applyBorder="1">
      <alignment horizontal="right" vertical="center"/>
    </xf>
    <xf numFmtId="179" fontId="31" fillId="2" borderId="0" xfId="4" applyNumberFormat="1" applyFont="1">
      <alignment horizontal="right"/>
    </xf>
    <xf numFmtId="177" fontId="31" fillId="4" borderId="7" xfId="3" applyNumberFormat="1" applyFont="1" applyFill="1" applyBorder="1">
      <alignment horizontal="right" vertical="center"/>
    </xf>
    <xf numFmtId="186" fontId="31" fillId="4" borderId="4" xfId="3" applyNumberFormat="1" applyFont="1" applyFill="1" applyBorder="1">
      <alignment horizontal="right" vertical="center"/>
    </xf>
    <xf numFmtId="177" fontId="31" fillId="4" borderId="4" xfId="3" applyNumberFormat="1" applyFont="1" applyFill="1" applyBorder="1">
      <alignment horizontal="right" vertical="center"/>
    </xf>
    <xf numFmtId="180" fontId="31" fillId="4" borderId="11" xfId="3" applyNumberFormat="1" applyFont="1" applyFill="1" applyBorder="1">
      <alignment horizontal="right" vertical="center"/>
    </xf>
    <xf numFmtId="176" fontId="20" fillId="2" borderId="0" xfId="2" applyNumberFormat="1" applyFont="1" applyFill="1"/>
    <xf numFmtId="176" fontId="20" fillId="2" borderId="13" xfId="2" applyNumberFormat="1" applyFont="1" applyFill="1" applyBorder="1"/>
    <xf numFmtId="176" fontId="20" fillId="2" borderId="14" xfId="2" applyNumberFormat="1" applyFont="1" applyFill="1" applyBorder="1"/>
    <xf numFmtId="181" fontId="31" fillId="4" borderId="9" xfId="3" applyNumberFormat="1" applyFont="1" applyFill="1" applyBorder="1">
      <alignment horizontal="right" vertical="center"/>
    </xf>
    <xf numFmtId="176" fontId="31" fillId="2" borderId="15" xfId="2" applyNumberFormat="1" applyFont="1" applyFill="1" applyBorder="1"/>
    <xf numFmtId="182" fontId="31" fillId="4" borderId="12" xfId="3" applyNumberFormat="1" applyFont="1" applyFill="1" applyBorder="1">
      <alignment horizontal="right" vertical="center"/>
    </xf>
    <xf numFmtId="181" fontId="31" fillId="4" borderId="8" xfId="3" applyNumberFormat="1" applyFont="1" applyFill="1" applyBorder="1">
      <alignment horizontal="right" vertical="center"/>
    </xf>
    <xf numFmtId="181" fontId="31" fillId="4" borderId="3" xfId="3" applyNumberFormat="1" applyFont="1" applyFill="1" applyBorder="1">
      <alignment horizontal="right" vertical="center"/>
    </xf>
    <xf numFmtId="176" fontId="31" fillId="2" borderId="0" xfId="3" applyFont="1" applyBorder="1">
      <alignment horizontal="right" vertical="center"/>
    </xf>
    <xf numFmtId="176" fontId="31" fillId="4" borderId="9" xfId="3" applyFont="1" applyFill="1" applyBorder="1">
      <alignment horizontal="right" vertical="center"/>
    </xf>
    <xf numFmtId="176" fontId="20" fillId="2" borderId="15" xfId="2" applyNumberFormat="1" applyFont="1" applyFill="1" applyBorder="1"/>
    <xf numFmtId="181" fontId="31" fillId="4" borderId="17" xfId="3" applyNumberFormat="1" applyFont="1" applyFill="1" applyBorder="1">
      <alignment horizontal="right" vertical="center"/>
    </xf>
    <xf numFmtId="182" fontId="31" fillId="4" borderId="8" xfId="3" applyNumberFormat="1" applyFont="1" applyFill="1" applyBorder="1">
      <alignment horizontal="right" vertical="center"/>
    </xf>
    <xf numFmtId="176" fontId="31" fillId="4" borderId="18" xfId="3" applyFont="1" applyFill="1" applyBorder="1">
      <alignment horizontal="right" vertical="center"/>
    </xf>
    <xf numFmtId="176" fontId="31" fillId="4" borderId="19" xfId="3" applyFont="1" applyFill="1" applyBorder="1">
      <alignment horizontal="right" vertical="center"/>
    </xf>
    <xf numFmtId="182" fontId="31" fillId="4" borderId="11" xfId="3" applyNumberFormat="1" applyFont="1" applyFill="1" applyBorder="1">
      <alignment horizontal="right" vertical="center"/>
    </xf>
    <xf numFmtId="182" fontId="31" fillId="4" borderId="20" xfId="3" applyNumberFormat="1" applyFont="1" applyFill="1" applyBorder="1">
      <alignment horizontal="right" vertical="center"/>
    </xf>
    <xf numFmtId="183" fontId="31" fillId="4" borderId="3" xfId="3" applyNumberFormat="1" applyFont="1" applyFill="1" applyBorder="1">
      <alignment horizontal="right" vertical="center"/>
    </xf>
    <xf numFmtId="183" fontId="31" fillId="4" borderId="16" xfId="3" applyNumberFormat="1" applyFont="1" applyFill="1" applyBorder="1">
      <alignment horizontal="right" vertical="center"/>
    </xf>
    <xf numFmtId="180" fontId="31" fillId="2" borderId="2" xfId="2" applyNumberFormat="1" applyFont="1" applyFill="1" applyBorder="1"/>
    <xf numFmtId="180" fontId="20" fillId="2" borderId="10" xfId="3" applyNumberFormat="1" applyFont="1" applyBorder="1">
      <alignment horizontal="right" vertical="center"/>
    </xf>
    <xf numFmtId="180" fontId="20" fillId="2" borderId="13" xfId="2" applyNumberFormat="1" applyFont="1" applyFill="1" applyBorder="1"/>
    <xf numFmtId="180" fontId="31" fillId="8" borderId="21" xfId="3" applyNumberFormat="1" applyFont="1" applyFill="1" applyBorder="1">
      <alignment horizontal="right" vertical="center"/>
    </xf>
    <xf numFmtId="180" fontId="20" fillId="4" borderId="22" xfId="3" applyNumberFormat="1" applyFont="1" applyFill="1" applyBorder="1">
      <alignment horizontal="right" vertical="center"/>
    </xf>
    <xf numFmtId="180" fontId="20" fillId="4" borderId="23" xfId="3" applyNumberFormat="1" applyFont="1" applyFill="1" applyBorder="1">
      <alignment horizontal="right" vertical="center"/>
    </xf>
    <xf numFmtId="176" fontId="20" fillId="4" borderId="11" xfId="3" applyFont="1" applyFill="1" applyBorder="1">
      <alignment horizontal="right" vertical="center"/>
    </xf>
    <xf numFmtId="176" fontId="31" fillId="4" borderId="12" xfId="3" applyFont="1" applyFill="1" applyBorder="1">
      <alignment horizontal="right" vertical="center"/>
    </xf>
    <xf numFmtId="176" fontId="20" fillId="4" borderId="17" xfId="3" applyFont="1" applyFill="1" applyBorder="1">
      <alignment horizontal="right" vertical="center"/>
    </xf>
    <xf numFmtId="176" fontId="20" fillId="4" borderId="6" xfId="3" applyFont="1" applyFill="1" applyBorder="1">
      <alignment horizontal="right" vertical="center"/>
    </xf>
    <xf numFmtId="176" fontId="20" fillId="4" borderId="23" xfId="3" applyFont="1" applyFill="1" applyBorder="1">
      <alignment horizontal="right" vertical="center"/>
    </xf>
    <xf numFmtId="180" fontId="31" fillId="0" borderId="24" xfId="3" applyNumberFormat="1" applyFont="1" applyFill="1" applyBorder="1">
      <alignment horizontal="right" vertical="center"/>
    </xf>
    <xf numFmtId="176" fontId="20" fillId="4" borderId="9" xfId="3" applyFont="1" applyFill="1" applyBorder="1">
      <alignment horizontal="right" vertical="center"/>
    </xf>
    <xf numFmtId="44" fontId="31" fillId="2" borderId="0" xfId="2" applyNumberFormat="1" applyFont="1" applyFill="1"/>
    <xf numFmtId="176" fontId="20" fillId="0" borderId="25" xfId="2" applyNumberFormat="1" applyFont="1" applyFill="1" applyBorder="1"/>
    <xf numFmtId="176" fontId="20" fillId="0" borderId="15" xfId="2" applyNumberFormat="1" applyFont="1" applyFill="1" applyBorder="1"/>
    <xf numFmtId="176" fontId="31" fillId="10" borderId="11" xfId="2" applyNumberFormat="1" applyFont="1" applyFill="1" applyBorder="1"/>
    <xf numFmtId="182" fontId="31" fillId="10" borderId="11" xfId="2" applyNumberFormat="1" applyFont="1" applyFill="1" applyBorder="1"/>
    <xf numFmtId="176" fontId="20" fillId="10" borderId="23" xfId="2" applyNumberFormat="1" applyFont="1" applyFill="1" applyBorder="1"/>
    <xf numFmtId="176" fontId="31" fillId="0" borderId="10" xfId="3" applyNumberFormat="1" applyFont="1" applyFill="1" applyBorder="1">
      <alignment horizontal="right" vertical="center"/>
    </xf>
    <xf numFmtId="176" fontId="31" fillId="0" borderId="10" xfId="3" applyFont="1" applyFill="1" applyBorder="1">
      <alignment horizontal="right" vertical="center"/>
    </xf>
    <xf numFmtId="176" fontId="31" fillId="0" borderId="0" xfId="2" applyNumberFormat="1" applyFont="1" applyFill="1"/>
    <xf numFmtId="176" fontId="31" fillId="0" borderId="3" xfId="3" applyFont="1" applyFill="1" applyBorder="1">
      <alignment horizontal="right" vertical="center"/>
    </xf>
    <xf numFmtId="176" fontId="20" fillId="10" borderId="23" xfId="3" applyFont="1" applyFill="1" applyBorder="1">
      <alignment horizontal="right" vertical="center"/>
    </xf>
    <xf numFmtId="176" fontId="31" fillId="4" borderId="6" xfId="3" applyFont="1" applyFill="1" applyBorder="1">
      <alignment horizontal="right" vertical="center"/>
    </xf>
    <xf numFmtId="184" fontId="20" fillId="4" borderId="26" xfId="5" applyFont="1" applyFill="1" applyBorder="1">
      <alignment horizontal="right" vertical="center"/>
    </xf>
    <xf numFmtId="183" fontId="31" fillId="0" borderId="0" xfId="2" applyNumberFormat="1" applyFont="1" applyFill="1"/>
    <xf numFmtId="0" fontId="46" fillId="0" borderId="39" xfId="0" applyFont="1" applyFill="1" applyBorder="1" applyAlignment="1">
      <alignment vertical="center"/>
    </xf>
    <xf numFmtId="14" fontId="46" fillId="0" borderId="40" xfId="0" applyNumberFormat="1" applyFont="1" applyFill="1" applyBorder="1" applyAlignment="1">
      <alignment vertical="center"/>
    </xf>
    <xf numFmtId="0" fontId="46" fillId="0" borderId="41" xfId="0" applyFont="1" applyFill="1" applyBorder="1" applyAlignment="1">
      <alignment horizontal="right" vertical="center"/>
    </xf>
    <xf numFmtId="0" fontId="46" fillId="0" borderId="40" xfId="0" applyFont="1" applyFill="1" applyBorder="1" applyAlignment="1">
      <alignment vertical="center"/>
    </xf>
    <xf numFmtId="0" fontId="48" fillId="0" borderId="42" xfId="0" applyFont="1" applyFill="1" applyBorder="1" applyAlignment="1">
      <alignment vertical="center"/>
    </xf>
    <xf numFmtId="2" fontId="48" fillId="0" borderId="0" xfId="0" applyNumberFormat="1" applyFont="1" applyFill="1" applyBorder="1" applyAlignment="1">
      <alignment vertical="center"/>
    </xf>
    <xf numFmtId="0" fontId="48" fillId="0" borderId="43" xfId="0" applyFont="1" applyFill="1" applyBorder="1" applyAlignment="1">
      <alignment vertical="center"/>
    </xf>
    <xf numFmtId="0" fontId="48" fillId="0" borderId="0" xfId="0" applyFont="1" applyFill="1" applyBorder="1" applyAlignment="1">
      <alignment vertical="center"/>
    </xf>
    <xf numFmtId="188" fontId="48" fillId="0" borderId="0" xfId="0" applyNumberFormat="1" applyFont="1" applyFill="1" applyBorder="1" applyAlignment="1">
      <alignment vertical="center"/>
    </xf>
    <xf numFmtId="188" fontId="48" fillId="0" borderId="43" xfId="0" applyNumberFormat="1" applyFont="1" applyFill="1" applyBorder="1" applyAlignment="1">
      <alignment vertical="center"/>
    </xf>
    <xf numFmtId="0" fontId="46" fillId="0" borderId="42" xfId="0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horizontal="right" vertical="center"/>
    </xf>
    <xf numFmtId="0" fontId="46" fillId="0" borderId="43" xfId="0" applyFont="1" applyFill="1" applyBorder="1" applyAlignment="1">
      <alignment vertical="center"/>
    </xf>
    <xf numFmtId="0" fontId="46" fillId="0" borderId="0" xfId="0" applyFont="1" applyFill="1" applyBorder="1" applyAlignment="1">
      <alignment vertical="center"/>
    </xf>
    <xf numFmtId="188" fontId="46" fillId="0" borderId="0" xfId="0" applyNumberFormat="1" applyFont="1" applyFill="1" applyBorder="1" applyAlignment="1">
      <alignment vertical="center"/>
    </xf>
    <xf numFmtId="188" fontId="46" fillId="0" borderId="43" xfId="0" applyNumberFormat="1" applyFont="1" applyFill="1" applyBorder="1" applyAlignment="1">
      <alignment vertical="center"/>
    </xf>
    <xf numFmtId="192" fontId="46" fillId="0" borderId="43" xfId="0" applyNumberFormat="1" applyFont="1" applyFill="1" applyBorder="1" applyAlignment="1">
      <alignment vertical="center"/>
    </xf>
    <xf numFmtId="0" fontId="48" fillId="0" borderId="44" xfId="0" applyFont="1" applyFill="1" applyBorder="1" applyAlignment="1">
      <alignment vertical="center"/>
    </xf>
    <xf numFmtId="2" fontId="48" fillId="0" borderId="2" xfId="0" applyNumberFormat="1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192" fontId="48" fillId="0" borderId="45" xfId="0" applyNumberFormat="1" applyFont="1" applyFill="1" applyBorder="1" applyAlignment="1">
      <alignment vertical="center"/>
    </xf>
    <xf numFmtId="188" fontId="48" fillId="0" borderId="2" xfId="0" applyNumberFormat="1" applyFont="1" applyFill="1" applyBorder="1" applyAlignment="1">
      <alignment vertical="center"/>
    </xf>
    <xf numFmtId="188" fontId="48" fillId="0" borderId="45" xfId="0" applyNumberFormat="1" applyFont="1" applyFill="1" applyBorder="1" applyAlignment="1">
      <alignment vertical="center"/>
    </xf>
    <xf numFmtId="0" fontId="46" fillId="0" borderId="46" xfId="0" applyFont="1" applyFill="1" applyBorder="1" applyAlignment="1">
      <alignment vertical="center"/>
    </xf>
    <xf numFmtId="0" fontId="46" fillId="0" borderId="13" xfId="0" applyFont="1" applyFill="1" applyBorder="1" applyAlignment="1">
      <alignment vertical="center"/>
    </xf>
    <xf numFmtId="0" fontId="46" fillId="0" borderId="47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4" fontId="46" fillId="0" borderId="2" xfId="0" applyNumberFormat="1" applyFont="1" applyFill="1" applyBorder="1" applyAlignment="1">
      <alignment vertical="center"/>
    </xf>
    <xf numFmtId="0" fontId="46" fillId="0" borderId="45" xfId="0" applyFont="1" applyFill="1" applyBorder="1" applyAlignment="1">
      <alignment horizontal="right" vertical="center"/>
    </xf>
    <xf numFmtId="192" fontId="46" fillId="0" borderId="0" xfId="0" applyNumberFormat="1" applyFont="1" applyFill="1" applyBorder="1" applyAlignment="1">
      <alignment vertical="center"/>
    </xf>
    <xf numFmtId="0" fontId="47" fillId="0" borderId="42" xfId="0" applyFont="1" applyFill="1" applyBorder="1" applyAlignment="1">
      <alignment vertical="center"/>
    </xf>
    <xf numFmtId="193" fontId="46" fillId="0" borderId="0" xfId="0" applyNumberFormat="1" applyFont="1" applyFill="1" applyBorder="1" applyAlignment="1">
      <alignment vertical="center"/>
    </xf>
    <xf numFmtId="0" fontId="47" fillId="0" borderId="0" xfId="0" applyFont="1" applyFill="1" applyBorder="1" applyAlignment="1"/>
    <xf numFmtId="0" fontId="47" fillId="0" borderId="46" xfId="0" applyFont="1" applyFill="1" applyBorder="1" applyAlignment="1">
      <alignment vertical="center"/>
    </xf>
    <xf numFmtId="192" fontId="46" fillId="0" borderId="47" xfId="0" applyNumberFormat="1" applyFont="1" applyFill="1" applyBorder="1" applyAlignment="1">
      <alignment vertical="center"/>
    </xf>
    <xf numFmtId="2" fontId="23" fillId="0" borderId="0" xfId="6" applyNumberFormat="1" applyFont="1" applyAlignment="1">
      <alignment vertical="center"/>
    </xf>
    <xf numFmtId="0" fontId="49" fillId="0" borderId="0" xfId="6" applyFont="1"/>
    <xf numFmtId="2" fontId="23" fillId="0" borderId="0" xfId="0" applyNumberFormat="1" applyFont="1" applyAlignment="1">
      <alignment vertical="center"/>
    </xf>
    <xf numFmtId="2" fontId="23" fillId="0" borderId="0" xfId="0" applyNumberFormat="1" applyFont="1" applyAlignment="1"/>
    <xf numFmtId="0" fontId="28" fillId="0" borderId="36" xfId="6" applyFont="1" applyFill="1" applyBorder="1" applyAlignment="1">
      <alignment vertical="center"/>
    </xf>
    <xf numFmtId="0" fontId="28" fillId="0" borderId="36" xfId="0" applyFont="1" applyFill="1" applyBorder="1" applyAlignment="1">
      <alignment horizontal="right" vertical="center"/>
    </xf>
    <xf numFmtId="2" fontId="28" fillId="0" borderId="33" xfId="7" applyNumberFormat="1" applyFont="1" applyFill="1" applyBorder="1" applyAlignment="1">
      <alignment vertical="center" wrapText="1"/>
    </xf>
    <xf numFmtId="192" fontId="28" fillId="0" borderId="33" xfId="0" applyNumberFormat="1" applyFont="1" applyFill="1" applyBorder="1" applyAlignment="1">
      <alignment vertical="center"/>
    </xf>
    <xf numFmtId="0" fontId="28" fillId="0" borderId="34" xfId="0" applyFont="1" applyFill="1" applyBorder="1" applyAlignment="1">
      <alignment vertical="center"/>
    </xf>
    <xf numFmtId="191" fontId="28" fillId="0" borderId="36" xfId="6" applyNumberFormat="1" applyFont="1" applyFill="1" applyBorder="1" applyAlignment="1">
      <alignment vertical="center"/>
    </xf>
    <xf numFmtId="10" fontId="28" fillId="0" borderId="36" xfId="1" applyNumberFormat="1" applyFont="1" applyFill="1" applyBorder="1">
      <alignment vertical="center"/>
    </xf>
    <xf numFmtId="0" fontId="50" fillId="0" borderId="15" xfId="0" applyFont="1" applyFill="1" applyBorder="1" applyAlignment="1">
      <alignment horizontal="right" vertical="center"/>
    </xf>
    <xf numFmtId="10" fontId="50" fillId="0" borderId="30" xfId="1" applyNumberFormat="1" applyFont="1" applyFill="1" applyBorder="1">
      <alignment vertical="center"/>
    </xf>
    <xf numFmtId="0" fontId="39" fillId="2" borderId="48" xfId="2" applyFont="1" applyFill="1" applyBorder="1" applyAlignment="1" applyProtection="1">
      <alignment horizontal="right"/>
    </xf>
    <xf numFmtId="0" fontId="20" fillId="2" borderId="48" xfId="2" applyFont="1" applyFill="1" applyBorder="1" applyAlignment="1" applyProtection="1">
      <alignment horizontal="right"/>
    </xf>
    <xf numFmtId="9" fontId="31" fillId="2" borderId="0" xfId="2" applyNumberFormat="1" applyFont="1" applyFill="1"/>
    <xf numFmtId="9" fontId="31" fillId="3" borderId="0" xfId="2" applyNumberFormat="1" applyFont="1" applyFill="1"/>
    <xf numFmtId="0" fontId="38" fillId="0" borderId="0" xfId="2" applyFont="1" applyFill="1" applyProtection="1"/>
    <xf numFmtId="0" fontId="31" fillId="5" borderId="0" xfId="2" applyFont="1" applyFill="1" applyBorder="1"/>
    <xf numFmtId="0" fontId="31" fillId="5" borderId="0" xfId="2" applyFont="1" applyFill="1"/>
    <xf numFmtId="182" fontId="31" fillId="0" borderId="0" xfId="3" applyNumberFormat="1" applyFont="1" applyFill="1" applyBorder="1">
      <alignment horizontal="right" vertical="center"/>
    </xf>
    <xf numFmtId="0" fontId="31" fillId="0" borderId="0" xfId="2" applyFont="1" applyFill="1" applyBorder="1"/>
    <xf numFmtId="0" fontId="20" fillId="2" borderId="48" xfId="2" applyFont="1" applyFill="1" applyBorder="1" applyProtection="1"/>
    <xf numFmtId="0" fontId="20" fillId="2" borderId="48" xfId="2" applyFont="1" applyFill="1" applyBorder="1" applyAlignment="1" applyProtection="1">
      <alignment horizontal="left"/>
    </xf>
    <xf numFmtId="0" fontId="20" fillId="0" borderId="48" xfId="2" applyFont="1" applyFill="1" applyBorder="1" applyAlignment="1" applyProtection="1">
      <alignment horizontal="left"/>
    </xf>
    <xf numFmtId="0" fontId="20" fillId="0" borderId="48" xfId="2" applyFont="1" applyFill="1" applyBorder="1" applyProtection="1"/>
    <xf numFmtId="176" fontId="31" fillId="0" borderId="48" xfId="3" applyFont="1" applyFill="1" applyBorder="1">
      <alignment horizontal="right" vertical="center"/>
    </xf>
    <xf numFmtId="0" fontId="31" fillId="0" borderId="48" xfId="2" applyFont="1" applyFill="1" applyBorder="1"/>
    <xf numFmtId="0" fontId="20" fillId="2" borderId="48" xfId="2" applyFont="1" applyFill="1" applyBorder="1"/>
    <xf numFmtId="176" fontId="31" fillId="0" borderId="27" xfId="3" applyFont="1" applyFill="1" applyBorder="1">
      <alignment horizontal="right" vertical="center"/>
    </xf>
    <xf numFmtId="0" fontId="38" fillId="0" borderId="48" xfId="2" applyFont="1" applyFill="1" applyBorder="1" applyProtection="1"/>
    <xf numFmtId="176" fontId="38" fillId="0" borderId="48" xfId="2" applyNumberFormat="1" applyFont="1" applyFill="1" applyBorder="1"/>
    <xf numFmtId="0" fontId="38" fillId="0" borderId="48" xfId="2" applyFont="1" applyFill="1" applyBorder="1"/>
    <xf numFmtId="0" fontId="20" fillId="2" borderId="48" xfId="2" applyFont="1" applyFill="1" applyBorder="1" applyAlignment="1">
      <alignment horizontal="left" vertical="center" wrapText="1"/>
    </xf>
    <xf numFmtId="0" fontId="51" fillId="0" borderId="39" xfId="0" applyFont="1" applyFill="1" applyBorder="1" applyAlignment="1">
      <alignment vertical="center"/>
    </xf>
    <xf numFmtId="14" fontId="51" fillId="0" borderId="40" xfId="0" applyNumberFormat="1" applyFont="1" applyFill="1" applyBorder="1" applyAlignment="1">
      <alignment vertical="center"/>
    </xf>
    <xf numFmtId="0" fontId="51" fillId="0" borderId="41" xfId="0" applyFont="1" applyFill="1" applyBorder="1" applyAlignment="1">
      <alignment horizontal="right" vertical="center"/>
    </xf>
    <xf numFmtId="0" fontId="51" fillId="0" borderId="40" xfId="0" applyFont="1" applyFill="1" applyBorder="1" applyAlignment="1">
      <alignment vertical="center"/>
    </xf>
    <xf numFmtId="0" fontId="53" fillId="0" borderId="44" xfId="0" applyFont="1" applyFill="1" applyBorder="1" applyAlignment="1">
      <alignment vertical="center"/>
    </xf>
    <xf numFmtId="188" fontId="53" fillId="0" borderId="0" xfId="0" applyNumberFormat="1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92" fontId="51" fillId="0" borderId="43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0" fontId="51" fillId="0" borderId="46" xfId="0" applyFont="1" applyFill="1" applyBorder="1" applyAlignment="1">
      <alignment vertical="center"/>
    </xf>
    <xf numFmtId="0" fontId="51" fillId="0" borderId="13" xfId="0" applyFont="1" applyFill="1" applyBorder="1" applyAlignment="1">
      <alignment vertical="center"/>
    </xf>
    <xf numFmtId="0" fontId="51" fillId="0" borderId="47" xfId="0" applyFont="1" applyFill="1" applyBorder="1" applyAlignment="1">
      <alignment vertical="center"/>
    </xf>
    <xf numFmtId="188" fontId="53" fillId="0" borderId="2" xfId="0" applyNumberFormat="1" applyFont="1" applyFill="1" applyBorder="1" applyAlignment="1">
      <alignment vertical="center"/>
    </xf>
    <xf numFmtId="188" fontId="53" fillId="0" borderId="45" xfId="0" applyNumberFormat="1" applyFont="1" applyFill="1" applyBorder="1" applyAlignment="1">
      <alignment vertical="center"/>
    </xf>
    <xf numFmtId="0" fontId="53" fillId="0" borderId="2" xfId="0" applyFont="1" applyFill="1" applyBorder="1" applyAlignment="1">
      <alignment vertical="center"/>
    </xf>
    <xf numFmtId="3" fontId="51" fillId="0" borderId="0" xfId="0" applyNumberFormat="1" applyFont="1" applyFill="1" applyBorder="1" applyAlignment="1">
      <alignment vertical="center"/>
    </xf>
    <xf numFmtId="188" fontId="51" fillId="0" borderId="1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14" fontId="51" fillId="0" borderId="2" xfId="0" applyNumberFormat="1" applyFont="1" applyFill="1" applyBorder="1" applyAlignment="1">
      <alignment vertical="center"/>
    </xf>
    <xf numFmtId="0" fontId="51" fillId="0" borderId="45" xfId="0" applyFont="1" applyFill="1" applyBorder="1" applyAlignment="1">
      <alignment horizontal="right" vertical="center"/>
    </xf>
    <xf numFmtId="192" fontId="51" fillId="0" borderId="0" xfId="0" applyNumberFormat="1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192" fontId="51" fillId="0" borderId="47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horizontal="right" vertical="center"/>
    </xf>
    <xf numFmtId="0" fontId="31" fillId="11" borderId="0" xfId="2" applyFont="1" applyFill="1"/>
    <xf numFmtId="37" fontId="20" fillId="15" borderId="0" xfId="2" applyNumberFormat="1" applyFont="1" applyFill="1" applyBorder="1" applyProtection="1"/>
    <xf numFmtId="14" fontId="20" fillId="15" borderId="1" xfId="2" applyNumberFormat="1" applyFont="1" applyFill="1" applyBorder="1" applyAlignment="1" applyProtection="1">
      <alignment horizontal="center"/>
    </xf>
    <xf numFmtId="0" fontId="56" fillId="15" borderId="48" xfId="2" applyFont="1" applyFill="1" applyBorder="1" applyAlignment="1" applyProtection="1">
      <alignment horizontal="right"/>
    </xf>
    <xf numFmtId="0" fontId="56" fillId="15" borderId="48" xfId="2" applyNumberFormat="1" applyFont="1" applyFill="1" applyBorder="1" applyAlignment="1" applyProtection="1">
      <alignment horizontal="center"/>
    </xf>
    <xf numFmtId="0" fontId="56" fillId="15" borderId="0" xfId="2" applyFont="1" applyFill="1" applyBorder="1" applyAlignment="1" applyProtection="1">
      <alignment horizontal="right"/>
    </xf>
    <xf numFmtId="0" fontId="56" fillId="15" borderId="0" xfId="2" applyNumberFormat="1" applyFont="1" applyFill="1" applyBorder="1" applyAlignment="1" applyProtection="1">
      <alignment horizontal="center"/>
    </xf>
    <xf numFmtId="0" fontId="31" fillId="15" borderId="0" xfId="2" applyFont="1" applyFill="1" applyBorder="1"/>
    <xf numFmtId="0" fontId="20" fillId="15" borderId="1" xfId="2" applyNumberFormat="1" applyFont="1" applyFill="1" applyBorder="1" applyAlignment="1" applyProtection="1">
      <alignment horizontal="center"/>
    </xf>
    <xf numFmtId="0" fontId="20" fillId="12" borderId="1" xfId="2" applyNumberFormat="1" applyFont="1" applyFill="1" applyBorder="1" applyAlignment="1" applyProtection="1">
      <alignment horizontal="center"/>
    </xf>
    <xf numFmtId="177" fontId="31" fillId="17" borderId="3" xfId="3" applyNumberFormat="1" applyFont="1" applyFill="1" applyBorder="1">
      <alignment horizontal="right" vertical="center"/>
    </xf>
    <xf numFmtId="176" fontId="31" fillId="15" borderId="0" xfId="2" applyNumberFormat="1" applyFont="1" applyFill="1" applyBorder="1"/>
    <xf numFmtId="177" fontId="20" fillId="17" borderId="6" xfId="3" applyNumberFormat="1" applyFont="1" applyFill="1" applyBorder="1">
      <alignment horizontal="right" vertical="center"/>
    </xf>
    <xf numFmtId="178" fontId="31" fillId="15" borderId="0" xfId="4" applyFont="1" applyFill="1" applyBorder="1">
      <alignment horizontal="right"/>
    </xf>
    <xf numFmtId="10" fontId="31" fillId="15" borderId="0" xfId="4" applyNumberFormat="1" applyFont="1" applyFill="1" applyBorder="1">
      <alignment horizontal="right"/>
    </xf>
    <xf numFmtId="10" fontId="31" fillId="0" borderId="0" xfId="2" applyNumberFormat="1" applyFont="1" applyFill="1" applyBorder="1"/>
    <xf numFmtId="177" fontId="31" fillId="17" borderId="7" xfId="3" applyNumberFormat="1" applyFont="1" applyFill="1" applyBorder="1">
      <alignment horizontal="right" vertical="center"/>
    </xf>
    <xf numFmtId="176" fontId="38" fillId="18" borderId="0" xfId="2" applyNumberFormat="1" applyFont="1" applyFill="1" applyBorder="1"/>
    <xf numFmtId="176" fontId="38" fillId="0" borderId="0" xfId="2" applyNumberFormat="1" applyFont="1" applyFill="1" applyBorder="1"/>
    <xf numFmtId="0" fontId="31" fillId="15" borderId="2" xfId="2" applyFont="1" applyFill="1" applyBorder="1"/>
    <xf numFmtId="180" fontId="31" fillId="17" borderId="7" xfId="3" applyNumberFormat="1" applyFont="1" applyFill="1" applyBorder="1">
      <alignment horizontal="right" vertical="center"/>
    </xf>
    <xf numFmtId="180" fontId="31" fillId="19" borderId="8" xfId="3" applyNumberFormat="1" applyFont="1" applyFill="1" applyBorder="1">
      <alignment horizontal="right" vertical="center"/>
    </xf>
    <xf numFmtId="180" fontId="31" fillId="17" borderId="3" xfId="3" applyNumberFormat="1" applyFont="1" applyFill="1" applyBorder="1">
      <alignment horizontal="right" vertical="center"/>
    </xf>
    <xf numFmtId="180" fontId="31" fillId="17" borderId="9" xfId="3" applyNumberFormat="1" applyFont="1" applyFill="1" applyBorder="1">
      <alignment horizontal="right" vertical="center"/>
    </xf>
    <xf numFmtId="180" fontId="31" fillId="17" borderId="11" xfId="3" applyNumberFormat="1" applyFont="1" applyFill="1" applyBorder="1">
      <alignment horizontal="right" vertical="center"/>
    </xf>
    <xf numFmtId="0" fontId="31" fillId="15" borderId="1" xfId="2" applyFont="1" applyFill="1" applyBorder="1"/>
    <xf numFmtId="180" fontId="31" fillId="17" borderId="12" xfId="3" applyNumberFormat="1" applyFont="1" applyFill="1" applyBorder="1">
      <alignment horizontal="right" vertical="center"/>
    </xf>
    <xf numFmtId="176" fontId="20" fillId="15" borderId="0" xfId="2" applyNumberFormat="1" applyFont="1" applyFill="1" applyBorder="1"/>
    <xf numFmtId="176" fontId="20" fillId="15" borderId="13" xfId="2" applyNumberFormat="1" applyFont="1" applyFill="1" applyBorder="1"/>
    <xf numFmtId="0" fontId="38" fillId="15" borderId="0" xfId="2" applyFont="1" applyFill="1" applyBorder="1"/>
    <xf numFmtId="0" fontId="31" fillId="15" borderId="48" xfId="2" applyFont="1" applyFill="1" applyBorder="1"/>
    <xf numFmtId="176" fontId="20" fillId="15" borderId="14" xfId="2" applyNumberFormat="1" applyFont="1" applyFill="1" applyBorder="1"/>
    <xf numFmtId="176" fontId="31" fillId="17" borderId="3" xfId="3" applyFont="1" applyFill="1" applyBorder="1">
      <alignment horizontal="right" vertical="center"/>
    </xf>
    <xf numFmtId="181" fontId="31" fillId="17" borderId="9" xfId="3" applyNumberFormat="1" applyFont="1" applyFill="1" applyBorder="1">
      <alignment horizontal="right" vertical="center"/>
    </xf>
    <xf numFmtId="176" fontId="31" fillId="15" borderId="15" xfId="2" applyNumberFormat="1" applyFont="1" applyFill="1" applyBorder="1"/>
    <xf numFmtId="182" fontId="31" fillId="17" borderId="3" xfId="3" applyNumberFormat="1" applyFont="1" applyFill="1" applyBorder="1">
      <alignment horizontal="right" vertical="center"/>
    </xf>
    <xf numFmtId="182" fontId="31" fillId="17" borderId="12" xfId="3" applyNumberFormat="1" applyFont="1" applyFill="1" applyBorder="1">
      <alignment horizontal="right" vertical="center"/>
    </xf>
    <xf numFmtId="176" fontId="31" fillId="17" borderId="16" xfId="3" applyFont="1" applyFill="1" applyBorder="1">
      <alignment horizontal="right" vertical="center"/>
    </xf>
    <xf numFmtId="182" fontId="31" fillId="17" borderId="16" xfId="3" applyNumberFormat="1" applyFont="1" applyFill="1" applyBorder="1">
      <alignment horizontal="right" vertical="center"/>
    </xf>
    <xf numFmtId="181" fontId="31" fillId="17" borderId="8" xfId="3" applyNumberFormat="1" applyFont="1" applyFill="1" applyBorder="1">
      <alignment horizontal="right" vertical="center"/>
    </xf>
    <xf numFmtId="181" fontId="31" fillId="17" borderId="3" xfId="3" applyNumberFormat="1" applyFont="1" applyFill="1" applyBorder="1">
      <alignment horizontal="right" vertical="center"/>
    </xf>
    <xf numFmtId="176" fontId="31" fillId="15" borderId="0" xfId="3" applyFont="1" applyFill="1" applyBorder="1">
      <alignment horizontal="right" vertical="center"/>
    </xf>
    <xf numFmtId="176" fontId="31" fillId="17" borderId="9" xfId="3" applyFont="1" applyFill="1" applyBorder="1">
      <alignment horizontal="right" vertical="center"/>
    </xf>
    <xf numFmtId="176" fontId="20" fillId="15" borderId="15" xfId="2" applyNumberFormat="1" applyFont="1" applyFill="1" applyBorder="1"/>
    <xf numFmtId="181" fontId="31" fillId="17" borderId="17" xfId="3" applyNumberFormat="1" applyFont="1" applyFill="1" applyBorder="1">
      <alignment horizontal="right" vertical="center"/>
    </xf>
    <xf numFmtId="182" fontId="31" fillId="17" borderId="8" xfId="3" applyNumberFormat="1" applyFont="1" applyFill="1" applyBorder="1">
      <alignment horizontal="right" vertical="center"/>
    </xf>
    <xf numFmtId="182" fontId="31" fillId="17" borderId="11" xfId="3" applyNumberFormat="1" applyFont="1" applyFill="1" applyBorder="1">
      <alignment horizontal="right" vertical="center"/>
    </xf>
    <xf numFmtId="182" fontId="31" fillId="17" borderId="20" xfId="3" applyNumberFormat="1" applyFont="1" applyFill="1" applyBorder="1">
      <alignment horizontal="right" vertical="center"/>
    </xf>
    <xf numFmtId="183" fontId="31" fillId="17" borderId="3" xfId="3" applyNumberFormat="1" applyFont="1" applyFill="1" applyBorder="1">
      <alignment horizontal="right" vertical="center"/>
    </xf>
    <xf numFmtId="183" fontId="31" fillId="17" borderId="16" xfId="3" applyNumberFormat="1" applyFont="1" applyFill="1" applyBorder="1">
      <alignment horizontal="right" vertical="center"/>
    </xf>
    <xf numFmtId="0" fontId="31" fillId="15" borderId="0" xfId="2" applyFont="1" applyFill="1" applyBorder="1" applyAlignment="1">
      <alignment horizontal="left"/>
    </xf>
    <xf numFmtId="180" fontId="31" fillId="15" borderId="2" xfId="2" applyNumberFormat="1" applyFont="1" applyFill="1" applyBorder="1"/>
    <xf numFmtId="180" fontId="31" fillId="12" borderId="3" xfId="3" applyNumberFormat="1" applyFont="1" applyFill="1" applyBorder="1">
      <alignment horizontal="right" vertical="center"/>
    </xf>
    <xf numFmtId="180" fontId="20" fillId="15" borderId="10" xfId="3" applyNumberFormat="1" applyFont="1" applyFill="1" applyBorder="1">
      <alignment horizontal="right" vertical="center"/>
    </xf>
    <xf numFmtId="180" fontId="20" fillId="15" borderId="13" xfId="2" applyNumberFormat="1" applyFont="1" applyFill="1" applyBorder="1"/>
    <xf numFmtId="176" fontId="38" fillId="12" borderId="0" xfId="2" applyNumberFormat="1" applyFont="1" applyFill="1" applyBorder="1"/>
    <xf numFmtId="176" fontId="31" fillId="15" borderId="48" xfId="2" applyNumberFormat="1" applyFont="1" applyFill="1" applyBorder="1"/>
    <xf numFmtId="180" fontId="31" fillId="15" borderId="21" xfId="3" applyNumberFormat="1" applyFont="1" applyFill="1" applyBorder="1">
      <alignment horizontal="right" vertical="center"/>
    </xf>
    <xf numFmtId="180" fontId="31" fillId="15" borderId="0" xfId="2" applyNumberFormat="1" applyFont="1" applyFill="1" applyBorder="1"/>
    <xf numFmtId="10" fontId="31" fillId="15" borderId="48" xfId="2" applyNumberFormat="1" applyFont="1" applyFill="1" applyBorder="1"/>
    <xf numFmtId="10" fontId="31" fillId="15" borderId="0" xfId="2" applyNumberFormat="1" applyFont="1" applyFill="1" applyBorder="1"/>
    <xf numFmtId="180" fontId="20" fillId="17" borderId="22" xfId="3" applyNumberFormat="1" applyFont="1" applyFill="1" applyBorder="1">
      <alignment horizontal="right" vertical="center"/>
    </xf>
    <xf numFmtId="180" fontId="20" fillId="17" borderId="23" xfId="3" applyNumberFormat="1" applyFont="1" applyFill="1" applyBorder="1">
      <alignment horizontal="right" vertical="center"/>
    </xf>
    <xf numFmtId="176" fontId="31" fillId="17" borderId="12" xfId="3" applyFont="1" applyFill="1" applyBorder="1">
      <alignment horizontal="right" vertical="center"/>
    </xf>
    <xf numFmtId="176" fontId="20" fillId="17" borderId="23" xfId="3" applyFont="1" applyFill="1" applyBorder="1">
      <alignment horizontal="right" vertical="center"/>
    </xf>
    <xf numFmtId="176" fontId="31" fillId="17" borderId="8" xfId="3" applyFont="1" applyFill="1" applyBorder="1">
      <alignment horizontal="right" vertical="center"/>
    </xf>
    <xf numFmtId="176" fontId="20" fillId="17" borderId="6" xfId="3" applyFont="1" applyFill="1" applyBorder="1">
      <alignment horizontal="right" vertical="center"/>
    </xf>
    <xf numFmtId="180" fontId="20" fillId="17" borderId="18" xfId="3" applyNumberFormat="1" applyFont="1" applyFill="1" applyBorder="1">
      <alignment horizontal="right" vertical="center"/>
    </xf>
    <xf numFmtId="176" fontId="20" fillId="17" borderId="9" xfId="3" applyFont="1" applyFill="1" applyBorder="1">
      <alignment horizontal="right" vertical="center"/>
    </xf>
    <xf numFmtId="176" fontId="20" fillId="17" borderId="48" xfId="3" applyFont="1" applyFill="1" applyBorder="1">
      <alignment horizontal="right" vertical="center"/>
    </xf>
    <xf numFmtId="44" fontId="31" fillId="15" borderId="0" xfId="2" applyNumberFormat="1" applyFont="1" applyFill="1" applyBorder="1"/>
    <xf numFmtId="176" fontId="20" fillId="17" borderId="23" xfId="2" applyNumberFormat="1" applyFont="1" applyFill="1" applyBorder="1"/>
    <xf numFmtId="176" fontId="31" fillId="17" borderId="11" xfId="2" applyNumberFormat="1" applyFont="1" applyFill="1" applyBorder="1"/>
    <xf numFmtId="182" fontId="31" fillId="17" borderId="11" xfId="2" applyNumberFormat="1" applyFont="1" applyFill="1" applyBorder="1"/>
    <xf numFmtId="176" fontId="31" fillId="0" borderId="0" xfId="2" applyNumberFormat="1" applyFont="1" applyFill="1" applyBorder="1"/>
    <xf numFmtId="176" fontId="31" fillId="17" borderId="6" xfId="3" applyFont="1" applyFill="1" applyBorder="1">
      <alignment horizontal="right" vertical="center"/>
    </xf>
    <xf numFmtId="10" fontId="20" fillId="17" borderId="18" xfId="3" applyNumberFormat="1" applyFont="1" applyFill="1" applyBorder="1">
      <alignment horizontal="right" vertical="center"/>
    </xf>
    <xf numFmtId="184" fontId="20" fillId="17" borderId="26" xfId="5" applyFont="1" applyFill="1" applyBorder="1">
      <alignment horizontal="right" vertical="center"/>
    </xf>
    <xf numFmtId="184" fontId="31" fillId="17" borderId="17" xfId="5" applyFont="1" applyFill="1" applyBorder="1">
      <alignment horizontal="right" vertical="center"/>
    </xf>
    <xf numFmtId="10" fontId="20" fillId="17" borderId="7" xfId="5" applyNumberFormat="1" applyFont="1" applyFill="1" applyBorder="1">
      <alignment horizontal="right" vertical="center"/>
    </xf>
    <xf numFmtId="184" fontId="20" fillId="15" borderId="0" xfId="5" applyFont="1" applyFill="1" applyBorder="1">
      <alignment horizontal="right" vertical="center"/>
    </xf>
    <xf numFmtId="184" fontId="20" fillId="17" borderId="11" xfId="5" applyFont="1" applyFill="1" applyBorder="1">
      <alignment horizontal="right" vertical="center"/>
    </xf>
    <xf numFmtId="184" fontId="20" fillId="17" borderId="16" xfId="5" applyFont="1" applyFill="1" applyBorder="1">
      <alignment horizontal="right" vertical="center"/>
    </xf>
    <xf numFmtId="184" fontId="20" fillId="17" borderId="48" xfId="5" applyFont="1" applyFill="1" applyBorder="1">
      <alignment horizontal="right" vertical="center"/>
    </xf>
    <xf numFmtId="10" fontId="20" fillId="17" borderId="11" xfId="5" applyNumberFormat="1" applyFont="1" applyFill="1" applyBorder="1">
      <alignment horizontal="right" vertical="center"/>
    </xf>
    <xf numFmtId="10" fontId="20" fillId="17" borderId="8" xfId="5" applyNumberFormat="1" applyFont="1" applyFill="1" applyBorder="1">
      <alignment horizontal="right" vertical="center"/>
    </xf>
    <xf numFmtId="10" fontId="20" fillId="17" borderId="16" xfId="5" applyNumberFormat="1" applyFont="1" applyFill="1" applyBorder="1">
      <alignment horizontal="right" vertical="center"/>
    </xf>
    <xf numFmtId="180" fontId="31" fillId="17" borderId="23" xfId="3" applyNumberFormat="1" applyFont="1" applyFill="1" applyBorder="1">
      <alignment horizontal="right" vertical="center"/>
    </xf>
    <xf numFmtId="176" fontId="20" fillId="15" borderId="0" xfId="3" applyFont="1" applyFill="1" applyBorder="1">
      <alignment horizontal="right" vertical="center"/>
    </xf>
    <xf numFmtId="183" fontId="31" fillId="15" borderId="0" xfId="2" applyNumberFormat="1" applyFont="1" applyFill="1" applyBorder="1"/>
    <xf numFmtId="176" fontId="20" fillId="15" borderId="5" xfId="3" applyFont="1" applyFill="1" applyBorder="1">
      <alignment horizontal="right" vertical="center"/>
    </xf>
    <xf numFmtId="183" fontId="31" fillId="0" borderId="0" xfId="2" applyNumberFormat="1" applyFont="1" applyFill="1" applyBorder="1"/>
    <xf numFmtId="176" fontId="31" fillId="17" borderId="7" xfId="3" applyFont="1" applyFill="1" applyBorder="1">
      <alignment horizontal="right" vertical="center"/>
    </xf>
    <xf numFmtId="187" fontId="31" fillId="17" borderId="28" xfId="3" applyNumberFormat="1" applyFont="1" applyFill="1" applyBorder="1">
      <alignment horizontal="right" vertical="center"/>
    </xf>
    <xf numFmtId="188" fontId="31" fillId="17" borderId="28" xfId="3" applyNumberFormat="1" applyFont="1" applyFill="1" applyBorder="1">
      <alignment horizontal="right" vertical="center"/>
    </xf>
    <xf numFmtId="10" fontId="31" fillId="17" borderId="7" xfId="4" applyNumberFormat="1" applyFont="1" applyFill="1" applyBorder="1">
      <alignment horizontal="right"/>
    </xf>
    <xf numFmtId="0" fontId="51" fillId="0" borderId="0" xfId="6" applyFont="1" applyFill="1" applyBorder="1" applyAlignment="1">
      <alignment vertical="center"/>
    </xf>
    <xf numFmtId="14" fontId="31" fillId="15" borderId="0" xfId="2" applyNumberFormat="1" applyFont="1" applyFill="1" applyBorder="1"/>
    <xf numFmtId="14" fontId="51" fillId="0" borderId="0" xfId="6" applyNumberFormat="1" applyFont="1" applyFill="1" applyBorder="1" applyAlignment="1">
      <alignment vertical="center"/>
    </xf>
    <xf numFmtId="0" fontId="51" fillId="0" borderId="0" xfId="6" applyFont="1" applyFill="1" applyBorder="1"/>
    <xf numFmtId="0" fontId="31" fillId="0" borderId="0" xfId="6" applyFont="1" applyFill="1" applyBorder="1"/>
    <xf numFmtId="0" fontId="51" fillId="0" borderId="0" xfId="0" applyFont="1" applyFill="1" applyBorder="1" applyAlignment="1"/>
    <xf numFmtId="191" fontId="31" fillId="15" borderId="0" xfId="2" applyNumberFormat="1" applyFont="1" applyFill="1" applyBorder="1"/>
    <xf numFmtId="191" fontId="51" fillId="0" borderId="0" xfId="0" applyNumberFormat="1" applyFont="1" applyFill="1" applyBorder="1" applyAlignment="1"/>
    <xf numFmtId="191" fontId="51" fillId="0" borderId="0" xfId="0" applyNumberFormat="1" applyFont="1" applyFill="1" applyBorder="1" applyAlignment="1">
      <alignment vertical="center"/>
    </xf>
    <xf numFmtId="0" fontId="51" fillId="0" borderId="0" xfId="6" applyFont="1" applyFill="1" applyBorder="1" applyAlignment="1">
      <alignment horizontal="right" vertical="center"/>
    </xf>
    <xf numFmtId="0" fontId="51" fillId="0" borderId="0" xfId="7" applyFont="1" applyFill="1" applyBorder="1" applyAlignment="1">
      <alignment horizontal="right" vertical="center" wrapText="1"/>
    </xf>
    <xf numFmtId="0" fontId="51" fillId="0" borderId="0" xfId="1" applyNumberFormat="1" applyFont="1" applyFill="1" applyBorder="1">
      <alignment vertical="center"/>
    </xf>
    <xf numFmtId="0" fontId="51" fillId="0" borderId="0" xfId="1" applyNumberFormat="1" applyFont="1" applyFill="1" applyBorder="1" applyAlignment="1">
      <alignment horizontal="right" vertical="center"/>
    </xf>
    <xf numFmtId="0" fontId="57" fillId="15" borderId="0" xfId="2" applyFont="1" applyFill="1" applyBorder="1"/>
    <xf numFmtId="10" fontId="57" fillId="15" borderId="0" xfId="2" applyNumberFormat="1" applyFont="1" applyFill="1" applyBorder="1"/>
    <xf numFmtId="188" fontId="31" fillId="15" borderId="0" xfId="2" applyNumberFormat="1" applyFont="1" applyFill="1" applyBorder="1"/>
    <xf numFmtId="43" fontId="31" fillId="15" borderId="0" xfId="2" applyNumberFormat="1" applyFont="1" applyFill="1" applyBorder="1"/>
    <xf numFmtId="43" fontId="31" fillId="15" borderId="48" xfId="2" applyNumberFormat="1" applyFont="1" applyFill="1" applyBorder="1"/>
    <xf numFmtId="10" fontId="31" fillId="15" borderId="1" xfId="2" applyNumberFormat="1" applyFont="1" applyFill="1" applyBorder="1"/>
    <xf numFmtId="194" fontId="31" fillId="15" borderId="0" xfId="2" applyNumberFormat="1" applyFont="1" applyFill="1" applyBorder="1"/>
    <xf numFmtId="0" fontId="31" fillId="20" borderId="0" xfId="2" applyFont="1" applyFill="1" applyBorder="1"/>
    <xf numFmtId="0" fontId="30" fillId="2" borderId="2" xfId="2" applyFont="1" applyFill="1" applyBorder="1"/>
    <xf numFmtId="0" fontId="20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31" fillId="0" borderId="48" xfId="0" applyFont="1" applyFill="1" applyBorder="1" applyAlignment="1">
      <alignment vertical="center"/>
    </xf>
    <xf numFmtId="0" fontId="31" fillId="0" borderId="36" xfId="0" applyFont="1" applyFill="1" applyBorder="1" applyAlignment="1">
      <alignment vertical="center"/>
    </xf>
    <xf numFmtId="0" fontId="31" fillId="0" borderId="36" xfId="0" applyFont="1" applyFill="1" applyBorder="1" applyAlignment="1">
      <alignment horizontal="left" vertical="center"/>
    </xf>
    <xf numFmtId="0" fontId="31" fillId="0" borderId="0" xfId="0" applyFont="1" applyFill="1" applyAlignment="1">
      <alignment vertical="center"/>
    </xf>
    <xf numFmtId="0" fontId="51" fillId="0" borderId="37" xfId="0" applyFont="1" applyFill="1" applyBorder="1" applyAlignment="1">
      <alignment vertical="center"/>
    </xf>
    <xf numFmtId="0" fontId="51" fillId="0" borderId="15" xfId="0" applyFont="1" applyFill="1" applyBorder="1" applyAlignment="1">
      <alignment vertical="center"/>
    </xf>
    <xf numFmtId="0" fontId="51" fillId="0" borderId="38" xfId="0" applyFont="1" applyFill="1" applyBorder="1" applyAlignment="1">
      <alignment vertical="center"/>
    </xf>
    <xf numFmtId="0" fontId="22" fillId="0" borderId="33" xfId="0" applyFont="1" applyBorder="1" applyAlignment="1">
      <alignment vertical="center"/>
    </xf>
    <xf numFmtId="0" fontId="22" fillId="0" borderId="36" xfId="0" applyFont="1" applyBorder="1" applyAlignment="1">
      <alignment vertical="center"/>
    </xf>
    <xf numFmtId="0" fontId="51" fillId="0" borderId="10" xfId="0" applyFont="1" applyFill="1" applyBorder="1" applyAlignment="1">
      <alignment vertical="center"/>
    </xf>
    <xf numFmtId="0" fontId="51" fillId="0" borderId="31" xfId="0" applyFont="1" applyFill="1" applyBorder="1" applyAlignment="1">
      <alignment vertical="center"/>
    </xf>
    <xf numFmtId="0" fontId="51" fillId="0" borderId="36" xfId="0" applyFont="1" applyFill="1" applyBorder="1" applyAlignment="1">
      <alignment vertical="center"/>
    </xf>
    <xf numFmtId="10" fontId="51" fillId="0" borderId="32" xfId="1" applyNumberFormat="1" applyFont="1" applyFill="1" applyBorder="1" applyAlignment="1">
      <alignment vertical="center"/>
    </xf>
    <xf numFmtId="10" fontId="51" fillId="0" borderId="10" xfId="1" applyNumberFormat="1" applyFont="1" applyFill="1" applyBorder="1" applyAlignment="1">
      <alignment vertical="center"/>
    </xf>
    <xf numFmtId="10" fontId="51" fillId="0" borderId="31" xfId="1" applyNumberFormat="1" applyFont="1" applyFill="1" applyBorder="1" applyAlignment="1">
      <alignment vertical="center"/>
    </xf>
    <xf numFmtId="0" fontId="22" fillId="0" borderId="32" xfId="0" applyFont="1" applyBorder="1" applyAlignment="1">
      <alignment vertical="center"/>
    </xf>
    <xf numFmtId="10" fontId="51" fillId="0" borderId="49" xfId="1" applyNumberFormat="1" applyFont="1" applyFill="1" applyBorder="1" applyAlignment="1">
      <alignment vertical="center"/>
    </xf>
    <xf numFmtId="10" fontId="51" fillId="0" borderId="0" xfId="1" applyNumberFormat="1" applyFont="1" applyFill="1" applyBorder="1" applyAlignment="1">
      <alignment vertical="center"/>
    </xf>
    <xf numFmtId="10" fontId="51" fillId="0" borderId="29" xfId="1" applyNumberFormat="1" applyFont="1" applyFill="1" applyBorder="1" applyAlignment="1">
      <alignment vertical="center"/>
    </xf>
    <xf numFmtId="0" fontId="22" fillId="0" borderId="49" xfId="0" applyFont="1" applyBorder="1" applyAlignment="1">
      <alignment vertical="center"/>
    </xf>
    <xf numFmtId="0" fontId="22" fillId="0" borderId="35" xfId="0" applyFont="1" applyBorder="1" applyAlignment="1">
      <alignment vertical="center"/>
    </xf>
    <xf numFmtId="10" fontId="51" fillId="0" borderId="37" xfId="1" applyNumberFormat="1" applyFont="1" applyFill="1" applyBorder="1" applyAlignment="1">
      <alignment vertical="center"/>
    </xf>
    <xf numFmtId="10" fontId="51" fillId="0" borderId="15" xfId="1" applyNumberFormat="1" applyFont="1" applyFill="1" applyBorder="1" applyAlignment="1">
      <alignment vertical="center"/>
    </xf>
    <xf numFmtId="10" fontId="51" fillId="0" borderId="38" xfId="1" applyNumberFormat="1" applyFont="1" applyFill="1" applyBorder="1" applyAlignment="1">
      <alignment vertical="center"/>
    </xf>
    <xf numFmtId="0" fontId="22" fillId="0" borderId="37" xfId="0" applyFont="1" applyBorder="1" applyAlignment="1">
      <alignment vertical="center"/>
    </xf>
    <xf numFmtId="10" fontId="51" fillId="0" borderId="35" xfId="1" applyNumberFormat="1" applyFont="1" applyFill="1" applyBorder="1" applyAlignment="1">
      <alignment vertical="center"/>
    </xf>
    <xf numFmtId="10" fontId="51" fillId="0" borderId="1" xfId="1" applyNumberFormat="1" applyFont="1" applyFill="1" applyBorder="1" applyAlignment="1">
      <alignment vertical="center"/>
    </xf>
    <xf numFmtId="10" fontId="51" fillId="0" borderId="30" xfId="1" applyNumberFormat="1" applyFont="1" applyFill="1" applyBorder="1" applyAlignment="1">
      <alignment vertical="center"/>
    </xf>
    <xf numFmtId="0" fontId="22" fillId="0" borderId="48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2" fillId="0" borderId="34" xfId="0" applyFont="1" applyBorder="1" applyAlignment="1">
      <alignment vertical="center"/>
    </xf>
    <xf numFmtId="0" fontId="22" fillId="0" borderId="51" xfId="0" applyFont="1" applyFill="1" applyBorder="1" applyAlignment="1">
      <alignment horizontal="left" vertical="center" wrapText="1"/>
    </xf>
    <xf numFmtId="0" fontId="22" fillId="0" borderId="52" xfId="0" applyFont="1" applyFill="1" applyBorder="1" applyAlignment="1">
      <alignment horizontal="left" vertical="center" wrapText="1"/>
    </xf>
    <xf numFmtId="0" fontId="22" fillId="0" borderId="53" xfId="0" applyFont="1" applyFill="1" applyBorder="1" applyAlignment="1">
      <alignment horizontal="left" vertical="center" wrapText="1"/>
    </xf>
    <xf numFmtId="0" fontId="51" fillId="0" borderId="15" xfId="0" applyFont="1" applyFill="1" applyBorder="1" applyAlignment="1">
      <alignment horizontal="right" vertical="center"/>
    </xf>
    <xf numFmtId="0" fontId="51" fillId="0" borderId="36" xfId="0" applyFont="1" applyFill="1" applyBorder="1" applyAlignment="1">
      <alignment horizontal="right" vertical="center"/>
    </xf>
    <xf numFmtId="0" fontId="22" fillId="0" borderId="50" xfId="0" applyFont="1" applyFill="1" applyBorder="1" applyAlignment="1">
      <alignment vertical="center"/>
    </xf>
    <xf numFmtId="195" fontId="51" fillId="0" borderId="10" xfId="0" applyNumberFormat="1" applyFont="1" applyFill="1" applyBorder="1" applyAlignment="1">
      <alignment vertical="center"/>
    </xf>
    <xf numFmtId="195" fontId="51" fillId="0" borderId="50" xfId="0" applyNumberFormat="1" applyFont="1" applyFill="1" applyBorder="1" applyAlignment="1">
      <alignment vertical="center"/>
    </xf>
    <xf numFmtId="0" fontId="22" fillId="0" borderId="33" xfId="0" applyFont="1" applyFill="1" applyBorder="1" applyAlignment="1">
      <alignment vertical="center"/>
    </xf>
    <xf numFmtId="195" fontId="51" fillId="0" borderId="0" xfId="0" applyNumberFormat="1" applyFont="1" applyFill="1" applyBorder="1" applyAlignment="1">
      <alignment vertical="center"/>
    </xf>
    <xf numFmtId="195" fontId="51" fillId="0" borderId="33" xfId="0" applyNumberFormat="1" applyFont="1" applyFill="1" applyBorder="1" applyAlignment="1">
      <alignment vertical="center"/>
    </xf>
    <xf numFmtId="0" fontId="22" fillId="0" borderId="34" xfId="0" applyFont="1" applyFill="1" applyBorder="1" applyAlignment="1">
      <alignment vertical="center"/>
    </xf>
    <xf numFmtId="195" fontId="51" fillId="0" borderId="1" xfId="0" applyNumberFormat="1" applyFont="1" applyFill="1" applyBorder="1" applyAlignment="1">
      <alignment vertical="center"/>
    </xf>
    <xf numFmtId="195" fontId="51" fillId="0" borderId="34" xfId="0" applyNumberFormat="1" applyFont="1" applyFill="1" applyBorder="1" applyAlignment="1">
      <alignment vertical="center"/>
    </xf>
    <xf numFmtId="0" fontId="22" fillId="0" borderId="36" xfId="0" applyFont="1" applyFill="1" applyBorder="1" applyAlignment="1">
      <alignment vertical="center"/>
    </xf>
    <xf numFmtId="183" fontId="51" fillId="0" borderId="0" xfId="0" applyNumberFormat="1" applyFont="1" applyFill="1" applyBorder="1" applyAlignment="1">
      <alignment vertical="center"/>
    </xf>
    <xf numFmtId="183" fontId="51" fillId="0" borderId="33" xfId="0" applyNumberFormat="1" applyFont="1" applyFill="1" applyBorder="1" applyAlignment="1">
      <alignment vertical="center"/>
    </xf>
    <xf numFmtId="0" fontId="22" fillId="0" borderId="32" xfId="0" applyFont="1" applyFill="1" applyBorder="1" applyAlignment="1">
      <alignment vertical="center"/>
    </xf>
    <xf numFmtId="0" fontId="22" fillId="0" borderId="49" xfId="0" applyFont="1" applyFill="1" applyBorder="1" applyAlignment="1">
      <alignment vertical="center"/>
    </xf>
    <xf numFmtId="195" fontId="51" fillId="0" borderId="15" xfId="0" applyNumberFormat="1" applyFont="1" applyFill="1" applyBorder="1" applyAlignment="1">
      <alignment vertical="center"/>
    </xf>
    <xf numFmtId="195" fontId="51" fillId="0" borderId="36" xfId="0" applyNumberFormat="1" applyFont="1" applyFill="1" applyBorder="1" applyAlignment="1">
      <alignment vertical="center"/>
    </xf>
    <xf numFmtId="0" fontId="22" fillId="0" borderId="35" xfId="0" applyFont="1" applyFill="1" applyBorder="1" applyAlignment="1">
      <alignment vertical="center"/>
    </xf>
    <xf numFmtId="0" fontId="22" fillId="0" borderId="37" xfId="0" applyFont="1" applyFill="1" applyBorder="1" applyAlignment="1">
      <alignment vertical="center"/>
    </xf>
    <xf numFmtId="0" fontId="22" fillId="13" borderId="36" xfId="0" applyFont="1" applyFill="1" applyBorder="1" applyAlignment="1">
      <alignment vertical="center"/>
    </xf>
    <xf numFmtId="0" fontId="51" fillId="0" borderId="38" xfId="0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vertical="center"/>
    </xf>
    <xf numFmtId="10" fontId="51" fillId="0" borderId="29" xfId="1" quotePrefix="1" applyNumberFormat="1" applyFont="1" applyFill="1" applyBorder="1" applyAlignment="1">
      <alignment vertical="center"/>
    </xf>
    <xf numFmtId="10" fontId="51" fillId="0" borderId="1" xfId="1" quotePrefix="1" applyNumberFormat="1" applyFont="1" applyFill="1" applyBorder="1" applyAlignment="1">
      <alignment vertical="center"/>
    </xf>
    <xf numFmtId="10" fontId="51" fillId="0" borderId="30" xfId="1" quotePrefix="1" applyNumberFormat="1" applyFont="1" applyFill="1" applyBorder="1" applyAlignment="1">
      <alignment vertical="center"/>
    </xf>
    <xf numFmtId="196" fontId="51" fillId="0" borderId="15" xfId="1" quotePrefix="1" applyNumberFormat="1" applyFont="1" applyFill="1" applyBorder="1" applyAlignment="1">
      <alignment horizontal="right" vertical="center"/>
    </xf>
    <xf numFmtId="196" fontId="51" fillId="0" borderId="38" xfId="1" quotePrefix="1" applyNumberFormat="1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horizontal="right" vertical="center"/>
    </xf>
    <xf numFmtId="10" fontId="51" fillId="0" borderId="29" xfId="1" quotePrefix="1" applyNumberFormat="1" applyFont="1" applyFill="1" applyBorder="1" applyAlignment="1">
      <alignment horizontal="right" vertical="center"/>
    </xf>
    <xf numFmtId="10" fontId="51" fillId="0" borderId="1" xfId="1" quotePrefix="1" applyNumberFormat="1" applyFont="1" applyFill="1" applyBorder="1" applyAlignment="1">
      <alignment horizontal="right" vertical="center"/>
    </xf>
    <xf numFmtId="10" fontId="51" fillId="0" borderId="30" xfId="1" quotePrefix="1" applyNumberFormat="1" applyFont="1" applyFill="1" applyBorder="1" applyAlignment="1">
      <alignment horizontal="right" vertical="center"/>
    </xf>
    <xf numFmtId="0" fontId="22" fillId="0" borderId="33" xfId="7" applyFont="1" applyBorder="1" applyAlignment="1">
      <alignment vertical="center" wrapText="1"/>
    </xf>
    <xf numFmtId="0" fontId="22" fillId="0" borderId="34" xfId="7" applyFont="1" applyBorder="1" applyAlignment="1">
      <alignment vertical="center"/>
    </xf>
    <xf numFmtId="0" fontId="60" fillId="0" borderId="36" xfId="0" applyFont="1" applyFill="1" applyBorder="1" applyAlignment="1">
      <alignment vertical="center"/>
    </xf>
    <xf numFmtId="0" fontId="20" fillId="11" borderId="0" xfId="2" applyFont="1" applyFill="1"/>
    <xf numFmtId="0" fontId="51" fillId="0" borderId="0" xfId="0" applyFont="1" applyFill="1" applyBorder="1" applyAlignment="1">
      <alignment horizontal="center" vertical="center"/>
    </xf>
    <xf numFmtId="0" fontId="51" fillId="14" borderId="0" xfId="0" applyFont="1" applyFill="1" applyBorder="1" applyAlignment="1">
      <alignment horizontal="center" vertical="center"/>
    </xf>
    <xf numFmtId="0" fontId="51" fillId="14" borderId="29" xfId="0" applyFont="1" applyFill="1" applyBorder="1" applyAlignment="1">
      <alignment horizontal="center" vertical="center"/>
    </xf>
    <xf numFmtId="10" fontId="51" fillId="0" borderId="29" xfId="1" applyNumberFormat="1" applyFont="1" applyFill="1" applyBorder="1">
      <alignment vertical="center"/>
    </xf>
    <xf numFmtId="10" fontId="51" fillId="0" borderId="0" xfId="1" applyNumberFormat="1" applyFont="1" applyFill="1" applyBorder="1">
      <alignment vertical="center"/>
    </xf>
    <xf numFmtId="9" fontId="51" fillId="0" borderId="0" xfId="1" applyNumberFormat="1" applyFont="1" applyFill="1" applyBorder="1">
      <alignment vertical="center"/>
    </xf>
    <xf numFmtId="9" fontId="51" fillId="0" borderId="0" xfId="1" applyFont="1" applyFill="1" applyBorder="1">
      <alignment vertical="center"/>
    </xf>
    <xf numFmtId="0" fontId="51" fillId="14" borderId="0" xfId="0" applyFont="1" applyFill="1" applyBorder="1" applyAlignment="1">
      <alignment vertical="center"/>
    </xf>
    <xf numFmtId="188" fontId="51" fillId="14" borderId="0" xfId="0" applyNumberFormat="1" applyFont="1" applyFill="1" applyBorder="1" applyAlignment="1">
      <alignment horizontal="center" vertical="center"/>
    </xf>
    <xf numFmtId="9" fontId="51" fillId="14" borderId="29" xfId="1" applyNumberFormat="1" applyFont="1" applyFill="1" applyBorder="1" applyAlignment="1">
      <alignment horizontal="center" vertical="center"/>
    </xf>
    <xf numFmtId="192" fontId="51" fillId="14" borderId="0" xfId="0" applyNumberFormat="1" applyFont="1" applyFill="1" applyBorder="1" applyAlignment="1">
      <alignment horizontal="center" vertical="center"/>
    </xf>
    <xf numFmtId="9" fontId="51" fillId="14" borderId="0" xfId="1" applyFont="1" applyFill="1" applyBorder="1" applyAlignment="1">
      <alignment horizontal="center" vertical="center"/>
    </xf>
    <xf numFmtId="0" fontId="51" fillId="15" borderId="0" xfId="0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vertical="center"/>
    </xf>
    <xf numFmtId="10" fontId="51" fillId="15" borderId="0" xfId="0" applyNumberFormat="1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horizontal="right" vertical="center"/>
    </xf>
    <xf numFmtId="2" fontId="51" fillId="0" borderId="0" xfId="0" applyNumberFormat="1" applyFont="1" applyFill="1" applyBorder="1" applyAlignment="1">
      <alignment horizontal="right" vertical="center"/>
    </xf>
    <xf numFmtId="10" fontId="51" fillId="0" borderId="0" xfId="1" applyNumberFormat="1" applyFont="1" applyFill="1" applyBorder="1" applyAlignment="1">
      <alignment horizontal="right" vertical="center"/>
    </xf>
    <xf numFmtId="0" fontId="51" fillId="0" borderId="48" xfId="0" applyFont="1" applyFill="1" applyBorder="1" applyAlignment="1">
      <alignment vertical="center"/>
    </xf>
    <xf numFmtId="0" fontId="51" fillId="0" borderId="50" xfId="0" applyFont="1" applyFill="1" applyBorder="1" applyAlignment="1">
      <alignment vertical="center"/>
    </xf>
    <xf numFmtId="0" fontId="51" fillId="0" borderId="32" xfId="0" applyFont="1" applyFill="1" applyBorder="1" applyAlignment="1">
      <alignment horizontal="right" vertical="center"/>
    </xf>
    <xf numFmtId="0" fontId="51" fillId="0" borderId="50" xfId="0" applyFont="1" applyFill="1" applyBorder="1" applyAlignment="1">
      <alignment horizontal="right" vertical="center"/>
    </xf>
    <xf numFmtId="0" fontId="51" fillId="0" borderId="31" xfId="0" applyFont="1" applyFill="1" applyBorder="1" applyAlignment="1">
      <alignment horizontal="right" vertical="center"/>
    </xf>
    <xf numFmtId="43" fontId="51" fillId="0" borderId="32" xfId="8" applyFont="1" applyFill="1" applyBorder="1" applyAlignment="1">
      <alignment horizontal="right" vertical="center"/>
    </xf>
    <xf numFmtId="43" fontId="51" fillId="0" borderId="50" xfId="8" applyFont="1" applyFill="1" applyBorder="1" applyAlignment="1">
      <alignment horizontal="right" vertical="center"/>
    </xf>
    <xf numFmtId="10" fontId="51" fillId="0" borderId="50" xfId="1" applyNumberFormat="1" applyFont="1" applyFill="1" applyBorder="1" applyAlignment="1">
      <alignment horizontal="right" vertical="center"/>
    </xf>
    <xf numFmtId="0" fontId="51" fillId="0" borderId="33" xfId="0" applyFont="1" applyFill="1" applyBorder="1" applyAlignment="1">
      <alignment vertical="center"/>
    </xf>
    <xf numFmtId="43" fontId="51" fillId="0" borderId="49" xfId="8" applyFont="1" applyFill="1" applyBorder="1" applyAlignment="1">
      <alignment horizontal="right" vertical="center"/>
    </xf>
    <xf numFmtId="43" fontId="51" fillId="0" borderId="33" xfId="8" applyFont="1" applyFill="1" applyBorder="1" applyAlignment="1">
      <alignment horizontal="right" vertical="center"/>
    </xf>
    <xf numFmtId="10" fontId="51" fillId="0" borderId="33" xfId="1" applyNumberFormat="1" applyFont="1" applyFill="1" applyBorder="1" applyAlignment="1">
      <alignment horizontal="right" vertical="center"/>
    </xf>
    <xf numFmtId="0" fontId="51" fillId="0" borderId="34" xfId="0" applyFont="1" applyFill="1" applyBorder="1" applyAlignment="1">
      <alignment vertical="center"/>
    </xf>
    <xf numFmtId="43" fontId="51" fillId="0" borderId="35" xfId="8" applyFont="1" applyFill="1" applyBorder="1" applyAlignment="1">
      <alignment horizontal="right" vertical="center"/>
    </xf>
    <xf numFmtId="43" fontId="51" fillId="0" borderId="34" xfId="8" applyFont="1" applyFill="1" applyBorder="1" applyAlignment="1">
      <alignment horizontal="right" vertical="center"/>
    </xf>
    <xf numFmtId="10" fontId="51" fillId="0" borderId="34" xfId="1" applyNumberFormat="1" applyFont="1" applyFill="1" applyBorder="1" applyAlignment="1">
      <alignment horizontal="right" vertical="center"/>
    </xf>
    <xf numFmtId="43" fontId="51" fillId="0" borderId="37" xfId="8" applyFont="1" applyFill="1" applyBorder="1" applyAlignment="1">
      <alignment horizontal="right" vertical="center"/>
    </xf>
    <xf numFmtId="43" fontId="51" fillId="0" borderId="36" xfId="8" applyFont="1" applyFill="1" applyBorder="1" applyAlignment="1">
      <alignment horizontal="right" vertical="center"/>
    </xf>
    <xf numFmtId="10" fontId="51" fillId="0" borderId="29" xfId="1" applyNumberFormat="1" applyFont="1" applyFill="1" applyBorder="1" applyAlignment="1">
      <alignment horizontal="right" vertical="center"/>
    </xf>
    <xf numFmtId="10" fontId="51" fillId="0" borderId="36" xfId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vertical="center"/>
    </xf>
    <xf numFmtId="0" fontId="51" fillId="0" borderId="49" xfId="0" applyFont="1" applyFill="1" applyBorder="1" applyAlignment="1">
      <alignment vertical="center"/>
    </xf>
    <xf numFmtId="0" fontId="51" fillId="0" borderId="35" xfId="0" applyFont="1" applyFill="1" applyBorder="1" applyAlignment="1">
      <alignment vertical="center"/>
    </xf>
    <xf numFmtId="43" fontId="51" fillId="0" borderId="31" xfId="0" applyNumberFormat="1" applyFont="1" applyFill="1" applyBorder="1" applyAlignment="1">
      <alignment horizontal="right" vertical="center"/>
    </xf>
    <xf numFmtId="43" fontId="51" fillId="0" borderId="30" xfId="0" applyNumberFormat="1" applyFont="1" applyFill="1" applyBorder="1" applyAlignment="1">
      <alignment horizontal="right" vertical="center"/>
    </xf>
    <xf numFmtId="10" fontId="51" fillId="0" borderId="50" xfId="0" applyNumberFormat="1" applyFont="1" applyFill="1" applyBorder="1" applyAlignment="1">
      <alignment vertical="center"/>
    </xf>
    <xf numFmtId="10" fontId="51" fillId="0" borderId="34" xfId="0" applyNumberFormat="1" applyFont="1" applyFill="1" applyBorder="1" applyAlignment="1">
      <alignment vertical="center"/>
    </xf>
    <xf numFmtId="195" fontId="51" fillId="0" borderId="31" xfId="0" applyNumberFormat="1" applyFont="1" applyFill="1" applyBorder="1" applyAlignment="1">
      <alignment vertical="center"/>
    </xf>
    <xf numFmtId="183" fontId="51" fillId="0" borderId="50" xfId="0" applyNumberFormat="1" applyFont="1" applyFill="1" applyBorder="1" applyAlignment="1">
      <alignment vertical="center"/>
    </xf>
    <xf numFmtId="195" fontId="51" fillId="0" borderId="29" xfId="0" applyNumberFormat="1" applyFont="1" applyFill="1" applyBorder="1" applyAlignment="1">
      <alignment vertical="center"/>
    </xf>
    <xf numFmtId="183" fontId="51" fillId="0" borderId="36" xfId="0" applyNumberFormat="1" applyFont="1" applyFill="1" applyBorder="1" applyAlignment="1">
      <alignment vertical="center"/>
    </xf>
    <xf numFmtId="183" fontId="51" fillId="0" borderId="31" xfId="0" applyNumberFormat="1" applyFont="1" applyFill="1" applyBorder="1" applyAlignment="1">
      <alignment vertical="center"/>
    </xf>
    <xf numFmtId="183" fontId="51" fillId="0" borderId="30" xfId="0" applyNumberFormat="1" applyFont="1" applyFill="1" applyBorder="1" applyAlignment="1">
      <alignment vertical="center"/>
    </xf>
    <xf numFmtId="10" fontId="51" fillId="0" borderId="50" xfId="1" applyNumberFormat="1" applyFont="1" applyFill="1" applyBorder="1" applyAlignment="1">
      <alignment vertical="center"/>
    </xf>
    <xf numFmtId="10" fontId="51" fillId="0" borderId="29" xfId="0" applyNumberFormat="1" applyFont="1" applyFill="1" applyBorder="1" applyAlignment="1">
      <alignment vertical="center"/>
    </xf>
    <xf numFmtId="10" fontId="51" fillId="0" borderId="33" xfId="1" applyNumberFormat="1" applyFont="1" applyFill="1" applyBorder="1" applyAlignment="1">
      <alignment vertical="center"/>
    </xf>
    <xf numFmtId="10" fontId="51" fillId="0" borderId="33" xfId="0" applyNumberFormat="1" applyFont="1" applyFill="1" applyBorder="1" applyAlignment="1">
      <alignment vertical="center"/>
    </xf>
    <xf numFmtId="10" fontId="51" fillId="0" borderId="34" xfId="1" applyNumberFormat="1" applyFont="1" applyFill="1" applyBorder="1" applyAlignment="1">
      <alignment vertical="center"/>
    </xf>
    <xf numFmtId="10" fontId="51" fillId="0" borderId="30" xfId="0" applyNumberFormat="1" applyFont="1" applyFill="1" applyBorder="1" applyAlignment="1">
      <alignment vertical="center"/>
    </xf>
    <xf numFmtId="10" fontId="51" fillId="0" borderId="15" xfId="1" applyNumberFormat="1" applyFont="1" applyFill="1" applyBorder="1">
      <alignment vertical="center"/>
    </xf>
    <xf numFmtId="10" fontId="51" fillId="0" borderId="38" xfId="1" applyNumberFormat="1" applyFont="1" applyFill="1" applyBorder="1">
      <alignment vertical="center"/>
    </xf>
    <xf numFmtId="10" fontId="51" fillId="0" borderId="37" xfId="1" applyNumberFormat="1" applyFont="1" applyFill="1" applyBorder="1">
      <alignment vertical="center"/>
    </xf>
    <xf numFmtId="10" fontId="51" fillId="0" borderId="36" xfId="1" applyNumberFormat="1" applyFont="1" applyFill="1" applyBorder="1">
      <alignment vertical="center"/>
    </xf>
    <xf numFmtId="10" fontId="51" fillId="0" borderId="10" xfId="1" applyNumberFormat="1" applyFont="1" applyFill="1" applyBorder="1">
      <alignment vertical="center"/>
    </xf>
    <xf numFmtId="10" fontId="51" fillId="0" borderId="31" xfId="1" applyNumberFormat="1" applyFont="1" applyFill="1" applyBorder="1">
      <alignment vertical="center"/>
    </xf>
    <xf numFmtId="10" fontId="51" fillId="0" borderId="32" xfId="1" applyNumberFormat="1" applyFont="1" applyFill="1" applyBorder="1">
      <alignment vertical="center"/>
    </xf>
    <xf numFmtId="10" fontId="51" fillId="0" borderId="50" xfId="1" applyNumberFormat="1" applyFont="1" applyFill="1" applyBorder="1">
      <alignment vertical="center"/>
    </xf>
    <xf numFmtId="10" fontId="51" fillId="0" borderId="31" xfId="0" applyNumberFormat="1" applyFont="1" applyFill="1" applyBorder="1" applyAlignment="1">
      <alignment vertical="center"/>
    </xf>
    <xf numFmtId="10" fontId="51" fillId="0" borderId="1" xfId="1" applyNumberFormat="1" applyFont="1" applyFill="1" applyBorder="1">
      <alignment vertical="center"/>
    </xf>
    <xf numFmtId="10" fontId="51" fillId="0" borderId="30" xfId="1" applyNumberFormat="1" applyFont="1" applyFill="1" applyBorder="1">
      <alignment vertical="center"/>
    </xf>
    <xf numFmtId="10" fontId="51" fillId="0" borderId="35" xfId="1" applyNumberFormat="1" applyFont="1" applyFill="1" applyBorder="1">
      <alignment vertical="center"/>
    </xf>
    <xf numFmtId="10" fontId="51" fillId="0" borderId="34" xfId="1" applyNumberFormat="1" applyFont="1" applyFill="1" applyBorder="1">
      <alignment vertical="center"/>
    </xf>
    <xf numFmtId="0" fontId="51" fillId="0" borderId="37" xfId="0" applyFont="1" applyFill="1" applyBorder="1" applyAlignment="1">
      <alignment horizontal="right" vertical="center"/>
    </xf>
    <xf numFmtId="195" fontId="51" fillId="0" borderId="32" xfId="0" applyNumberFormat="1" applyFont="1" applyFill="1" applyBorder="1" applyAlignment="1">
      <alignment vertical="center"/>
    </xf>
    <xf numFmtId="183" fontId="51" fillId="0" borderId="29" xfId="0" applyNumberFormat="1" applyFont="1" applyFill="1" applyBorder="1" applyAlignment="1">
      <alignment vertical="center"/>
    </xf>
    <xf numFmtId="195" fontId="51" fillId="0" borderId="49" xfId="0" applyNumberFormat="1" applyFont="1" applyFill="1" applyBorder="1" applyAlignment="1">
      <alignment vertical="center"/>
    </xf>
    <xf numFmtId="195" fontId="51" fillId="0" borderId="35" xfId="0" applyNumberFormat="1" applyFont="1" applyFill="1" applyBorder="1" applyAlignment="1">
      <alignment vertical="center"/>
    </xf>
    <xf numFmtId="183" fontId="51" fillId="0" borderId="10" xfId="0" applyNumberFormat="1" applyFont="1" applyFill="1" applyBorder="1" applyAlignment="1">
      <alignment vertical="center"/>
    </xf>
    <xf numFmtId="183" fontId="51" fillId="0" borderId="15" xfId="0" applyNumberFormat="1" applyFont="1" applyFill="1" applyBorder="1" applyAlignment="1">
      <alignment vertical="center"/>
    </xf>
    <xf numFmtId="183" fontId="51" fillId="0" borderId="38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vertical="center"/>
    </xf>
    <xf numFmtId="0" fontId="51" fillId="0" borderId="30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10" fontId="38" fillId="0" borderId="0" xfId="0" applyNumberFormat="1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14" fontId="51" fillId="0" borderId="15" xfId="0" applyNumberFormat="1" applyFont="1" applyFill="1" applyBorder="1" applyAlignment="1">
      <alignment horizontal="right" vertical="center"/>
    </xf>
    <xf numFmtId="14" fontId="51" fillId="0" borderId="38" xfId="0" applyNumberFormat="1" applyFont="1" applyFill="1" applyBorder="1" applyAlignment="1">
      <alignment horizontal="right" vertical="center"/>
    </xf>
    <xf numFmtId="0" fontId="51" fillId="16" borderId="36" xfId="0" applyFont="1" applyFill="1" applyBorder="1" applyAlignment="1">
      <alignment vertical="center"/>
    </xf>
    <xf numFmtId="10" fontId="51" fillId="16" borderId="37" xfId="0" applyNumberFormat="1" applyFont="1" applyFill="1" applyBorder="1" applyAlignment="1">
      <alignment vertical="center"/>
    </xf>
    <xf numFmtId="10" fontId="51" fillId="16" borderId="15" xfId="0" applyNumberFormat="1" applyFont="1" applyFill="1" applyBorder="1" applyAlignment="1">
      <alignment vertical="center"/>
    </xf>
    <xf numFmtId="10" fontId="51" fillId="16" borderId="38" xfId="0" applyNumberFormat="1" applyFont="1" applyFill="1" applyBorder="1" applyAlignment="1">
      <alignment vertical="center"/>
    </xf>
    <xf numFmtId="10" fontId="51" fillId="16" borderId="36" xfId="0" applyNumberFormat="1" applyFont="1" applyFill="1" applyBorder="1" applyAlignment="1">
      <alignment vertical="center"/>
    </xf>
    <xf numFmtId="186" fontId="51" fillId="0" borderId="0" xfId="0" applyNumberFormat="1" applyFont="1" applyFill="1" applyBorder="1" applyAlignment="1">
      <alignment vertical="center"/>
    </xf>
    <xf numFmtId="0" fontId="51" fillId="12" borderId="36" xfId="0" applyFont="1" applyFill="1" applyBorder="1" applyAlignment="1">
      <alignment vertical="center"/>
    </xf>
    <xf numFmtId="0" fontId="53" fillId="0" borderId="37" xfId="0" applyFont="1" applyFill="1" applyBorder="1" applyAlignment="1">
      <alignment horizontal="left" vertical="center"/>
    </xf>
    <xf numFmtId="188" fontId="51" fillId="0" borderId="15" xfId="1" quotePrefix="1" applyNumberFormat="1" applyFont="1" applyFill="1" applyBorder="1" applyAlignment="1">
      <alignment horizontal="right" vertical="center"/>
    </xf>
    <xf numFmtId="188" fontId="51" fillId="0" borderId="38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horizontal="left" vertical="center"/>
    </xf>
    <xf numFmtId="188" fontId="51" fillId="0" borderId="10" xfId="1" quotePrefix="1" applyNumberFormat="1" applyFont="1" applyFill="1" applyBorder="1" applyAlignment="1">
      <alignment horizontal="right" vertical="center"/>
    </xf>
    <xf numFmtId="192" fontId="51" fillId="0" borderId="31" xfId="1" quotePrefix="1" applyNumberFormat="1" applyFont="1" applyFill="1" applyBorder="1" applyAlignment="1">
      <alignment horizontal="right" vertical="center"/>
    </xf>
    <xf numFmtId="0" fontId="51" fillId="0" borderId="49" xfId="0" applyFont="1" applyFill="1" applyBorder="1" applyAlignment="1">
      <alignment horizontal="left" vertical="center"/>
    </xf>
    <xf numFmtId="192" fontId="51" fillId="0" borderId="29" xfId="1" quotePrefix="1" applyNumberFormat="1" applyFont="1" applyFill="1" applyBorder="1" applyAlignment="1">
      <alignment horizontal="right" vertical="center"/>
    </xf>
    <xf numFmtId="0" fontId="51" fillId="0" borderId="35" xfId="0" applyFont="1" applyFill="1" applyBorder="1" applyAlignment="1">
      <alignment horizontal="left" vertical="center"/>
    </xf>
    <xf numFmtId="188" fontId="51" fillId="0" borderId="1" xfId="1" quotePrefix="1" applyNumberFormat="1" applyFont="1" applyFill="1" applyBorder="1" applyAlignment="1">
      <alignment horizontal="right" vertical="center"/>
    </xf>
    <xf numFmtId="192" fontId="51" fillId="0" borderId="30" xfId="1" quotePrefix="1" applyNumberFormat="1" applyFont="1" applyFill="1" applyBorder="1" applyAlignment="1">
      <alignment horizontal="right" vertical="center"/>
    </xf>
    <xf numFmtId="192" fontId="51" fillId="0" borderId="0" xfId="1" quotePrefix="1" applyNumberFormat="1" applyFont="1" applyFill="1" applyBorder="1" applyAlignment="1">
      <alignment horizontal="right" vertical="center"/>
    </xf>
    <xf numFmtId="0" fontId="53" fillId="0" borderId="49" xfId="0" applyFont="1" applyFill="1" applyBorder="1" applyAlignment="1">
      <alignment vertical="center"/>
    </xf>
    <xf numFmtId="188" fontId="51" fillId="0" borderId="29" xfId="1" quotePrefix="1" applyNumberFormat="1" applyFont="1" applyFill="1" applyBorder="1" applyAlignment="1">
      <alignment horizontal="right" vertical="center"/>
    </xf>
    <xf numFmtId="188" fontId="51" fillId="0" borderId="30" xfId="1" quotePrefix="1" applyNumberFormat="1" applyFont="1" applyFill="1" applyBorder="1" applyAlignment="1">
      <alignment horizontal="right" vertical="center"/>
    </xf>
    <xf numFmtId="0" fontId="51" fillId="0" borderId="0" xfId="2" applyFont="1" applyFill="1" applyBorder="1" applyAlignment="1">
      <alignment horizontal="right"/>
    </xf>
    <xf numFmtId="0" fontId="51" fillId="0" borderId="0" xfId="2" applyFont="1" applyFill="1" applyBorder="1" applyAlignment="1">
      <alignment vertical="center"/>
    </xf>
    <xf numFmtId="10" fontId="51" fillId="0" borderId="0" xfId="2" applyNumberFormat="1" applyFont="1" applyFill="1" applyBorder="1" applyAlignment="1"/>
    <xf numFmtId="10" fontId="51" fillId="0" borderId="0" xfId="2" applyNumberFormat="1" applyFont="1" applyFill="1" applyBorder="1" applyAlignment="1">
      <alignment vertical="center"/>
    </xf>
    <xf numFmtId="10" fontId="51" fillId="16" borderId="0" xfId="1" applyNumberFormat="1" applyFont="1" applyFill="1" applyBorder="1">
      <alignment vertical="center"/>
    </xf>
    <xf numFmtId="0" fontId="51" fillId="0" borderId="1" xfId="2" applyFont="1" applyFill="1" applyBorder="1" applyAlignment="1">
      <alignment vertical="center"/>
    </xf>
    <xf numFmtId="0" fontId="51" fillId="0" borderId="36" xfId="2" applyFont="1" applyFill="1" applyBorder="1" applyAlignment="1">
      <alignment vertical="center"/>
    </xf>
    <xf numFmtId="0" fontId="51" fillId="0" borderId="36" xfId="2" applyFont="1" applyFill="1" applyBorder="1" applyAlignment="1"/>
    <xf numFmtId="10" fontId="51" fillId="0" borderId="36" xfId="2" applyNumberFormat="1" applyFont="1" applyFill="1" applyBorder="1" applyAlignment="1">
      <alignment vertical="center"/>
    </xf>
    <xf numFmtId="0" fontId="51" fillId="0" borderId="36" xfId="2" applyNumberFormat="1" applyFont="1" applyFill="1" applyBorder="1" applyAlignment="1" applyProtection="1">
      <alignment vertical="center"/>
    </xf>
    <xf numFmtId="10" fontId="51" fillId="0" borderId="36" xfId="1" applyNumberFormat="1" applyFont="1" applyFill="1" applyBorder="1" applyAlignment="1">
      <alignment vertical="center"/>
    </xf>
    <xf numFmtId="10" fontId="51" fillId="0" borderId="36" xfId="2" applyNumberFormat="1" applyFont="1" applyFill="1" applyBorder="1" applyAlignment="1"/>
    <xf numFmtId="0" fontId="51" fillId="0" borderId="36" xfId="2" applyNumberFormat="1" applyFont="1" applyFill="1" applyBorder="1" applyAlignment="1"/>
    <xf numFmtId="2" fontId="51" fillId="0" borderId="36" xfId="2" applyNumberFormat="1" applyFont="1" applyFill="1" applyBorder="1" applyAlignment="1">
      <alignment vertical="center"/>
    </xf>
    <xf numFmtId="0" fontId="51" fillId="0" borderId="36" xfId="2" applyFont="1" applyFill="1" applyBorder="1" applyAlignment="1">
      <alignment horizontal="left" indent="1"/>
    </xf>
    <xf numFmtId="0" fontId="51" fillId="0" borderId="33" xfId="2" applyFont="1" applyFill="1" applyBorder="1" applyAlignment="1"/>
    <xf numFmtId="10" fontId="51" fillId="0" borderId="29" xfId="4" applyNumberFormat="1" applyFont="1" applyFill="1" applyBorder="1" applyAlignment="1">
      <alignment vertical="center"/>
    </xf>
    <xf numFmtId="0" fontId="51" fillId="0" borderId="10" xfId="0" applyFont="1" applyFill="1" applyBorder="1" applyAlignment="1">
      <alignment horizontal="right" vertical="center"/>
    </xf>
    <xf numFmtId="0" fontId="51" fillId="0" borderId="37" xfId="0" applyFont="1" applyFill="1" applyBorder="1" applyAlignment="1">
      <alignment horizontal="left" vertical="center" wrapText="1"/>
    </xf>
    <xf numFmtId="0" fontId="51" fillId="16" borderId="15" xfId="0" applyFont="1" applyFill="1" applyBorder="1" applyAlignment="1">
      <alignment horizontal="right" vertical="center" wrapText="1"/>
    </xf>
    <xf numFmtId="0" fontId="51" fillId="16" borderId="38" xfId="0" applyFont="1" applyFill="1" applyBorder="1" applyAlignment="1">
      <alignment horizontal="right" vertical="center" wrapText="1"/>
    </xf>
    <xf numFmtId="0" fontId="51" fillId="0" borderId="49" xfId="0" applyFont="1" applyFill="1" applyBorder="1" applyAlignment="1">
      <alignment horizontal="left" vertical="center" wrapText="1"/>
    </xf>
    <xf numFmtId="0" fontId="51" fillId="16" borderId="0" xfId="0" applyFont="1" applyFill="1" applyBorder="1" applyAlignment="1">
      <alignment horizontal="right" vertical="center" wrapText="1"/>
    </xf>
    <xf numFmtId="0" fontId="51" fillId="16" borderId="29" xfId="0" applyFont="1" applyFill="1" applyBorder="1" applyAlignment="1">
      <alignment horizontal="right" vertical="center" wrapText="1"/>
    </xf>
    <xf numFmtId="10" fontId="51" fillId="16" borderId="1" xfId="0" applyNumberFormat="1" applyFont="1" applyFill="1" applyBorder="1" applyAlignment="1">
      <alignment horizontal="right" vertical="center" wrapText="1"/>
    </xf>
    <xf numFmtId="10" fontId="51" fillId="16" borderId="30" xfId="0" applyNumberFormat="1" applyFont="1" applyFill="1" applyBorder="1" applyAlignment="1">
      <alignment horizontal="right" vertical="center" wrapText="1"/>
    </xf>
    <xf numFmtId="0" fontId="30" fillId="0" borderId="55" xfId="2" applyFont="1" applyFill="1" applyBorder="1"/>
    <xf numFmtId="0" fontId="30" fillId="0" borderId="56" xfId="2" applyFont="1" applyFill="1" applyBorder="1"/>
    <xf numFmtId="181" fontId="30" fillId="0" borderId="55" xfId="2" applyNumberFormat="1" applyFont="1" applyFill="1" applyBorder="1"/>
    <xf numFmtId="0" fontId="30" fillId="0" borderId="55" xfId="2" applyFont="1" applyFill="1" applyBorder="1" applyProtection="1"/>
    <xf numFmtId="0" fontId="30" fillId="0" borderId="57" xfId="2" applyFont="1" applyFill="1" applyBorder="1" applyAlignment="1">
      <alignment horizontal="left"/>
    </xf>
    <xf numFmtId="0" fontId="30" fillId="0" borderId="55" xfId="2" applyFont="1" applyFill="1" applyBorder="1" applyAlignment="1">
      <alignment horizontal="left"/>
    </xf>
    <xf numFmtId="0" fontId="30" fillId="0" borderId="44" xfId="2" applyFont="1" applyFill="1" applyBorder="1" applyAlignment="1">
      <alignment horizontal="left"/>
    </xf>
    <xf numFmtId="0" fontId="30" fillId="0" borderId="42" xfId="2" applyFont="1" applyFill="1" applyBorder="1" applyAlignment="1">
      <alignment horizontal="left"/>
    </xf>
    <xf numFmtId="0" fontId="30" fillId="0" borderId="42" xfId="2" applyNumberFormat="1" applyFont="1" applyFill="1" applyBorder="1" applyAlignment="1" applyProtection="1">
      <alignment horizontal="left"/>
    </xf>
    <xf numFmtId="0" fontId="19" fillId="0" borderId="43" xfId="0" applyFont="1" applyFill="1" applyBorder="1"/>
    <xf numFmtId="0" fontId="30" fillId="0" borderId="43" xfId="2" applyFont="1" applyFill="1" applyBorder="1" applyProtection="1"/>
    <xf numFmtId="0" fontId="30" fillId="0" borderId="55" xfId="2" applyFont="1" applyFill="1" applyBorder="1" applyAlignment="1">
      <alignment horizontal="left" vertical="center"/>
    </xf>
    <xf numFmtId="0" fontId="30" fillId="0" borderId="55" xfId="2" applyFont="1" applyFill="1" applyBorder="1" applyAlignment="1">
      <alignment horizontal="left" vertical="center" wrapText="1"/>
    </xf>
    <xf numFmtId="0" fontId="30" fillId="0" borderId="55" xfId="0" applyFont="1" applyFill="1" applyBorder="1" applyAlignment="1">
      <alignment vertical="center"/>
    </xf>
    <xf numFmtId="0" fontId="30" fillId="0" borderId="55" xfId="0" applyFont="1" applyFill="1" applyBorder="1" applyAlignment="1">
      <alignment horizontal="left" vertical="center"/>
    </xf>
    <xf numFmtId="0" fontId="34" fillId="0" borderId="55" xfId="0" applyFont="1" applyFill="1" applyBorder="1" applyAlignment="1">
      <alignment vertical="center"/>
    </xf>
    <xf numFmtId="0" fontId="30" fillId="0" borderId="55" xfId="2" applyFont="1" applyFill="1" applyBorder="1" applyAlignment="1"/>
    <xf numFmtId="0" fontId="34" fillId="0" borderId="55" xfId="0" applyFont="1" applyFill="1" applyBorder="1" applyAlignment="1">
      <alignment horizontal="left" vertical="center"/>
    </xf>
    <xf numFmtId="0" fontId="34" fillId="0" borderId="55" xfId="7" applyFont="1" applyFill="1" applyBorder="1" applyAlignment="1">
      <alignment vertical="center" wrapText="1"/>
    </xf>
    <xf numFmtId="0" fontId="34" fillId="0" borderId="55" xfId="7" applyFont="1" applyFill="1" applyBorder="1" applyAlignment="1">
      <alignment vertical="center"/>
    </xf>
    <xf numFmtId="0" fontId="24" fillId="11" borderId="0" xfId="0" applyFont="1" applyFill="1"/>
    <xf numFmtId="0" fontId="24" fillId="0" borderId="54" xfId="0" applyFont="1" applyFill="1" applyBorder="1"/>
    <xf numFmtId="0" fontId="32" fillId="0" borderId="54" xfId="2" applyFont="1" applyFill="1" applyBorder="1" applyAlignment="1" applyProtection="1">
      <alignment horizontal="left"/>
    </xf>
    <xf numFmtId="0" fontId="32" fillId="0" borderId="54" xfId="2" applyFont="1" applyFill="1" applyBorder="1" applyProtection="1"/>
    <xf numFmtId="0" fontId="32" fillId="0" borderId="2" xfId="2" applyFont="1" applyFill="1" applyBorder="1" applyProtection="1"/>
    <xf numFmtId="0" fontId="32" fillId="0" borderId="54" xfId="2" applyFont="1" applyFill="1" applyBorder="1"/>
    <xf numFmtId="0" fontId="59" fillId="0" borderId="54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right" vertical="center"/>
    </xf>
    <xf numFmtId="10" fontId="28" fillId="0" borderId="15" xfId="1" applyNumberFormat="1" applyFont="1" applyFill="1" applyBorder="1">
      <alignment vertical="center"/>
    </xf>
    <xf numFmtId="10" fontId="28" fillId="0" borderId="38" xfId="1" applyNumberFormat="1" applyFont="1" applyFill="1" applyBorder="1">
      <alignment vertical="center"/>
    </xf>
    <xf numFmtId="194" fontId="28" fillId="0" borderId="0" xfId="1" applyNumberFormat="1" applyFont="1" applyFill="1" applyBorder="1">
      <alignment vertical="center"/>
    </xf>
    <xf numFmtId="194" fontId="28" fillId="0" borderId="29" xfId="1" applyNumberFormat="1" applyFont="1" applyFill="1" applyBorder="1">
      <alignment vertical="center"/>
    </xf>
    <xf numFmtId="194" fontId="28" fillId="0" borderId="1" xfId="1" applyNumberFormat="1" applyFont="1" applyFill="1" applyBorder="1">
      <alignment vertical="center"/>
    </xf>
    <xf numFmtId="194" fontId="28" fillId="0" borderId="30" xfId="1" applyNumberFormat="1" applyFont="1" applyFill="1" applyBorder="1">
      <alignment vertical="center"/>
    </xf>
    <xf numFmtId="0" fontId="29" fillId="0" borderId="58" xfId="0" applyFont="1" applyFill="1" applyBorder="1" applyAlignment="1">
      <alignment horizontal="center" vertical="center" wrapText="1"/>
    </xf>
    <xf numFmtId="0" fontId="29" fillId="0" borderId="59" xfId="0" applyFont="1" applyFill="1" applyBorder="1" applyAlignment="1">
      <alignment horizontal="center" vertical="center" wrapText="1"/>
    </xf>
    <xf numFmtId="0" fontId="29" fillId="0" borderId="60" xfId="0" applyFont="1" applyFill="1" applyBorder="1" applyAlignment="1">
      <alignment horizontal="center" vertical="center" wrapText="1"/>
    </xf>
    <xf numFmtId="0" fontId="28" fillId="0" borderId="37" xfId="0" applyFont="1" applyFill="1" applyBorder="1" applyAlignment="1">
      <alignment vertical="center"/>
    </xf>
    <xf numFmtId="0" fontId="28" fillId="0" borderId="15" xfId="0" applyFont="1" applyFill="1" applyBorder="1" applyAlignment="1">
      <alignment vertical="center"/>
    </xf>
    <xf numFmtId="0" fontId="28" fillId="0" borderId="38" xfId="0" applyFont="1" applyFill="1" applyBorder="1" applyAlignment="1">
      <alignment vertical="center"/>
    </xf>
    <xf numFmtId="195" fontId="28" fillId="0" borderId="49" xfId="0" applyNumberFormat="1" applyFont="1" applyFill="1" applyBorder="1" applyAlignment="1">
      <alignment vertical="center"/>
    </xf>
    <xf numFmtId="195" fontId="28" fillId="0" borderId="0" xfId="0" applyNumberFormat="1" applyFont="1" applyFill="1" applyBorder="1" applyAlignment="1">
      <alignment vertical="center"/>
    </xf>
    <xf numFmtId="195" fontId="28" fillId="0" borderId="29" xfId="0" applyNumberFormat="1" applyFont="1" applyFill="1" applyBorder="1" applyAlignment="1">
      <alignment vertical="center"/>
    </xf>
    <xf numFmtId="195" fontId="28" fillId="0" borderId="50" xfId="0" applyNumberFormat="1" applyFont="1" applyFill="1" applyBorder="1" applyAlignment="1">
      <alignment vertical="center"/>
    </xf>
    <xf numFmtId="195" fontId="28" fillId="0" borderId="33" xfId="0" applyNumberFormat="1" applyFont="1" applyFill="1" applyBorder="1" applyAlignment="1">
      <alignment vertical="center"/>
    </xf>
    <xf numFmtId="183" fontId="28" fillId="0" borderId="49" xfId="0" applyNumberFormat="1" applyFont="1" applyFill="1" applyBorder="1" applyAlignment="1">
      <alignment vertical="center"/>
    </xf>
    <xf numFmtId="183" fontId="28" fillId="0" borderId="0" xfId="0" applyNumberFormat="1" applyFont="1" applyFill="1" applyBorder="1" applyAlignment="1">
      <alignment vertical="center"/>
    </xf>
    <xf numFmtId="183" fontId="28" fillId="0" borderId="29" xfId="0" applyNumberFormat="1" applyFont="1" applyFill="1" applyBorder="1" applyAlignment="1">
      <alignment vertical="center"/>
    </xf>
    <xf numFmtId="183" fontId="28" fillId="0" borderId="33" xfId="0" applyNumberFormat="1" applyFont="1" applyFill="1" applyBorder="1" applyAlignment="1">
      <alignment vertical="center"/>
    </xf>
    <xf numFmtId="0" fontId="28" fillId="0" borderId="50" xfId="0" applyFont="1" applyFill="1" applyBorder="1" applyAlignment="1">
      <alignment vertical="center"/>
    </xf>
    <xf numFmtId="195" fontId="28" fillId="0" borderId="32" xfId="0" applyNumberFormat="1" applyFont="1" applyFill="1" applyBorder="1" applyAlignment="1">
      <alignment vertical="center"/>
    </xf>
    <xf numFmtId="195" fontId="28" fillId="0" borderId="10" xfId="0" applyNumberFormat="1" applyFont="1" applyFill="1" applyBorder="1" applyAlignment="1">
      <alignment vertical="center"/>
    </xf>
    <xf numFmtId="195" fontId="28" fillId="0" borderId="31" xfId="0" applyNumberFormat="1" applyFont="1" applyFill="1" applyBorder="1" applyAlignment="1">
      <alignment vertical="center"/>
    </xf>
    <xf numFmtId="195" fontId="28" fillId="0" borderId="37" xfId="0" applyNumberFormat="1" applyFont="1" applyFill="1" applyBorder="1" applyAlignment="1">
      <alignment vertical="center"/>
    </xf>
    <xf numFmtId="195" fontId="28" fillId="0" borderId="15" xfId="0" applyNumberFormat="1" applyFont="1" applyFill="1" applyBorder="1" applyAlignment="1">
      <alignment vertical="center"/>
    </xf>
    <xf numFmtId="195" fontId="28" fillId="0" borderId="38" xfId="0" applyNumberFormat="1" applyFont="1" applyFill="1" applyBorder="1" applyAlignment="1">
      <alignment vertical="center"/>
    </xf>
    <xf numFmtId="195" fontId="28" fillId="0" borderId="35" xfId="0" applyNumberFormat="1" applyFont="1" applyFill="1" applyBorder="1" applyAlignment="1">
      <alignment vertical="center"/>
    </xf>
    <xf numFmtId="195" fontId="28" fillId="0" borderId="34" xfId="0" applyNumberFormat="1" applyFont="1" applyFill="1" applyBorder="1" applyAlignment="1">
      <alignment vertical="center"/>
    </xf>
    <xf numFmtId="10" fontId="28" fillId="0" borderId="0" xfId="1" applyNumberFormat="1" applyFont="1" applyFill="1" applyBorder="1" applyAlignment="1">
      <alignment vertical="center"/>
    </xf>
    <xf numFmtId="10" fontId="28" fillId="0" borderId="49" xfId="1" applyNumberFormat="1" applyFont="1" applyFill="1" applyBorder="1" applyAlignment="1">
      <alignment vertical="center"/>
    </xf>
    <xf numFmtId="10" fontId="28" fillId="0" borderId="50" xfId="1" applyNumberFormat="1" applyFont="1" applyFill="1" applyBorder="1" applyAlignment="1">
      <alignment vertical="center"/>
    </xf>
    <xf numFmtId="10" fontId="28" fillId="0" borderId="33" xfId="1" applyNumberFormat="1" applyFont="1" applyFill="1" applyBorder="1" applyAlignment="1">
      <alignment vertical="center"/>
    </xf>
    <xf numFmtId="10" fontId="28" fillId="0" borderId="35" xfId="1" applyNumberFormat="1" applyFont="1" applyFill="1" applyBorder="1" applyAlignment="1">
      <alignment vertical="center"/>
    </xf>
    <xf numFmtId="10" fontId="28" fillId="0" borderId="34" xfId="1" applyNumberFormat="1" applyFont="1" applyFill="1" applyBorder="1" applyAlignment="1">
      <alignment vertical="center"/>
    </xf>
    <xf numFmtId="10" fontId="28" fillId="0" borderId="15" xfId="1" applyNumberFormat="1" applyFont="1" applyFill="1" applyBorder="1" applyAlignment="1">
      <alignment vertical="center"/>
    </xf>
    <xf numFmtId="0" fontId="28" fillId="0" borderId="10" xfId="0" applyFont="1" applyFill="1" applyBorder="1" applyAlignment="1">
      <alignment vertical="center"/>
    </xf>
    <xf numFmtId="0" fontId="28" fillId="0" borderId="31" xfId="0" applyFont="1" applyFill="1" applyBorder="1" applyAlignment="1">
      <alignment vertical="center"/>
    </xf>
    <xf numFmtId="0" fontId="28" fillId="0" borderId="32" xfId="0" applyFont="1" applyFill="1" applyBorder="1" applyAlignment="1">
      <alignment vertical="center"/>
    </xf>
    <xf numFmtId="10" fontId="28" fillId="0" borderId="32" xfId="1" applyNumberFormat="1" applyFont="1" applyFill="1" applyBorder="1" applyAlignment="1">
      <alignment vertical="center"/>
    </xf>
    <xf numFmtId="10" fontId="28" fillId="0" borderId="10" xfId="1" applyNumberFormat="1" applyFont="1" applyFill="1" applyBorder="1" applyAlignment="1">
      <alignment vertical="center"/>
    </xf>
    <xf numFmtId="10" fontId="28" fillId="0" borderId="31" xfId="1" applyNumberFormat="1" applyFont="1" applyFill="1" applyBorder="1" applyAlignment="1">
      <alignment vertical="center"/>
    </xf>
    <xf numFmtId="0" fontId="28" fillId="0" borderId="49" xfId="0" applyFont="1" applyFill="1" applyBorder="1" applyAlignment="1">
      <alignment vertical="center"/>
    </xf>
    <xf numFmtId="10" fontId="28" fillId="0" borderId="29" xfId="1" applyNumberFormat="1" applyFont="1" applyFill="1" applyBorder="1" applyAlignment="1">
      <alignment vertical="center"/>
    </xf>
    <xf numFmtId="0" fontId="28" fillId="0" borderId="35" xfId="0" applyFont="1" applyFill="1" applyBorder="1" applyAlignment="1">
      <alignment vertical="center"/>
    </xf>
    <xf numFmtId="10" fontId="28" fillId="0" borderId="37" xfId="1" applyNumberFormat="1" applyFont="1" applyFill="1" applyBorder="1" applyAlignment="1">
      <alignment vertical="center"/>
    </xf>
    <xf numFmtId="10" fontId="28" fillId="0" borderId="38" xfId="1" applyNumberFormat="1" applyFont="1" applyFill="1" applyBorder="1" applyAlignment="1">
      <alignment vertical="center"/>
    </xf>
    <xf numFmtId="10" fontId="28" fillId="0" borderId="1" xfId="1" applyNumberFormat="1" applyFont="1" applyFill="1" applyBorder="1" applyAlignment="1">
      <alignment vertical="center"/>
    </xf>
    <xf numFmtId="10" fontId="28" fillId="0" borderId="30" xfId="1" applyNumberFormat="1" applyFont="1" applyFill="1" applyBorder="1" applyAlignment="1">
      <alignment vertical="center"/>
    </xf>
    <xf numFmtId="0" fontId="24" fillId="0" borderId="40" xfId="0" applyFont="1" applyBorder="1"/>
    <xf numFmtId="0" fontId="19" fillId="0" borderId="0" xfId="0" applyFont="1" applyBorder="1"/>
    <xf numFmtId="0" fontId="19" fillId="0" borderId="13" xfId="0" applyFont="1" applyBorder="1"/>
    <xf numFmtId="0" fontId="24" fillId="0" borderId="54" xfId="0" applyFont="1" applyBorder="1"/>
    <xf numFmtId="0" fontId="19" fillId="0" borderId="55" xfId="0" applyFont="1" applyBorder="1"/>
    <xf numFmtId="0" fontId="19" fillId="0" borderId="56" xfId="0" applyFont="1" applyBorder="1"/>
    <xf numFmtId="0" fontId="30" fillId="2" borderId="55" xfId="2" applyFont="1" applyFill="1" applyBorder="1"/>
    <xf numFmtId="0" fontId="30" fillId="2" borderId="0" xfId="2" applyFont="1" applyFill="1"/>
    <xf numFmtId="0" fontId="19" fillId="0" borderId="0" xfId="0" applyFont="1" applyAlignment="1">
      <alignment vertical="center"/>
    </xf>
    <xf numFmtId="0" fontId="31" fillId="15" borderId="0" xfId="2" applyFont="1" applyFill="1" applyBorder="1" applyAlignment="1">
      <alignment horizontal="right"/>
    </xf>
    <xf numFmtId="186" fontId="31" fillId="15" borderId="0" xfId="2" applyNumberFormat="1" applyFont="1" applyFill="1" applyBorder="1"/>
    <xf numFmtId="177" fontId="31" fillId="20" borderId="4" xfId="3" applyNumberFormat="1" applyFont="1" applyFill="1" applyBorder="1">
      <alignment horizontal="right" vertical="center"/>
    </xf>
    <xf numFmtId="177" fontId="31" fillId="20" borderId="3" xfId="3" applyNumberFormat="1" applyFont="1" applyFill="1" applyBorder="1">
      <alignment horizontal="right" vertical="center"/>
    </xf>
    <xf numFmtId="182" fontId="31" fillId="15" borderId="0" xfId="2" applyNumberFormat="1" applyFont="1" applyFill="1" applyBorder="1"/>
    <xf numFmtId="182" fontId="31" fillId="19" borderId="18" xfId="3" applyNumberFormat="1" applyFont="1" applyFill="1" applyBorder="1">
      <alignment horizontal="right" vertical="center"/>
    </xf>
    <xf numFmtId="186" fontId="31" fillId="17" borderId="3" xfId="3" applyNumberFormat="1" applyFont="1" applyFill="1" applyBorder="1">
      <alignment horizontal="right" vertical="center"/>
    </xf>
    <xf numFmtId="176" fontId="20" fillId="20" borderId="11" xfId="3" applyFont="1" applyFill="1" applyBorder="1">
      <alignment horizontal="right" vertical="center"/>
    </xf>
    <xf numFmtId="176" fontId="20" fillId="20" borderId="17" xfId="3" applyFont="1" applyFill="1" applyBorder="1">
      <alignment horizontal="right" vertical="center"/>
    </xf>
    <xf numFmtId="176" fontId="20" fillId="20" borderId="23" xfId="3" applyFont="1" applyFill="1" applyBorder="1">
      <alignment horizontal="right" vertical="center"/>
    </xf>
    <xf numFmtId="176" fontId="20" fillId="20" borderId="23" xfId="2" applyNumberFormat="1" applyFont="1" applyFill="1" applyBorder="1"/>
    <xf numFmtId="176" fontId="31" fillId="20" borderId="3" xfId="3" applyFont="1" applyFill="1" applyBorder="1">
      <alignment horizontal="right" vertical="center"/>
    </xf>
    <xf numFmtId="176" fontId="31" fillId="20" borderId="8" xfId="3" applyFont="1" applyFill="1" applyBorder="1">
      <alignment horizontal="right" vertical="center"/>
    </xf>
    <xf numFmtId="180" fontId="31" fillId="20" borderId="8" xfId="3" applyNumberFormat="1" applyFont="1" applyFill="1" applyBorder="1">
      <alignment horizontal="right" vertical="center"/>
    </xf>
    <xf numFmtId="180" fontId="31" fillId="20" borderId="3" xfId="3" applyNumberFormat="1" applyFont="1" applyFill="1" applyBorder="1">
      <alignment horizontal="right" vertical="center"/>
    </xf>
    <xf numFmtId="186" fontId="31" fillId="15" borderId="48" xfId="2" applyNumberFormat="1" applyFont="1" applyFill="1" applyBorder="1"/>
    <xf numFmtId="0" fontId="28" fillId="0" borderId="15" xfId="0" applyFont="1" applyFill="1" applyBorder="1" applyAlignment="1">
      <alignment horizontal="right" vertical="center"/>
    </xf>
    <xf numFmtId="195" fontId="28" fillId="0" borderId="1" xfId="0" applyNumberFormat="1" applyFont="1" applyFill="1" applyBorder="1" applyAlignment="1">
      <alignment vertical="center"/>
    </xf>
    <xf numFmtId="195" fontId="28" fillId="0" borderId="36" xfId="0" applyNumberFormat="1" applyFont="1" applyFill="1" applyBorder="1" applyAlignment="1">
      <alignment vertical="center"/>
    </xf>
    <xf numFmtId="0" fontId="28" fillId="0" borderId="38" xfId="0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vertical="center"/>
    </xf>
    <xf numFmtId="10" fontId="28" fillId="0" borderId="29" xfId="1" quotePrefix="1" applyNumberFormat="1" applyFont="1" applyFill="1" applyBorder="1" applyAlignment="1">
      <alignment vertical="center"/>
    </xf>
    <xf numFmtId="10" fontId="28" fillId="0" borderId="1" xfId="1" quotePrefix="1" applyNumberFormat="1" applyFont="1" applyFill="1" applyBorder="1" applyAlignment="1">
      <alignment vertical="center"/>
    </xf>
    <xf numFmtId="10" fontId="28" fillId="0" borderId="30" xfId="1" quotePrefix="1" applyNumberFormat="1" applyFont="1" applyFill="1" applyBorder="1" applyAlignment="1">
      <alignment vertical="center"/>
    </xf>
    <xf numFmtId="196" fontId="28" fillId="0" borderId="15" xfId="1" quotePrefix="1" applyNumberFormat="1" applyFont="1" applyFill="1" applyBorder="1" applyAlignment="1">
      <alignment horizontal="right" vertical="center"/>
    </xf>
    <xf numFmtId="196" fontId="28" fillId="0" borderId="38" xfId="1" quotePrefix="1" applyNumberFormat="1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horizontal="right" vertical="center"/>
    </xf>
    <xf numFmtId="10" fontId="28" fillId="0" borderId="29" xfId="1" quotePrefix="1" applyNumberFormat="1" applyFont="1" applyFill="1" applyBorder="1" applyAlignment="1">
      <alignment horizontal="right" vertical="center"/>
    </xf>
    <xf numFmtId="10" fontId="28" fillId="0" borderId="1" xfId="1" quotePrefix="1" applyNumberFormat="1" applyFont="1" applyFill="1" applyBorder="1" applyAlignment="1">
      <alignment horizontal="right" vertical="center"/>
    </xf>
    <xf numFmtId="10" fontId="28" fillId="0" borderId="30" xfId="1" quotePrefix="1" applyNumberFormat="1" applyFont="1" applyFill="1" applyBorder="1" applyAlignment="1">
      <alignment horizontal="right" vertical="center"/>
    </xf>
    <xf numFmtId="0" fontId="28" fillId="0" borderId="37" xfId="0" applyNumberFormat="1" applyFont="1" applyFill="1" applyBorder="1" applyAlignment="1">
      <alignment horizontal="right" vertical="center"/>
    </xf>
    <xf numFmtId="0" fontId="28" fillId="0" borderId="15" xfId="0" applyNumberFormat="1" applyFont="1" applyFill="1" applyBorder="1" applyAlignment="1">
      <alignment horizontal="right" vertical="center"/>
    </xf>
    <xf numFmtId="0" fontId="28" fillId="0" borderId="38" xfId="0" applyNumberFormat="1" applyFont="1" applyFill="1" applyBorder="1" applyAlignment="1">
      <alignment horizontal="right" vertical="center"/>
    </xf>
    <xf numFmtId="0" fontId="30" fillId="11" borderId="0" xfId="2" applyFont="1" applyFill="1"/>
    <xf numFmtId="0" fontId="32" fillId="0" borderId="0" xfId="2" applyFont="1" applyFill="1" applyBorder="1" applyAlignment="1" applyProtection="1">
      <alignment horizontal="left"/>
    </xf>
    <xf numFmtId="0" fontId="32" fillId="3" borderId="0" xfId="2" applyFont="1" applyFill="1" applyBorder="1" applyAlignment="1" applyProtection="1">
      <alignment horizontal="left"/>
    </xf>
    <xf numFmtId="0" fontId="32" fillId="3" borderId="0" xfId="2" applyFont="1" applyFill="1" applyBorder="1" applyProtection="1"/>
    <xf numFmtId="0" fontId="32" fillId="3" borderId="0" xfId="2" applyFont="1" applyFill="1"/>
    <xf numFmtId="0" fontId="19" fillId="0" borderId="42" xfId="0" applyFont="1" applyBorder="1"/>
    <xf numFmtId="0" fontId="32" fillId="2" borderId="0" xfId="2" applyFont="1" applyFill="1" applyBorder="1" applyProtection="1"/>
    <xf numFmtId="0" fontId="19" fillId="0" borderId="43" xfId="0" applyFont="1" applyBorder="1"/>
    <xf numFmtId="0" fontId="19" fillId="0" borderId="46" xfId="0" applyFont="1" applyBorder="1"/>
    <xf numFmtId="0" fontId="19" fillId="0" borderId="47" xfId="0" applyFont="1" applyBorder="1"/>
    <xf numFmtId="14" fontId="0" fillId="0" borderId="0" xfId="0" applyNumberFormat="1" applyBorder="1"/>
    <xf numFmtId="14" fontId="20" fillId="2" borderId="0" xfId="2" applyNumberFormat="1" applyFont="1" applyFill="1" applyBorder="1" applyAlignment="1" applyProtection="1">
      <alignment horizontal="center"/>
    </xf>
    <xf numFmtId="58" fontId="0" fillId="0" borderId="0" xfId="0" applyNumberFormat="1"/>
    <xf numFmtId="14" fontId="21" fillId="11" borderId="0" xfId="0" applyNumberFormat="1" applyFont="1" applyFill="1" applyBorder="1"/>
    <xf numFmtId="0" fontId="19" fillId="11" borderId="0" xfId="0" applyFont="1" applyFill="1" applyBorder="1" applyAlignment="1">
      <alignment horizontal="right"/>
    </xf>
    <xf numFmtId="0" fontId="51" fillId="21" borderId="0" xfId="0" applyFont="1" applyFill="1" applyBorder="1" applyAlignment="1">
      <alignment horizontal="center" vertical="center"/>
    </xf>
    <xf numFmtId="0" fontId="61" fillId="0" borderId="37" xfId="0" applyFont="1" applyFill="1" applyBorder="1" applyAlignment="1">
      <alignment horizontal="center" vertical="center" wrapText="1"/>
    </xf>
    <xf numFmtId="0" fontId="61" fillId="0" borderId="38" xfId="0" applyFont="1" applyFill="1" applyBorder="1" applyAlignment="1">
      <alignment horizontal="center" vertical="center" wrapText="1"/>
    </xf>
    <xf numFmtId="0" fontId="29" fillId="0" borderId="50" xfId="0" applyFont="1" applyFill="1" applyBorder="1" applyAlignment="1">
      <alignment horizontal="center" vertical="center" wrapText="1"/>
    </xf>
    <xf numFmtId="0" fontId="29" fillId="0" borderId="33" xfId="0" applyFont="1" applyFill="1" applyBorder="1" applyAlignment="1">
      <alignment horizontal="center" vertical="center" wrapText="1"/>
    </xf>
    <xf numFmtId="0" fontId="29" fillId="0" borderId="34" xfId="0" applyFont="1" applyFill="1" applyBorder="1" applyAlignment="1">
      <alignment horizontal="center" vertical="center" wrapText="1"/>
    </xf>
    <xf numFmtId="198" fontId="23" fillId="0" borderId="0" xfId="0" applyNumberFormat="1" applyFont="1" applyBorder="1"/>
    <xf numFmtId="198" fontId="23" fillId="0" borderId="1" xfId="0" applyNumberFormat="1" applyFont="1" applyBorder="1"/>
    <xf numFmtId="2" fontId="62" fillId="0" borderId="0" xfId="0" applyNumberFormat="1" applyFont="1" applyFill="1" applyBorder="1"/>
  </cellXfs>
  <cellStyles count="9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  <cellStyle name="千位分隔" xfId="8" builtinId="3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[2]工商银行!$D$373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[2]工商银行!$E$373:$K$373</c:f>
              <c:numCache>
                <c:formatCode>General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[2]工商银行!$D$374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[2]工商银行!$E$374:$K$374</c:f>
              <c:numCache>
                <c:formatCode>General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工商银行!$D$790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工商银行!$E$790:$J$790</c:f>
              <c:numCache>
                <c:formatCode>_(* #,##0.00_);_(* \(#,##0.00\);_(* "-"??_);_(@_)</c:formatCode>
                <c:ptCount val="6"/>
                <c:pt idx="0">
                  <c:v>5369.45</c:v>
                </c:pt>
                <c:pt idx="1">
                  <c:v>5896.37</c:v>
                </c:pt>
                <c:pt idx="2">
                  <c:v>6588.92</c:v>
                </c:pt>
                <c:pt idx="3">
                  <c:v>6976.47</c:v>
                </c:pt>
                <c:pt idx="4">
                  <c:v>6758.91</c:v>
                </c:pt>
                <c:pt idx="5">
                  <c:v>3621.51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A-4791-ABB4-5B984EA4AB5E}"/>
            </c:ext>
          </c:extLst>
        </c:ser>
        <c:ser>
          <c:idx val="1"/>
          <c:order val="1"/>
          <c:tx>
            <c:strRef>
              <c:f>工商银行!$D$791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工商银行!$E$791:$J$791</c:f>
              <c:numCache>
                <c:formatCode>_(* #,##0.00_);_(* \(#,##0.00\);_(* "-"??_);_(@_)</c:formatCode>
                <c:ptCount val="6"/>
                <c:pt idx="0">
                  <c:v>2385.3200000000002</c:v>
                </c:pt>
                <c:pt idx="1">
                  <c:v>2626.49</c:v>
                </c:pt>
                <c:pt idx="2">
                  <c:v>2758.11</c:v>
                </c:pt>
                <c:pt idx="3">
                  <c:v>2771.31</c:v>
                </c:pt>
                <c:pt idx="4">
                  <c:v>2782.49</c:v>
                </c:pt>
                <c:pt idx="5">
                  <c:v>1529.95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4334880"/>
        <c:axId val="-554324000"/>
      </c:barChart>
      <c:lineChart>
        <c:grouping val="standard"/>
        <c:varyColors val="0"/>
        <c:ser>
          <c:idx val="2"/>
          <c:order val="2"/>
          <c:tx>
            <c:strRef>
              <c:f>工商银行!$D$792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工商银行!$E$792:$J$792</c:f>
              <c:numCache>
                <c:formatCode>0.00%</c:formatCode>
                <c:ptCount val="6"/>
                <c:pt idx="0">
                  <c:v>0.12990000000000002</c:v>
                </c:pt>
                <c:pt idx="1">
                  <c:v>9.8100000000000007E-2</c:v>
                </c:pt>
                <c:pt idx="2">
                  <c:v>0.11749999999999999</c:v>
                </c:pt>
                <c:pt idx="3">
                  <c:v>5.8799999999999998E-2</c:v>
                </c:pt>
                <c:pt idx="4">
                  <c:v>-3.1200000000000002E-2</c:v>
                </c:pt>
                <c:pt idx="5">
                  <c:v>-0.46418727279990413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7A-4791-ABB4-5B984EA4AB5E}"/>
            </c:ext>
          </c:extLst>
        </c:ser>
        <c:ser>
          <c:idx val="3"/>
          <c:order val="3"/>
          <c:tx>
            <c:strRef>
              <c:f>工商银行!$D$793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工商银行!$E$793:$J$793</c:f>
              <c:numCache>
                <c:formatCode>0.00%</c:formatCode>
                <c:ptCount val="6"/>
                <c:pt idx="0">
                  <c:v>0.14529999999999998</c:v>
                </c:pt>
                <c:pt idx="1">
                  <c:v>0.1011</c:v>
                </c:pt>
                <c:pt idx="2">
                  <c:v>5.0099999999999999E-2</c:v>
                </c:pt>
                <c:pt idx="3">
                  <c:v>4.7999999999999996E-3</c:v>
                </c:pt>
                <c:pt idx="4">
                  <c:v>4.0000000000000001E-3</c:v>
                </c:pt>
                <c:pt idx="5">
                  <c:v>-0.99086902594146675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32704"/>
        <c:axId val="-554322912"/>
      </c:lineChart>
      <c:catAx>
        <c:axId val="-5543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4000"/>
        <c:crosses val="autoZero"/>
        <c:auto val="1"/>
        <c:lblAlgn val="ctr"/>
        <c:lblOffset val="100"/>
        <c:noMultiLvlLbl val="0"/>
      </c:catAx>
      <c:valAx>
        <c:axId val="-554324000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4880"/>
        <c:crosses val="autoZero"/>
        <c:crossBetween val="between"/>
      </c:valAx>
      <c:valAx>
        <c:axId val="-554322912"/>
        <c:scaling>
          <c:orientation val="minMax"/>
        </c:scaling>
        <c:delete val="0"/>
        <c:axPos val="r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2704"/>
        <c:crosses val="max"/>
        <c:crossBetween val="between"/>
      </c:valAx>
      <c:catAx>
        <c:axId val="-55433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54322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641294838145237E-2"/>
          <c:y val="5.0925925925925923E-2"/>
          <c:w val="0.87180314960629923"/>
          <c:h val="0.8068441965587632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工商银行!$D$794</c:f>
              <c:strCache>
                <c:ptCount val="1"/>
                <c:pt idx="0">
                  <c:v>净利息收入占比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工商银行!$E$794:$J$794</c:f>
              <c:numCache>
                <c:formatCode>0.00%</c:formatCode>
                <c:ptCount val="6"/>
                <c:pt idx="0">
                  <c:v>0.77815791189041705</c:v>
                </c:pt>
                <c:pt idx="1">
                  <c:v>0.75187785027059029</c:v>
                </c:pt>
                <c:pt idx="2">
                  <c:v>0.74901804848138998</c:v>
                </c:pt>
                <c:pt idx="3">
                  <c:v>0.72797130927245435</c:v>
                </c:pt>
                <c:pt idx="4">
                  <c:v>0.6981096064306227</c:v>
                </c:pt>
                <c:pt idx="5">
                  <c:v>0.69286568309903873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4-42B1-AC64-8B4090BC9AD6}"/>
            </c:ext>
          </c:extLst>
        </c:ser>
        <c:ser>
          <c:idx val="1"/>
          <c:order val="1"/>
          <c:tx>
            <c:strRef>
              <c:f>工商银行!$D$795</c:f>
              <c:strCache>
                <c:ptCount val="1"/>
                <c:pt idx="0">
                  <c:v>非息收入占比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工商银行!$E$795:$J$795</c:f>
              <c:numCache>
                <c:formatCode>0.00%</c:formatCode>
                <c:ptCount val="6"/>
                <c:pt idx="0">
                  <c:v>0.22184208810958295</c:v>
                </c:pt>
                <c:pt idx="1">
                  <c:v>0.24812214972940971</c:v>
                </c:pt>
                <c:pt idx="2">
                  <c:v>0.25098195151861002</c:v>
                </c:pt>
                <c:pt idx="3">
                  <c:v>0.27202869072754565</c:v>
                </c:pt>
                <c:pt idx="4">
                  <c:v>0.3018903935693773</c:v>
                </c:pt>
                <c:pt idx="5">
                  <c:v>0.30713431690096127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4-42B1-AC64-8B4090B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789536"/>
        <c:axId val="1644790080"/>
      </c:barChart>
      <c:catAx>
        <c:axId val="16447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90080"/>
        <c:crosses val="autoZero"/>
        <c:auto val="1"/>
        <c:lblAlgn val="ctr"/>
        <c:lblOffset val="100"/>
        <c:noMultiLvlLbl val="0"/>
      </c:catAx>
      <c:valAx>
        <c:axId val="1644790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054262494949779"/>
          <c:y val="0.92634259259259255"/>
          <c:w val="0.77188307056629202"/>
          <c:h val="6.90277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pitchFamily="49" charset="-122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3225495846716"/>
          <c:y val="0.17636137224320864"/>
          <c:w val="0.83133305790229228"/>
          <c:h val="0.70757477211155162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工商银行!$D$831</c:f>
              <c:strCache>
                <c:ptCount val="1"/>
                <c:pt idx="0">
                  <c:v>贷款及垫款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工商银行!$E$831:$K$831</c:f>
              <c:numCache>
                <c:formatCode>0.00%</c:formatCode>
                <c:ptCount val="7"/>
                <c:pt idx="0">
                  <c:v>0.48929328601966338</c:v>
                </c:pt>
                <c:pt idx="1">
                  <c:v>0.51176350128704506</c:v>
                </c:pt>
                <c:pt idx="2">
                  <c:v>0.52250240454211616</c:v>
                </c:pt>
                <c:pt idx="3">
                  <c:v>0.52467030290259509</c:v>
                </c:pt>
                <c:pt idx="4">
                  <c:v>0.5289470037305386</c:v>
                </c:pt>
                <c:pt idx="5">
                  <c:v>0.53273768701915147</c:v>
                </c:pt>
                <c:pt idx="6">
                  <c:v>0.53105634441515082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D-46E7-B0FB-2971F0B036E9}"/>
            </c:ext>
          </c:extLst>
        </c:ser>
        <c:ser>
          <c:idx val="1"/>
          <c:order val="1"/>
          <c:tx>
            <c:strRef>
              <c:f>工商银行!$D$832</c:f>
              <c:strCache>
                <c:ptCount val="1"/>
                <c:pt idx="0">
                  <c:v>同业资产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工商银行!$E$832:$K$832</c:f>
              <c:numCache>
                <c:formatCode>0.00%</c:formatCode>
                <c:ptCount val="7"/>
                <c:pt idx="0">
                  <c:v>6.7324956703021077E-2</c:v>
                </c:pt>
                <c:pt idx="1">
                  <c:v>5.5497450225587067E-2</c:v>
                </c:pt>
                <c:pt idx="2">
                  <c:v>6.0710376195423646E-2</c:v>
                </c:pt>
                <c:pt idx="3">
                  <c:v>7.5648025329381918E-2</c:v>
                </c:pt>
                <c:pt idx="4">
                  <c:v>6.4344489734027441E-2</c:v>
                </c:pt>
                <c:pt idx="5">
                  <c:v>6.241778738158571E-2</c:v>
                </c:pt>
                <c:pt idx="6">
                  <c:v>7.0466949851858071E-2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D-46E7-B0FB-2971F0B036E9}"/>
            </c:ext>
          </c:extLst>
        </c:ser>
        <c:ser>
          <c:idx val="2"/>
          <c:order val="2"/>
          <c:tx>
            <c:strRef>
              <c:f>工商银行!$D$833</c:f>
              <c:strCache>
                <c:ptCount val="1"/>
                <c:pt idx="0">
                  <c:v>债券类投资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工商银行!$E$833:$K$833</c:f>
              <c:numCache>
                <c:formatCode>0.00%</c:formatCode>
                <c:ptCount val="7"/>
                <c:pt idx="0">
                  <c:v>0.21201265495689631</c:v>
                </c:pt>
                <c:pt idx="1">
                  <c:v>0.21132299440229474</c:v>
                </c:pt>
                <c:pt idx="2">
                  <c:v>0.19900608215846002</c:v>
                </c:pt>
                <c:pt idx="3">
                  <c:v>0.20971932184830283</c:v>
                </c:pt>
                <c:pt idx="4">
                  <c:v>0.21501209851240391</c:v>
                </c:pt>
                <c:pt idx="5">
                  <c:v>0.2110159608520977</c:v>
                </c:pt>
                <c:pt idx="6">
                  <c:v>0.20483505438533739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AD-46E7-B0FB-2971F0B036E9}"/>
            </c:ext>
          </c:extLst>
        </c:ser>
        <c:ser>
          <c:idx val="3"/>
          <c:order val="3"/>
          <c:tx>
            <c:strRef>
              <c:f>工商银行!$D$834</c:f>
              <c:strCache>
                <c:ptCount val="1"/>
                <c:pt idx="0">
                  <c:v>应收款项类投资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工商银行!$E$834:$K$834</c:f>
              <c:numCache>
                <c:formatCode>0.00%</c:formatCode>
                <c:ptCount val="7"/>
                <c:pt idx="0">
                  <c:v>2.0790701654186585E-2</c:v>
                </c:pt>
                <c:pt idx="1">
                  <c:v>1.7152566541732868E-2</c:v>
                </c:pt>
                <c:pt idx="2">
                  <c:v>1.6095669893085151E-2</c:v>
                </c:pt>
                <c:pt idx="3">
                  <c:v>1.5855312389406826E-2</c:v>
                </c:pt>
                <c:pt idx="4">
                  <c:v>1.207137594089471E-2</c:v>
                </c:pt>
                <c:pt idx="5">
                  <c:v>1.6447944295058615E-2</c:v>
                </c:pt>
                <c:pt idx="6">
                  <c:v>1.347579290246635E-2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AD-46E7-B0FB-2971F0B0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3040"/>
        <c:axId val="-3280120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工商银行!$D$835</c15:sqref>
                        </c15:formulaRef>
                      </c:ext>
                    </c:extLst>
                    <c:strCache>
                      <c:ptCount val="1"/>
                      <c:pt idx="0">
                        <c:v>投资类资产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工商银行!$E$830:$K$830</c15:sqref>
                        </c15:formulaRef>
                      </c:ext>
                    </c:extLst>
                    <c:strCache>
                      <c:ptCount val="7"/>
                      <c:pt idx="0">
                        <c:v>2012</c:v>
                      </c:pt>
                      <c:pt idx="1">
                        <c:v>2013</c:v>
                      </c:pt>
                      <c:pt idx="2">
                        <c:v>2014</c:v>
                      </c:pt>
                      <c:pt idx="3">
                        <c:v>2015</c:v>
                      </c:pt>
                      <c:pt idx="4">
                        <c:v>2016</c:v>
                      </c:pt>
                      <c:pt idx="5">
                        <c:v>2017Q1</c:v>
                      </c:pt>
                      <c:pt idx="6">
                        <c:v>2017H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工商银行!$E$835:$K$835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0.2328033566110829</c:v>
                      </c:pt>
                      <c:pt idx="1">
                        <c:v>0.2284755609440276</c:v>
                      </c:pt>
                      <c:pt idx="2">
                        <c:v>0.21510175205154516</c:v>
                      </c:pt>
                      <c:pt idx="3">
                        <c:v>0.22557463423770965</c:v>
                      </c:pt>
                      <c:pt idx="4">
                        <c:v>0.22708347445329863</c:v>
                      </c:pt>
                      <c:pt idx="5">
                        <c:v>0.22746390514715631</c:v>
                      </c:pt>
                      <c:pt idx="6">
                        <c:v>0.21831084728780373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AD-46E7-B0FB-2971F0B036E9}"/>
                  </c:ext>
                </c:extLst>
              </c15:ser>
            </c15:filteredLineSeries>
          </c:ext>
        </c:extLst>
      </c:lineChart>
      <c:catAx>
        <c:axId val="-3279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1200"/>
        <c:crosses val="autoZero"/>
        <c:auto val="1"/>
        <c:lblAlgn val="ctr"/>
        <c:lblOffset val="100"/>
        <c:noMultiLvlLbl val="0"/>
      </c:catAx>
      <c:valAx>
        <c:axId val="-32801200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6229990604669303"/>
          <c:y val="3.0018755813179337E-2"/>
          <c:w val="0.72342417544460313"/>
          <c:h val="0.24722013562159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工商银行!$D$858</c:f>
              <c:strCache>
                <c:ptCount val="1"/>
                <c:pt idx="0">
                  <c:v>存款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工商银行!$E$858:$K$858</c:f>
              <c:numCache>
                <c:formatCode>0.00%</c:formatCode>
                <c:ptCount val="7"/>
                <c:pt idx="0">
                  <c:v>0.83118747090093581</c:v>
                </c:pt>
                <c:pt idx="1">
                  <c:v>0.82887836352134159</c:v>
                </c:pt>
                <c:pt idx="2">
                  <c:v>0.81564972962067317</c:v>
                </c:pt>
                <c:pt idx="3">
                  <c:v>0.79777209963653251</c:v>
                </c:pt>
                <c:pt idx="4">
                  <c:v>0.80453240375946999</c:v>
                </c:pt>
                <c:pt idx="5">
                  <c:v>0.81211887244796743</c:v>
                </c:pt>
                <c:pt idx="6">
                  <c:v>0.80998327670612769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8-47E9-BC06-11026F3B3202}"/>
            </c:ext>
          </c:extLst>
        </c:ser>
        <c:ser>
          <c:idx val="1"/>
          <c:order val="1"/>
          <c:tx>
            <c:strRef>
              <c:f>工商银行!$D$859</c:f>
              <c:strCache>
                <c:ptCount val="1"/>
                <c:pt idx="0">
                  <c:v>同业负债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工商银行!$E$859:$K$859</c:f>
              <c:numCache>
                <c:formatCode>0.00%</c:formatCode>
                <c:ptCount val="7"/>
                <c:pt idx="0">
                  <c:v>0.10506850411709494</c:v>
                </c:pt>
                <c:pt idx="1">
                  <c:v>8.8924162419471681E-2</c:v>
                </c:pt>
                <c:pt idx="2">
                  <c:v>0.10067799181959465</c:v>
                </c:pt>
                <c:pt idx="3">
                  <c:v>0.12754263860901183</c:v>
                </c:pt>
                <c:pt idx="4">
                  <c:v>0.11762470672864749</c:v>
                </c:pt>
                <c:pt idx="5">
                  <c:v>0.11133656591337739</c:v>
                </c:pt>
                <c:pt idx="6">
                  <c:v>0.10632909732197349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8-47E9-BC06-11026F3B3202}"/>
            </c:ext>
          </c:extLst>
        </c:ser>
        <c:ser>
          <c:idx val="2"/>
          <c:order val="2"/>
          <c:tx>
            <c:strRef>
              <c:f>工商银行!$D$860</c:f>
              <c:strCache>
                <c:ptCount val="1"/>
                <c:pt idx="0">
                  <c:v>应付债券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工商银行!$E$860:$K$860</c:f>
              <c:numCache>
                <c:formatCode>0.00%</c:formatCode>
                <c:ptCount val="7"/>
                <c:pt idx="0">
                  <c:v>1.4145815967312302E-2</c:v>
                </c:pt>
                <c:pt idx="1">
                  <c:v>1.4344002187389753E-2</c:v>
                </c:pt>
                <c:pt idx="2">
                  <c:v>1.4659211732990002E-2</c:v>
                </c:pt>
                <c:pt idx="3">
                  <c:v>1.5023669891820185E-2</c:v>
                </c:pt>
                <c:pt idx="4">
                  <c:v>1.6155233443139051E-2</c:v>
                </c:pt>
                <c:pt idx="5">
                  <c:v>1.6385370668765241E-2</c:v>
                </c:pt>
                <c:pt idx="6">
                  <c:v>1.7587563510787954E-2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8-47E9-BC06-11026F3B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2496"/>
        <c:axId val="-32800656"/>
      </c:lineChart>
      <c:catAx>
        <c:axId val="-327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0656"/>
        <c:crosses val="autoZero"/>
        <c:auto val="1"/>
        <c:lblAlgn val="ctr"/>
        <c:lblOffset val="100"/>
        <c:noMultiLvlLbl val="0"/>
      </c:catAx>
      <c:valAx>
        <c:axId val="-32800656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09492563429571"/>
          <c:y val="0.12483814523184604"/>
          <c:w val="0.85334951881014875"/>
          <c:h val="0.66185914260717416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工商银行!$D$902</c:f>
              <c:strCache>
                <c:ptCount val="1"/>
                <c:pt idx="0">
                  <c:v>公司贷款占比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工商银行!$E$902:$J$902</c:f>
              <c:numCache>
                <c:formatCode>0.00%</c:formatCode>
                <c:ptCount val="6"/>
                <c:pt idx="0">
                  <c:v>0.71930935339400792</c:v>
                </c:pt>
                <c:pt idx="1">
                  <c:v>0.71016422078022856</c:v>
                </c:pt>
                <c:pt idx="2">
                  <c:v>0.69040118603368605</c:v>
                </c:pt>
                <c:pt idx="3">
                  <c:v>0.65945233346288501</c:v>
                </c:pt>
                <c:pt idx="4">
                  <c:v>0.62348012682388987</c:v>
                </c:pt>
                <c:pt idx="5">
                  <c:v>0.64385472311984737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5-48A6-97E5-67414943EA95}"/>
            </c:ext>
          </c:extLst>
        </c:ser>
        <c:ser>
          <c:idx val="1"/>
          <c:order val="1"/>
          <c:tx>
            <c:strRef>
              <c:f>工商银行!$D$903</c:f>
              <c:strCache>
                <c:ptCount val="1"/>
                <c:pt idx="0">
                  <c:v>个人贷款占比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工商银行!$E$903:$J$903</c:f>
              <c:numCache>
                <c:formatCode>0.00%</c:formatCode>
                <c:ptCount val="6"/>
                <c:pt idx="0">
                  <c:v>0.25978907485632163</c:v>
                </c:pt>
                <c:pt idx="1">
                  <c:v>0.2748939921030995</c:v>
                </c:pt>
                <c:pt idx="2">
                  <c:v>0.27783176470940335</c:v>
                </c:pt>
                <c:pt idx="3">
                  <c:v>0.29680077858352305</c:v>
                </c:pt>
                <c:pt idx="4">
                  <c:v>0.32137692364603215</c:v>
                </c:pt>
                <c:pt idx="5">
                  <c:v>0.32995968746080767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5-48A6-97E5-67414943EA95}"/>
            </c:ext>
          </c:extLst>
        </c:ser>
        <c:ser>
          <c:idx val="2"/>
          <c:order val="2"/>
          <c:tx>
            <c:strRef>
              <c:f>工商银行!$D$904</c:f>
              <c:strCache>
                <c:ptCount val="1"/>
                <c:pt idx="0">
                  <c:v>票据贴现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工商银行!$E$904:$J$904</c:f>
              <c:numCache>
                <c:formatCode>0.00%</c:formatCode>
                <c:ptCount val="6"/>
                <c:pt idx="0">
                  <c:v>2.0901571749670479E-2</c:v>
                </c:pt>
                <c:pt idx="1">
                  <c:v>1.4941787116671875E-2</c:v>
                </c:pt>
                <c:pt idx="2">
                  <c:v>3.1767049256910568E-2</c:v>
                </c:pt>
                <c:pt idx="3">
                  <c:v>4.374688795359203E-2</c:v>
                </c:pt>
                <c:pt idx="4">
                  <c:v>5.5142949530077937E-2</c:v>
                </c:pt>
                <c:pt idx="5">
                  <c:v>2.6185589419344957E-2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5-48A6-97E5-67414943E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624"/>
        <c:axId val="-32787600"/>
      </c:lineChart>
      <c:catAx>
        <c:axId val="-3281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87600"/>
        <c:crosses val="autoZero"/>
        <c:auto val="1"/>
        <c:lblAlgn val="ctr"/>
        <c:lblOffset val="100"/>
        <c:noMultiLvlLbl val="0"/>
      </c:catAx>
      <c:valAx>
        <c:axId val="-3278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1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工商银行!$D$950:$J$950</c:f>
              <c:strCache>
                <c:ptCount val="7"/>
                <c:pt idx="0">
                  <c:v>2014</c:v>
                </c:pt>
                <c:pt idx="1">
                  <c:v>2015H</c:v>
                </c:pt>
                <c:pt idx="2">
                  <c:v>2015</c:v>
                </c:pt>
                <c:pt idx="3">
                  <c:v>2016H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工商银行!$D$951:$J$951</c:f>
              <c:numCache>
                <c:formatCode>0.00%</c:formatCode>
                <c:ptCount val="7"/>
                <c:pt idx="0">
                  <c:v>2.6599999999999999E-2</c:v>
                </c:pt>
                <c:pt idx="1">
                  <c:v>2.53E-2</c:v>
                </c:pt>
                <c:pt idx="2">
                  <c:v>2.47E-2</c:v>
                </c:pt>
                <c:pt idx="3">
                  <c:v>2.2100000000000002E-2</c:v>
                </c:pt>
                <c:pt idx="4">
                  <c:v>2.1600000000000001E-2</c:v>
                </c:pt>
                <c:pt idx="5">
                  <c:v>2.12E-2</c:v>
                </c:pt>
                <c:pt idx="6">
                  <c:v>2.1600000000000001E-2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0-45BF-B34F-EC3656D9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0165776"/>
        <c:axId val="-550153808"/>
      </c:lineChart>
      <c:catAx>
        <c:axId val="-55016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53808"/>
        <c:crosses val="autoZero"/>
        <c:auto val="1"/>
        <c:lblAlgn val="ctr"/>
        <c:lblOffset val="100"/>
        <c:noMultiLvlLbl val="0"/>
      </c:catAx>
      <c:valAx>
        <c:axId val="-5501538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工商银行!$D$1008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'[3]利润表(单季)'!$N$24:$R$24</c:f>
              <c:strCache>
                <c:ptCount val="5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</c:strCache>
            </c:strRef>
          </c:cat>
          <c:val>
            <c:numRef>
              <c:f>工商银行!$I$1008:$N$1008</c:f>
              <c:numCache>
                <c:formatCode>###,##0.00_ </c:formatCode>
                <c:ptCount val="6"/>
                <c:pt idx="0">
                  <c:v>747.64</c:v>
                </c:pt>
                <c:pt idx="1">
                  <c:v>754.53</c:v>
                </c:pt>
                <c:pt idx="2">
                  <c:v>725.75</c:v>
                </c:pt>
                <c:pt idx="3">
                  <c:v>554.57000000000005</c:v>
                </c:pt>
                <c:pt idx="4">
                  <c:v>757.86</c:v>
                </c:pt>
                <c:pt idx="5">
                  <c:v>772.09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A-4FE3-A6C1-C666D5BE10E3}"/>
            </c:ext>
          </c:extLst>
        </c:ser>
        <c:ser>
          <c:idx val="2"/>
          <c:order val="2"/>
          <c:tx>
            <c:strRef>
              <c:f>工商银行!$D$1002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工商银行!$I$1002:$N$1002</c:f>
              <c:numCache>
                <c:formatCode>###,##0.00_ </c:formatCode>
                <c:ptCount val="6"/>
                <c:pt idx="0">
                  <c:v>1938.89</c:v>
                </c:pt>
                <c:pt idx="1">
                  <c:v>1637.81</c:v>
                </c:pt>
                <c:pt idx="2">
                  <c:v>1601.04</c:v>
                </c:pt>
                <c:pt idx="3">
                  <c:v>1581.17</c:v>
                </c:pt>
                <c:pt idx="4">
                  <c:v>1895.25</c:v>
                </c:pt>
                <c:pt idx="5">
                  <c:v>1726.2600000000002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54314208"/>
        <c:axId val="-554337600"/>
      </c:barChart>
      <c:lineChart>
        <c:grouping val="standard"/>
        <c:varyColors val="0"/>
        <c:ser>
          <c:idx val="1"/>
          <c:order val="1"/>
          <c:tx>
            <c:strRef>
              <c:f>工商银行!$D$1028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工商银行!$E$1028:$J$1028</c:f>
              <c:numCache>
                <c:formatCode>0.00%</c:formatCode>
                <c:ptCount val="6"/>
                <c:pt idx="0">
                  <c:v>5.9200258328400146E-3</c:v>
                </c:pt>
                <c:pt idx="1">
                  <c:v>1.0120888389091753E-2</c:v>
                </c:pt>
                <c:pt idx="2">
                  <c:v>-2.2683530382182626E-3</c:v>
                </c:pt>
                <c:pt idx="3">
                  <c:v>1.5712479682139513E-3</c:v>
                </c:pt>
                <c:pt idx="4">
                  <c:v>1.3669680594938782E-2</c:v>
                </c:pt>
                <c:pt idx="5">
                  <c:v>-0.9940227691410547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E3A-4FE3-A6C1-C666D5BE10E3}"/>
            </c:ext>
          </c:extLst>
        </c:ser>
        <c:ser>
          <c:idx val="3"/>
          <c:order val="3"/>
          <c:tx>
            <c:strRef>
              <c:f>工商银行!$D$1022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工商银行!$E$1022:$J$1022</c:f>
              <c:numCache>
                <c:formatCode>0.00%</c:formatCode>
                <c:ptCount val="6"/>
                <c:pt idx="0">
                  <c:v>7.0240224327128953E-2</c:v>
                </c:pt>
                <c:pt idx="1">
                  <c:v>-6.4525525765658731E-2</c:v>
                </c:pt>
                <c:pt idx="2">
                  <c:v>-4.9184611547278267E-2</c:v>
                </c:pt>
                <c:pt idx="3">
                  <c:v>-8.6129269039816436E-2</c:v>
                </c:pt>
                <c:pt idx="4">
                  <c:v>-2.2507723491275944E-2</c:v>
                </c:pt>
                <c:pt idx="5">
                  <c:v>5.4005043320043411E-2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29984"/>
        <c:axId val="-554309856"/>
      </c:lineChart>
      <c:catAx>
        <c:axId val="-5543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7600"/>
        <c:crosses val="autoZero"/>
        <c:auto val="1"/>
        <c:lblAlgn val="ctr"/>
        <c:lblOffset val="100"/>
        <c:noMultiLvlLbl val="0"/>
      </c:catAx>
      <c:valAx>
        <c:axId val="-55433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14208"/>
        <c:crosses val="autoZero"/>
        <c:crossBetween val="between"/>
      </c:valAx>
      <c:valAx>
        <c:axId val="-554309856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9984"/>
        <c:crosses val="max"/>
        <c:crossBetween val="between"/>
      </c:valAx>
      <c:catAx>
        <c:axId val="-554329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55430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312</xdr:row>
      <xdr:rowOff>61912</xdr:rowOff>
    </xdr:from>
    <xdr:to>
      <xdr:col>18</xdr:col>
      <xdr:colOff>0</xdr:colOff>
      <xdr:row>325</xdr:row>
      <xdr:rowOff>66674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798</xdr:row>
      <xdr:rowOff>14288</xdr:rowOff>
    </xdr:from>
    <xdr:to>
      <xdr:col>8</xdr:col>
      <xdr:colOff>605347</xdr:colOff>
      <xdr:row>811</xdr:row>
      <xdr:rowOff>45026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561973</xdr:colOff>
      <xdr:row>799</xdr:row>
      <xdr:rowOff>28573</xdr:rowOff>
    </xdr:from>
    <xdr:to>
      <xdr:col>15</xdr:col>
      <xdr:colOff>30954</xdr:colOff>
      <xdr:row>811</xdr:row>
      <xdr:rowOff>19048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869</xdr:row>
      <xdr:rowOff>14288</xdr:rowOff>
    </xdr:from>
    <xdr:to>
      <xdr:col>7</xdr:col>
      <xdr:colOff>519115</xdr:colOff>
      <xdr:row>884</xdr:row>
      <xdr:rowOff>51329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139173</xdr:colOff>
      <xdr:row>869</xdr:row>
      <xdr:rowOff>52386</xdr:rowOff>
    </xdr:from>
    <xdr:to>
      <xdr:col>12</xdr:col>
      <xdr:colOff>658286</xdr:colOff>
      <xdr:row>884</xdr:row>
      <xdr:rowOff>32278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233363</xdr:colOff>
      <xdr:row>906</xdr:row>
      <xdr:rowOff>95250</xdr:rowOff>
    </xdr:from>
    <xdr:to>
      <xdr:col>13</xdr:col>
      <xdr:colOff>456702</xdr:colOff>
      <xdr:row>920</xdr:row>
      <xdr:rowOff>144026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328613</xdr:colOff>
      <xdr:row>945</xdr:row>
      <xdr:rowOff>23813</xdr:rowOff>
    </xdr:from>
    <xdr:to>
      <xdr:col>16</xdr:col>
      <xdr:colOff>147638</xdr:colOff>
      <xdr:row>954</xdr:row>
      <xdr:rowOff>115422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1030</xdr:row>
      <xdr:rowOff>0</xdr:rowOff>
    </xdr:from>
    <xdr:to>
      <xdr:col>8</xdr:col>
      <xdr:colOff>647700</xdr:colOff>
      <xdr:row>1046</xdr:row>
      <xdr:rowOff>128587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&#25991;&#20214;&#22841;/&#22823;&#25968;&#25454;&#24211;/&#25968;&#25454;&#24211;&#26032;&#2925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1111/&#19996;&#21556;&#38134;&#34892;/&#25968;&#25454;&#24211;0901/&#12304;&#19996;&#21556;&#38134;&#34892;&#39532;&#23159;&#23159;&#22242;&#38431;&#12305;&#38134;&#34892;&#25968;&#25454;&#24211;&#21450;&#27169;&#22411;/&#22269;&#26377;&#22823;&#34892;/&#24037;&#21830;&#38134;&#34892;/&#12304;&#19996;&#21556;&#38134;&#34892;&#12305;&#24037;&#21830;&#38134;&#34892;&#25968;&#25454;&#242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辅助页"/>
      <sheetName val="工商银行"/>
      <sheetName val="光大银行"/>
      <sheetName val="交通银行"/>
      <sheetName val="平安银行"/>
    </sheetNames>
    <sheetDataSet>
      <sheetData sheetId="0"/>
      <sheetData sheetId="1"/>
      <sheetData sheetId="2">
        <row r="372">
          <cell r="E372">
            <v>2012</v>
          </cell>
          <cell r="F372">
            <v>2013</v>
          </cell>
          <cell r="G372">
            <v>2014</v>
          </cell>
          <cell r="H372">
            <v>2015</v>
          </cell>
          <cell r="I372" t="str">
            <v>2016H</v>
          </cell>
          <cell r="J372">
            <v>2016</v>
          </cell>
          <cell r="K372" t="str">
            <v>2017H</v>
          </cell>
        </row>
        <row r="373">
          <cell r="D373" t="str">
            <v>不良生成额</v>
          </cell>
          <cell r="E373">
            <v>90.919999999999987</v>
          </cell>
          <cell r="F373">
            <v>356.14</v>
          </cell>
          <cell r="G373">
            <v>691.72</v>
          </cell>
          <cell r="H373">
            <v>1153.17</v>
          </cell>
          <cell r="I373">
            <v>589.32999999999993</v>
          </cell>
          <cell r="J373">
            <v>1064.2700000000002</v>
          </cell>
          <cell r="K373">
            <v>541.1099999999999</v>
          </cell>
        </row>
        <row r="374">
          <cell r="D374" t="str">
            <v>不良生成率</v>
          </cell>
          <cell r="E374">
            <v>1.1673026360471833E-3</v>
          </cell>
          <cell r="F374">
            <v>4.0453482470763401E-3</v>
          </cell>
          <cell r="G374">
            <v>6.9713155339639482E-3</v>
          </cell>
          <cell r="H374">
            <v>1.0458329248414546E-2</v>
          </cell>
          <cell r="I374" t="e">
            <v>#N/A</v>
          </cell>
          <cell r="J374">
            <v>8.9183645388523341E-3</v>
          </cell>
          <cell r="K37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摘要"/>
      <sheetName val="一张图"/>
      <sheetName val="投资类资产"/>
      <sheetName val="收入拆分 "/>
      <sheetName val="利润表(单季)"/>
      <sheetName val="利润表"/>
      <sheetName val="利润分解"/>
      <sheetName val="资本充足情况"/>
      <sheetName val="资产负债结构"/>
      <sheetName val="贷款结构及质量"/>
      <sheetName val="不良生成率"/>
      <sheetName val="存款结构"/>
      <sheetName val="净息差 "/>
      <sheetName val="同业存单"/>
    </sheetNames>
    <sheetDataSet>
      <sheetData sheetId="0"/>
      <sheetData sheetId="1"/>
      <sheetData sheetId="2"/>
      <sheetData sheetId="3"/>
      <sheetData sheetId="4">
        <row r="24">
          <cell r="N24" t="str">
            <v>2016Q1</v>
          </cell>
          <cell r="O24" t="str">
            <v>2016Q2</v>
          </cell>
          <cell r="P24" t="str">
            <v>2016Q3</v>
          </cell>
          <cell r="Q24" t="str">
            <v>2016Q4</v>
          </cell>
          <cell r="R24" t="str">
            <v>2017Q1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4"/>
  <sheetViews>
    <sheetView showGridLines="0" tabSelected="1" workbookViewId="0">
      <selection activeCell="G19" sqref="G19"/>
    </sheetView>
  </sheetViews>
  <sheetFormatPr defaultRowHeight="13.9" x14ac:dyDescent="0.4"/>
  <cols>
    <col min="1" max="1" width="14.86328125" bestFit="1" customWidth="1"/>
    <col min="2" max="2" width="24.3984375" customWidth="1"/>
    <col min="3" max="3" width="18.46484375" customWidth="1"/>
    <col min="4" max="6" width="10.1328125" bestFit="1" customWidth="1"/>
    <col min="7" max="7" width="13.265625" bestFit="1" customWidth="1"/>
    <col min="8" max="8" width="10.1328125" bestFit="1" customWidth="1"/>
    <col min="9" max="9" width="9.1328125" bestFit="1" customWidth="1"/>
    <col min="10" max="10" width="9.53125" bestFit="1" customWidth="1"/>
  </cols>
  <sheetData>
    <row r="1" spans="1:46" s="432" customFormat="1" ht="14.25" x14ac:dyDescent="0.4">
      <c r="A1" s="964" t="s">
        <v>1384</v>
      </c>
      <c r="B1" s="431"/>
    </row>
    <row r="2" spans="1:46" s="174" customFormat="1" ht="14.25" x14ac:dyDescent="0.4">
      <c r="A2" s="433"/>
      <c r="B2" s="433"/>
    </row>
    <row r="3" spans="1:46" s="434" customFormat="1" ht="14.25" x14ac:dyDescent="0.4">
      <c r="A3" s="171" t="s">
        <v>449</v>
      </c>
      <c r="B3" s="171" t="s">
        <v>450</v>
      </c>
      <c r="C3" s="171" t="s">
        <v>448</v>
      </c>
    </row>
    <row r="4" spans="1:46" ht="14.25" x14ac:dyDescent="0.4">
      <c r="A4" s="431" t="s">
        <v>1294</v>
      </c>
      <c r="B4" s="431" t="s">
        <v>1386</v>
      </c>
      <c r="C4" s="431" t="s">
        <v>1389</v>
      </c>
    </row>
    <row r="5" spans="1:46" ht="14.25" x14ac:dyDescent="0.4">
      <c r="A5" s="169"/>
      <c r="B5" s="169"/>
    </row>
    <row r="6" spans="1:46" ht="14.25" x14ac:dyDescent="0.4">
      <c r="A6" s="169"/>
      <c r="B6" s="169"/>
    </row>
    <row r="7" spans="1:46" s="432" customFormat="1" ht="14.25" x14ac:dyDescent="0.4">
      <c r="A7" s="964" t="s">
        <v>213</v>
      </c>
      <c r="B7" s="431"/>
    </row>
    <row r="9" spans="1:46" ht="14.25" x14ac:dyDescent="0.4">
      <c r="A9" s="171" t="s">
        <v>448</v>
      </c>
      <c r="B9" s="171" t="s">
        <v>517</v>
      </c>
      <c r="G9" s="171" t="s">
        <v>1381</v>
      </c>
      <c r="H9" s="171" t="s">
        <v>1379</v>
      </c>
    </row>
    <row r="10" spans="1:46" ht="14.25" x14ac:dyDescent="0.4">
      <c r="A10" s="430" t="s">
        <v>1387</v>
      </c>
      <c r="B10" s="430" t="s">
        <v>1388</v>
      </c>
      <c r="C10" s="1023" t="str">
        <f>VLOOKUP(B10,辅助页!A2:B427,2,FALSE)</f>
        <v>（单位：%）</v>
      </c>
      <c r="D10" s="170"/>
      <c r="F10" s="170"/>
      <c r="G10" s="1077">
        <v>40908</v>
      </c>
      <c r="H10" s="1078" t="s">
        <v>1385</v>
      </c>
      <c r="I10" s="170"/>
    </row>
    <row r="11" spans="1:46" s="174" customFormat="1" ht="14.25" x14ac:dyDescent="0.4">
      <c r="A11" s="172"/>
      <c r="B11" s="172"/>
      <c r="C11" s="173"/>
      <c r="D11" s="173"/>
      <c r="E11" s="173"/>
      <c r="F11" s="173"/>
      <c r="G11" s="173"/>
      <c r="H11" s="173"/>
      <c r="I11" s="173"/>
    </row>
    <row r="12" spans="1:46" x14ac:dyDescent="0.4">
      <c r="A12" s="1074"/>
      <c r="B12" s="178"/>
      <c r="C12" s="179">
        <f>G10</f>
        <v>40908</v>
      </c>
      <c r="D12" s="179">
        <f>IF(C12="","",IF(EOMONTH(C12,辅助页!$G$2)&gt;辅助页!$E$44,"",EOMONTH(C12,辅助页!$G$2)))</f>
        <v>41090</v>
      </c>
      <c r="E12" s="179">
        <f>IF(D12="","",IF(EOMONTH(D12,辅助页!$G$2)&gt;辅助页!$E$44,"",EOMONTH(D12,辅助页!$G$2)))</f>
        <v>41274</v>
      </c>
      <c r="F12" s="179">
        <f>IF(E12="","",IF(EOMONTH(E12,辅助页!$G$2)&gt;辅助页!$E$44,"",EOMONTH(E12,辅助页!$G$2)))</f>
        <v>41455</v>
      </c>
      <c r="G12" s="179">
        <f>IF(F12="","",IF(EOMONTH(F12,辅助页!$G$2)&gt;辅助页!$E$44,"",EOMONTH(F12,辅助页!$G$2)))</f>
        <v>41639</v>
      </c>
      <c r="H12" s="179">
        <f>IF(G12="","",IF(EOMONTH(G12,辅助页!$G$2)&gt;辅助页!$E$44,"",EOMONTH(G12,辅助页!$G$2)))</f>
        <v>41820</v>
      </c>
      <c r="I12" s="179">
        <f>IF(H12="","",IF(EOMONTH(H12,辅助页!$G$2)&gt;辅助页!$E$44,"",EOMONTH(H12,辅助页!$G$2)))</f>
        <v>42004</v>
      </c>
      <c r="J12" s="179">
        <f>IF(I12="","",IF(EOMONTH(I12,辅助页!$G$2)&gt;辅助页!$E$44,"",EOMONTH(I12,辅助页!$G$2)))</f>
        <v>42185</v>
      </c>
      <c r="K12" s="179">
        <f>IF(J12="","",IF(EOMONTH(J12,辅助页!$G$2)&gt;辅助页!$E$44,"",EOMONTH(J12,辅助页!$G$2)))</f>
        <v>42369</v>
      </c>
      <c r="L12" s="179">
        <f>IF(K12="","",IF(EOMONTH(K12,辅助页!$G$2)&gt;辅助页!$E$44,"",EOMONTH(K12,辅助页!$G$2)))</f>
        <v>42551</v>
      </c>
      <c r="M12" s="179">
        <f>IF(L12="","",IF(EOMONTH(L12,辅助页!$G$2)&gt;辅助页!$E$44,"",EOMONTH(L12,辅助页!$G$2)))</f>
        <v>42735</v>
      </c>
      <c r="N12" s="179">
        <f>IF(M12="","",IF(EOMONTH(M12,辅助页!$G$2)&gt;辅助页!$E$44,"",EOMONTH(M12,辅助页!$G$2)))</f>
        <v>42916</v>
      </c>
      <c r="O12" s="179" t="str">
        <f>IF(N12="","",IF(EOMONTH(N12,辅助页!$G$2)&gt;辅助页!$E$44,"",EOMONTH(N12,辅助页!$G$2)))</f>
        <v/>
      </c>
      <c r="P12" s="179" t="str">
        <f>IF(O12="","",IF(EOMONTH(O12,辅助页!$G$2)&gt;辅助页!$E$44,"",EOMONTH(O12,辅助页!$G$2)))</f>
        <v/>
      </c>
      <c r="Q12" s="179" t="str">
        <f>IF(P12="","",IF(EOMONTH(P12,辅助页!$G$2)&gt;辅助页!$E$44,"",EOMONTH(P12,辅助页!$G$2)))</f>
        <v/>
      </c>
      <c r="R12" s="179" t="str">
        <f>IF(Q12="","",IF(EOMONTH(Q12,辅助页!$G$2)&gt;辅助页!$E$44,"",EOMONTH(Q12,辅助页!$G$2)))</f>
        <v/>
      </c>
      <c r="S12" s="179" t="str">
        <f>IF(R12="","",IF(EOMONTH(R12,辅助页!$G$2)&gt;辅助页!$E$44,"",EOMONTH(R12,辅助页!$G$2)))</f>
        <v/>
      </c>
      <c r="T12" s="179" t="str">
        <f>IF(S12="","",IF(EOMONTH(S12,辅助页!$G$2)&gt;辅助页!$E$44,"",EOMONTH(S12,辅助页!$G$2)))</f>
        <v/>
      </c>
      <c r="U12" s="179" t="str">
        <f>IF(T12="","",IF(EOMONTH(T12,辅助页!$G$2)&gt;辅助页!$E$44,"",EOMONTH(T12,辅助页!$G$2)))</f>
        <v/>
      </c>
      <c r="V12" s="179" t="str">
        <f>IF(U12="","",IF(EOMONTH(U12,辅助页!$G$2)&gt;辅助页!$E$44,"",EOMONTH(U12,辅助页!$G$2)))</f>
        <v/>
      </c>
      <c r="W12" s="179" t="str">
        <f>IF(V12="","",IF(EOMONTH(V12,辅助页!$G$2)&gt;辅助页!$E$44,"",EOMONTH(V12,辅助页!$G$2)))</f>
        <v/>
      </c>
      <c r="X12" s="179" t="str">
        <f>IF(W12="","",IF(EOMONTH(W12,辅助页!$G$2)&gt;辅助页!$E$44,"",EOMONTH(W12,辅助页!$G$2)))</f>
        <v/>
      </c>
      <c r="Y12" s="179" t="str">
        <f>IF(X12="","",IF(EOMONTH(X12,辅助页!$G$2)&gt;辅助页!$E$44,"",EOMONTH(X12,辅助页!$G$2)))</f>
        <v/>
      </c>
      <c r="Z12" s="179" t="str">
        <f>IF(Y12="","",IF(EOMONTH(Y12,辅助页!$G$2)&gt;辅助页!$E$44,"",EOMONTH(Y12,辅助页!$G$2)))</f>
        <v/>
      </c>
      <c r="AA12" s="179" t="str">
        <f>IF(Z12="","",IF(EOMONTH(Z12,辅助页!$G$2)&gt;辅助页!$E$44,"",EOMONTH(Z12,辅助页!$G$2)))</f>
        <v/>
      </c>
      <c r="AB12" s="179" t="str">
        <f>IF(AA12="","",IF(EOMONTH(AA12,辅助页!$G$2)&gt;辅助页!$E$44,"",EOMONTH(AA12,辅助页!$G$2)))</f>
        <v/>
      </c>
      <c r="AC12" s="179" t="str">
        <f>IF(AB12="","",IF(EOMONTH(AB12,辅助页!$G$2)&gt;辅助页!$E$44,"",EOMONTH(AB12,辅助页!$G$2)))</f>
        <v/>
      </c>
      <c r="AD12" s="179" t="str">
        <f>IF(AC12="","",IF(EOMONTH(AC12,辅助页!$G$2)&gt;辅助页!$E$44,"",EOMONTH(AC12,辅助页!$G$2)))</f>
        <v/>
      </c>
      <c r="AE12" s="179" t="str">
        <f>IF(AD12="","",IF(EOMONTH(AD12,辅助页!$G$2)&gt;辅助页!$E$44,"",EOMONTH(AD12,辅助页!$G$2)))</f>
        <v/>
      </c>
      <c r="AF12" s="179" t="str">
        <f>IF(AE12="","",IF(EOMONTH(AE12,辅助页!$G$2)&gt;辅助页!$E$44,"",EOMONTH(AE12,辅助页!$G$2)))</f>
        <v/>
      </c>
      <c r="AG12" s="179" t="str">
        <f>IF(AF12="","",IF(EOMONTH(AF12,辅助页!$G$2)&gt;辅助页!$E$44,"",EOMONTH(AF12,辅助页!$G$2)))</f>
        <v/>
      </c>
      <c r="AH12" s="179" t="str">
        <f>IF(AG12="","",IF(EOMONTH(AG12,辅助页!$G$2)&gt;辅助页!$E$44,"",EOMONTH(AG12,辅助页!$G$2)))</f>
        <v/>
      </c>
      <c r="AI12" s="179" t="str">
        <f>IF(AH12="","",IF(EOMONTH(AH12,辅助页!$G$2)&gt;辅助页!$E$44,"",EOMONTH(AH12,辅助页!$G$2)))</f>
        <v/>
      </c>
      <c r="AJ12" s="179" t="str">
        <f>IF(AI12="","",IF(EOMONTH(AI12,辅助页!$G$2)&gt;辅助页!$E$44,"",EOMONTH(AI12,辅助页!$G$2)))</f>
        <v/>
      </c>
      <c r="AK12" s="179" t="str">
        <f>IF(AJ12="","",IF(EOMONTH(AJ12,辅助页!$G$2)&gt;辅助页!$E$44,"",EOMONTH(AJ12,辅助页!$G$2)))</f>
        <v/>
      </c>
      <c r="AL12" s="179" t="str">
        <f>IF(AK12="","",IF(EOMONTH(AK12,辅助页!$G$2)&gt;辅助页!$E$44,"",EOMONTH(AK12,辅助页!$G$2)))</f>
        <v/>
      </c>
      <c r="AM12" s="179" t="str">
        <f>IF(AL12="","",IF(EOMONTH(AL12,辅助页!$G$2)&gt;辅助页!$E$44,"",EOMONTH(AL12,辅助页!$G$2)))</f>
        <v/>
      </c>
      <c r="AN12" s="179" t="str">
        <f>IF(AM12="","",IF(EOMONTH(AM12,辅助页!$G$2)&gt;辅助页!$E$44,"",EOMONTH(AM12,辅助页!$G$2)))</f>
        <v/>
      </c>
      <c r="AO12" s="179" t="str">
        <f>IF(AN12="","",IF(EOMONTH(AN12,辅助页!$G$2)&gt;辅助页!$E$44,"",EOMONTH(AN12,辅助页!$G$2)))</f>
        <v/>
      </c>
      <c r="AP12" s="179" t="str">
        <f>IF(AO12="","",IF(EOMONTH(AO12,辅助页!$G$2)&gt;辅助页!$E$44,"",EOMONTH(AO12,辅助页!$G$2)))</f>
        <v/>
      </c>
      <c r="AQ12" s="179" t="str">
        <f>IF(AP12="","",IF(EOMONTH(AP12,辅助页!$G$2)&gt;辅助页!$E$44,"",EOMONTH(AP12,辅助页!$G$2)))</f>
        <v/>
      </c>
      <c r="AR12" s="179" t="str">
        <f>IF(AQ12="","",IF(EOMONTH(AQ12,辅助页!$G$2)&gt;辅助页!$E$44,"",EOMONTH(AQ12,辅助页!$G$2)))</f>
        <v/>
      </c>
      <c r="AS12" s="179" t="str">
        <f>IF(AR12="","",IF(EOMONTH(AR12,辅助页!$G$2)&gt;辅助页!$E$44,"",EOMONTH(AR12,辅助页!$G$2)))</f>
        <v/>
      </c>
      <c r="AT12" s="1075"/>
    </row>
    <row r="13" spans="1:46" ht="14.25" x14ac:dyDescent="0.4">
      <c r="A13" s="170"/>
      <c r="B13" s="175" t="s">
        <v>203</v>
      </c>
      <c r="C13" s="1085">
        <f>INDEX(工商银行!$D$9:$AT$2000,MATCH(首页!$B$10,工商银行!$C$9:$C$2000,0),MATCH(首页!C$12,工商银行!$D$6:$AT$6,0))</f>
        <v>0</v>
      </c>
      <c r="D13" s="1085">
        <f>INDEX(工商银行!$D$9:$AT$2000,MATCH(首页!$B$10,工商银行!$C$9:$C$2000,0),MATCH(首页!D$12,工商银行!$D$6:$AT$6,0))</f>
        <v>0</v>
      </c>
      <c r="E13" s="1085">
        <f>INDEX(工商银行!$D$9:$AT$2000,MATCH(首页!$B$10,工商银行!$C$9:$C$2000,0),MATCH(首页!E$12,工商银行!$D$6:$AT$6,0))</f>
        <v>0.28557114788293025</v>
      </c>
      <c r="F13" s="1085">
        <f>INDEX(工商银行!$D$9:$AT$2000,MATCH(首页!$B$10,工商银行!$C$9:$C$2000,0),MATCH(首页!F$12,工商银行!$D$6:$AT$6,0))</f>
        <v>0</v>
      </c>
      <c r="G13" s="1085">
        <f>INDEX(工商银行!$D$9:$AT$2000,MATCH(首页!$B$10,工商银行!$C$9:$C$2000,0),MATCH(首页!G$12,工商银行!$D$6:$AT$6,0))</f>
        <v>0.28030805393827052</v>
      </c>
      <c r="H13" s="1085">
        <f>INDEX(工商银行!$D$9:$AT$2000,MATCH(首页!$B$10,工商银行!$C$9:$C$2000,0),MATCH(首页!H$12,工商银行!$D$6:$AT$6,0))</f>
        <v>0</v>
      </c>
      <c r="I13" s="1085">
        <f>INDEX(工商银行!$D$9:$AT$2000,MATCH(首页!$B$10,工商银行!$C$9:$C$2000,0),MATCH(首页!I$12,工商银行!$D$6:$AT$6,0))</f>
        <v>0.26751121579864379</v>
      </c>
      <c r="J13" s="1085">
        <f>INDEX(工商银行!$D$9:$AT$2000,MATCH(首页!$B$10,工商银行!$C$9:$C$2000,0),MATCH(首页!J$12,工商银行!$D$6:$AT$6,0))</f>
        <v>0</v>
      </c>
      <c r="K13" s="1085">
        <f>INDEX(工商银行!$D$9:$AT$2000,MATCH(首页!$B$10,工商银行!$C$9:$C$2000,0),MATCH(首页!K$12,工商银行!$D$6:$AT$6,0))</f>
        <v>0.25488965049659784</v>
      </c>
      <c r="L13" s="1085">
        <f>INDEX(工商银行!$D$9:$AT$2000,MATCH(首页!$B$10,工商银行!$C$9:$C$2000,0),MATCH(首页!L$12,工商银行!$D$6:$AT$6,0))</f>
        <v>0.21510889926468532</v>
      </c>
      <c r="M13" s="1085">
        <f>INDEX(工商银行!$D$9:$AT$2000,MATCH(首页!$B$10,工商银行!$C$9:$C$2000,0),MATCH(首页!M$12,工商银行!$D$6:$AT$6,0))</f>
        <v>0.25914829462147004</v>
      </c>
      <c r="N13" s="1085">
        <f>INDEX(工商银行!$D$9:$AT$2000,MATCH(首页!$B$10,工商银行!$C$9:$C$2000,0),MATCH(首页!N$12,工商银行!$D$6:$AT$6,0))</f>
        <v>0.21010849065721202</v>
      </c>
      <c r="O13" s="1085" t="e">
        <f>INDEX(工商银行!$D$9:$AT$2000,MATCH(首页!$B$10,工商银行!$C$9:$C$2000,0),MATCH(首页!O$12,工商银行!$D$6:$AT$6,0))</f>
        <v>#N/A</v>
      </c>
      <c r="P13" s="1085" t="e">
        <f>INDEX(工商银行!$D$9:$AT$2000,MATCH(首页!$B$10,工商银行!$C$9:$C$2000,0),MATCH(首页!P$12,工商银行!$D$6:$AT$6,0))</f>
        <v>#N/A</v>
      </c>
      <c r="Q13" s="1085" t="e">
        <f>INDEX(工商银行!$D$9:$AT$2000,MATCH(首页!$B$10,工商银行!$C$9:$C$2000,0),MATCH(首页!Q$12,工商银行!$D$6:$AT$6,0))</f>
        <v>#N/A</v>
      </c>
      <c r="R13" s="1085" t="e">
        <f>INDEX(工商银行!$D$9:$AT$2000,MATCH(首页!$B$10,工商银行!$C$9:$C$2000,0),MATCH(首页!R$12,工商银行!$D$6:$AT$6,0))</f>
        <v>#N/A</v>
      </c>
      <c r="S13" s="1085" t="e">
        <f>INDEX(工商银行!$D$9:$AT$2000,MATCH(首页!$B$10,工商银行!$C$9:$C$2000,0),MATCH(首页!S$12,工商银行!$D$6:$AT$6,0))</f>
        <v>#N/A</v>
      </c>
      <c r="T13" s="1085" t="e">
        <f>INDEX(工商银行!$D$9:$AT$2000,MATCH(首页!$B$10,工商银行!$C$9:$C$2000,0),MATCH(首页!T$12,工商银行!$D$6:$AT$6,0))</f>
        <v>#N/A</v>
      </c>
      <c r="U13" s="1085" t="e">
        <f>INDEX(工商银行!$D$9:$AT$2000,MATCH(首页!$B$10,工商银行!$C$9:$C$2000,0),MATCH(首页!U$12,工商银行!$D$6:$AT$6,0))</f>
        <v>#N/A</v>
      </c>
      <c r="V13" s="1085" t="e">
        <f>INDEX(工商银行!$D$9:$AT$2000,MATCH(首页!$B$10,工商银行!$C$9:$C$2000,0),MATCH(首页!V$12,工商银行!$D$6:$AT$6,0))</f>
        <v>#N/A</v>
      </c>
      <c r="W13" s="1085" t="e">
        <f>INDEX(工商银行!$D$9:$AT$2000,MATCH(首页!$B$10,工商银行!$C$9:$C$2000,0),MATCH(首页!W$12,工商银行!$D$6:$AT$6,0))</f>
        <v>#N/A</v>
      </c>
      <c r="X13" s="1085" t="e">
        <f>INDEX(工商银行!$D$9:$AT$2000,MATCH(首页!$B$10,工商银行!$C$9:$C$2000,0),MATCH(首页!X$12,工商银行!$D$6:$AT$6,0))</f>
        <v>#N/A</v>
      </c>
      <c r="Y13" s="1085" t="e">
        <f>INDEX(工商银行!$D$9:$AT$2000,MATCH(首页!$B$10,工商银行!$C$9:$C$2000,0),MATCH(首页!Y$12,工商银行!$D$6:$AT$6,0))</f>
        <v>#N/A</v>
      </c>
      <c r="Z13" s="1085" t="e">
        <f>INDEX(工商银行!$D$9:$AT$2000,MATCH(首页!$B$10,工商银行!$C$9:$C$2000,0),MATCH(首页!Z$12,工商银行!$D$6:$AT$6,0))</f>
        <v>#N/A</v>
      </c>
      <c r="AA13" s="1085" t="e">
        <f>INDEX(工商银行!$D$9:$AT$2000,MATCH(首页!$B$10,工商银行!$C$9:$C$2000,0),MATCH(首页!AA$12,工商银行!$D$6:$AT$6,0))</f>
        <v>#N/A</v>
      </c>
      <c r="AB13" s="1085" t="e">
        <f>INDEX(工商银行!$D$9:$AT$2000,MATCH(首页!$B$10,工商银行!$C$9:$C$2000,0),MATCH(首页!AB$12,工商银行!$D$6:$AT$6,0))</f>
        <v>#N/A</v>
      </c>
      <c r="AC13" s="1085" t="e">
        <f>INDEX(工商银行!$D$9:$AT$2000,MATCH(首页!$B$10,工商银行!$C$9:$C$2000,0),MATCH(首页!AC$12,工商银行!$D$6:$AT$6,0))</f>
        <v>#N/A</v>
      </c>
      <c r="AD13" s="1085" t="e">
        <f>INDEX(工商银行!$D$9:$AT$2000,MATCH(首页!$B$10,工商银行!$C$9:$C$2000,0),MATCH(首页!AD$12,工商银行!$D$6:$AT$6,0))</f>
        <v>#N/A</v>
      </c>
      <c r="AE13" s="1085" t="e">
        <f>INDEX(工商银行!$D$9:$AT$2000,MATCH(首页!$B$10,工商银行!$C$9:$C$2000,0),MATCH(首页!AE$12,工商银行!$D$6:$AT$6,0))</f>
        <v>#N/A</v>
      </c>
      <c r="AF13" s="1085" t="e">
        <f>INDEX(工商银行!$D$9:$AT$2000,MATCH(首页!$B$10,工商银行!$C$9:$C$2000,0),MATCH(首页!AF$12,工商银行!$D$6:$AT$6,0))</f>
        <v>#N/A</v>
      </c>
      <c r="AG13" s="1085" t="e">
        <f>INDEX(工商银行!$D$9:$AT$2000,MATCH(首页!$B$10,工商银行!$C$9:$C$2000,0),MATCH(首页!AG$12,工商银行!$D$6:$AT$6,0))</f>
        <v>#N/A</v>
      </c>
      <c r="AH13" s="1085" t="e">
        <f>INDEX(工商银行!$D$9:$AT$2000,MATCH(首页!$B$10,工商银行!$C$9:$C$2000,0),MATCH(首页!AH$12,工商银行!$D$6:$AT$6,0))</f>
        <v>#N/A</v>
      </c>
      <c r="AI13" s="1085" t="e">
        <f>INDEX(工商银行!$D$9:$AT$2000,MATCH(首页!$B$10,工商银行!$C$9:$C$2000,0),MATCH(首页!AI$12,工商银行!$D$6:$AT$6,0))</f>
        <v>#N/A</v>
      </c>
      <c r="AJ13" s="1085" t="e">
        <f>INDEX(工商银行!$D$9:$AT$2000,MATCH(首页!$B$10,工商银行!$C$9:$C$2000,0),MATCH(首页!AJ$12,工商银行!$D$6:$AT$6,0))</f>
        <v>#N/A</v>
      </c>
      <c r="AK13" s="1085" t="e">
        <f>INDEX(工商银行!$D$9:$AT$2000,MATCH(首页!$B$10,工商银行!$C$9:$C$2000,0),MATCH(首页!AK$12,工商银行!$D$6:$AT$6,0))</f>
        <v>#N/A</v>
      </c>
      <c r="AL13" s="1085" t="e">
        <f>INDEX(工商银行!$D$9:$AT$2000,MATCH(首页!$B$10,工商银行!$C$9:$C$2000,0),MATCH(首页!AL$12,工商银行!$D$6:$AT$6,0))</f>
        <v>#N/A</v>
      </c>
      <c r="AM13" s="1085" t="e">
        <f>INDEX(工商银行!$D$9:$AT$2000,MATCH(首页!$B$10,工商银行!$C$9:$C$2000,0),MATCH(首页!AM$12,工商银行!$D$6:$AT$6,0))</f>
        <v>#N/A</v>
      </c>
      <c r="AN13" s="1085" t="e">
        <f>INDEX(工商银行!$D$9:$AT$2000,MATCH(首页!$B$10,工商银行!$C$9:$C$2000,0),MATCH(首页!AN$12,工商银行!$D$6:$AT$6,0))</f>
        <v>#N/A</v>
      </c>
      <c r="AO13" s="1085" t="e">
        <f>INDEX(工商银行!$D$9:$AT$2000,MATCH(首页!$B$10,工商银行!$C$9:$C$2000,0),MATCH(首页!AO$12,工商银行!$D$6:$AT$6,0))</f>
        <v>#N/A</v>
      </c>
      <c r="AP13" s="1085" t="e">
        <f>INDEX(工商银行!$D$9:$AT$2000,MATCH(首页!$B$10,工商银行!$C$9:$C$2000,0),MATCH(首页!AP$12,工商银行!$D$6:$AT$6,0))</f>
        <v>#N/A</v>
      </c>
      <c r="AQ13" s="1085" t="e">
        <f>INDEX(工商银行!$D$9:$AT$2000,MATCH(首页!$B$10,工商银行!$C$9:$C$2000,0),MATCH(首页!AQ$12,工商银行!$D$6:$AT$6,0))</f>
        <v>#N/A</v>
      </c>
      <c r="AR13" s="1085" t="e">
        <f>INDEX(工商银行!$D$9:$AT$2000,MATCH(首页!$B$10,工商银行!$C$9:$C$2000,0),MATCH(首页!AR$12,工商银行!$D$6:$AT$6,0))</f>
        <v>#N/A</v>
      </c>
      <c r="AS13" s="1085" t="e">
        <f>INDEX(工商银行!$D$9:$AT$2000,MATCH(首页!$B$10,工商银行!$C$9:$C$2000,0),MATCH(首页!AS$12,工商银行!$D$6:$AT$6,0))</f>
        <v>#N/A</v>
      </c>
    </row>
    <row r="14" spans="1:46" ht="14.25" x14ac:dyDescent="0.4">
      <c r="A14" s="170"/>
      <c r="B14" s="175" t="s">
        <v>204</v>
      </c>
      <c r="C14" s="1085" t="e">
        <f>INDEX(交通银行!$E$9:$AT$1000,MATCH(首页!$B$10,交通银行!$C$9:$C$1000,0),MATCH(首页!C$12,交通银行!$E$6:$AT$6,0))</f>
        <v>#N/A</v>
      </c>
      <c r="D14" s="1085" t="e">
        <f>INDEX(交通银行!$E$9:$AT$1000,MATCH(首页!$B$10,交通银行!$C$9:$C$1000,0),MATCH(首页!D$12,交通银行!$E$6:$AT$6,0))</f>
        <v>#N/A</v>
      </c>
      <c r="E14" s="1085" t="e">
        <f>INDEX(交通银行!$E$9:$AT$1000,MATCH(首页!$B$10,交通银行!$C$9:$C$1000,0),MATCH(首页!E$12,交通银行!$E$6:$AT$6,0))</f>
        <v>#N/A</v>
      </c>
      <c r="F14" s="1085" t="e">
        <f>INDEX(交通银行!$E$9:$AT$1000,MATCH(首页!$B$10,交通银行!$C$9:$C$1000,0),MATCH(首页!F$12,交通银行!$E$6:$AT$6,0))</f>
        <v>#N/A</v>
      </c>
      <c r="G14" s="1085" t="e">
        <f>INDEX(交通银行!$E$9:$AT$1000,MATCH(首页!$B$10,交通银行!$C$9:$C$1000,0),MATCH(首页!G$12,交通银行!$E$6:$AT$6,0))</f>
        <v>#N/A</v>
      </c>
      <c r="H14" s="1085" t="e">
        <f>INDEX(交通银行!$E$9:$AT$1000,MATCH(首页!$B$10,交通银行!$C$9:$C$1000,0),MATCH(首页!H$12,交通银行!$E$6:$AT$6,0))</f>
        <v>#N/A</v>
      </c>
      <c r="I14" s="1085" t="e">
        <f>INDEX(交通银行!$E$9:$AT$1000,MATCH(首页!$B$10,交通银行!$C$9:$C$1000,0),MATCH(首页!I$12,交通银行!$E$6:$AT$6,0))</f>
        <v>#N/A</v>
      </c>
      <c r="J14" s="1085" t="e">
        <f>INDEX(交通银行!$E$9:$AT$1000,MATCH(首页!$B$10,交通银行!$C$9:$C$1000,0),MATCH(首页!J$12,交通银行!$E$6:$AT$6,0))</f>
        <v>#N/A</v>
      </c>
      <c r="K14" s="1085" t="e">
        <f>INDEX(交通银行!$E$9:$AT$1000,MATCH(首页!$B$10,交通银行!$C$9:$C$1000,0),MATCH(首页!K$12,交通银行!$E$6:$AT$6,0))</f>
        <v>#N/A</v>
      </c>
      <c r="L14" s="1085" t="e">
        <f>INDEX(交通银行!$E$9:$AT$1000,MATCH(首页!$B$10,交通银行!$C$9:$C$1000,0),MATCH(首页!L$12,交通银行!$E$6:$AT$6,0))</f>
        <v>#N/A</v>
      </c>
      <c r="M14" s="1085" t="e">
        <f>INDEX(交通银行!$E$9:$AT$1000,MATCH(首页!$B$10,交通银行!$C$9:$C$1000,0),MATCH(首页!M$12,交通银行!$E$6:$AT$6,0))</f>
        <v>#N/A</v>
      </c>
      <c r="N14" s="1085" t="e">
        <f>INDEX(交通银行!$E$9:$AT$1000,MATCH(首页!$B$10,交通银行!$C$9:$C$1000,0),MATCH(首页!N$12,交通银行!$E$6:$AT$6,0))</f>
        <v>#N/A</v>
      </c>
      <c r="O14" s="1085" t="e">
        <f>INDEX(交通银行!$E$9:$AT$1000,MATCH(首页!$B$10,交通银行!$C$9:$C$1000,0),MATCH(首页!O$12,交通银行!$E$6:$AT$6,0))</f>
        <v>#N/A</v>
      </c>
      <c r="P14" s="1085" t="e">
        <f>INDEX(交通银行!$E$9:$AT$1000,MATCH(首页!$B$10,交通银行!$C$9:$C$1000,0),MATCH(首页!P$12,交通银行!$E$6:$AT$6,0))</f>
        <v>#N/A</v>
      </c>
      <c r="Q14" s="1085" t="e">
        <f>INDEX(交通银行!$E$9:$AT$1000,MATCH(首页!$B$10,交通银行!$C$9:$C$1000,0),MATCH(首页!Q$12,交通银行!$E$6:$AT$6,0))</f>
        <v>#N/A</v>
      </c>
      <c r="R14" s="1085" t="e">
        <f>INDEX(交通银行!$E$9:$AT$1000,MATCH(首页!$B$10,交通银行!$C$9:$C$1000,0),MATCH(首页!R$12,交通银行!$E$6:$AT$6,0))</f>
        <v>#N/A</v>
      </c>
      <c r="S14" s="1085" t="e">
        <f>INDEX(交通银行!$E$9:$AT$1000,MATCH(首页!$B$10,交通银行!$C$9:$C$1000,0),MATCH(首页!S$12,交通银行!$E$6:$AT$6,0))</f>
        <v>#N/A</v>
      </c>
      <c r="T14" s="1085" t="e">
        <f>INDEX(交通银行!$E$9:$AT$1000,MATCH(首页!$B$10,交通银行!$C$9:$C$1000,0),MATCH(首页!T$12,交通银行!$E$6:$AT$6,0))</f>
        <v>#N/A</v>
      </c>
      <c r="U14" s="1085" t="e">
        <f>INDEX(交通银行!$E$9:$AT$1000,MATCH(首页!$B$10,交通银行!$C$9:$C$1000,0),MATCH(首页!U$12,交通银行!$E$6:$AT$6,0))</f>
        <v>#N/A</v>
      </c>
      <c r="V14" s="1085" t="e">
        <f>INDEX(交通银行!$E$9:$AT$1000,MATCH(首页!$B$10,交通银行!$C$9:$C$1000,0),MATCH(首页!V$12,交通银行!$E$6:$AT$6,0))</f>
        <v>#N/A</v>
      </c>
      <c r="W14" s="1085" t="e">
        <f>INDEX(交通银行!$E$9:$AT$1000,MATCH(首页!$B$10,交通银行!$C$9:$C$1000,0),MATCH(首页!W$12,交通银行!$E$6:$AT$6,0))</f>
        <v>#N/A</v>
      </c>
      <c r="X14" s="1085" t="e">
        <f>INDEX(交通银行!$E$9:$AT$1000,MATCH(首页!$B$10,交通银行!$C$9:$C$1000,0),MATCH(首页!X$12,交通银行!$E$6:$AT$6,0))</f>
        <v>#N/A</v>
      </c>
      <c r="Y14" s="1085" t="e">
        <f>INDEX(交通银行!$E$9:$AT$1000,MATCH(首页!$B$10,交通银行!$C$9:$C$1000,0),MATCH(首页!Y$12,交通银行!$E$6:$AT$6,0))</f>
        <v>#N/A</v>
      </c>
      <c r="Z14" s="1085" t="e">
        <f>INDEX(交通银行!$E$9:$AT$1000,MATCH(首页!$B$10,交通银行!$C$9:$C$1000,0),MATCH(首页!Z$12,交通银行!$E$6:$AT$6,0))</f>
        <v>#N/A</v>
      </c>
      <c r="AA14" s="1085" t="e">
        <f>INDEX(交通银行!$E$9:$AT$1000,MATCH(首页!$B$10,交通银行!$C$9:$C$1000,0),MATCH(首页!AA$12,交通银行!$E$6:$AT$6,0))</f>
        <v>#N/A</v>
      </c>
      <c r="AB14" s="1085" t="e">
        <f>INDEX(交通银行!$E$9:$AT$1000,MATCH(首页!$B$10,交通银行!$C$9:$C$1000,0),MATCH(首页!AB$12,交通银行!$E$6:$AT$6,0))</f>
        <v>#N/A</v>
      </c>
      <c r="AC14" s="1085" t="e">
        <f>INDEX(交通银行!$E$9:$AT$1000,MATCH(首页!$B$10,交通银行!$C$9:$C$1000,0),MATCH(首页!AC$12,交通银行!$E$6:$AT$6,0))</f>
        <v>#N/A</v>
      </c>
      <c r="AD14" s="1085" t="e">
        <f>INDEX(交通银行!$E$9:$AT$1000,MATCH(首页!$B$10,交通银行!$C$9:$C$1000,0),MATCH(首页!AD$12,交通银行!$E$6:$AT$6,0))</f>
        <v>#N/A</v>
      </c>
      <c r="AE14" s="1085" t="e">
        <f>INDEX(交通银行!$E$9:$AT$1000,MATCH(首页!$B$10,交通银行!$C$9:$C$1000,0),MATCH(首页!AE$12,交通银行!$E$6:$AT$6,0))</f>
        <v>#N/A</v>
      </c>
      <c r="AF14" s="1085" t="e">
        <f>INDEX(交通银行!$E$9:$AT$1000,MATCH(首页!$B$10,交通银行!$C$9:$C$1000,0),MATCH(首页!AF$12,交通银行!$E$6:$AT$6,0))</f>
        <v>#N/A</v>
      </c>
      <c r="AG14" s="1085" t="e">
        <f>INDEX(交通银行!$E$9:$AT$1000,MATCH(首页!$B$10,交通银行!$C$9:$C$1000,0),MATCH(首页!AG$12,交通银行!$E$6:$AT$6,0))</f>
        <v>#N/A</v>
      </c>
      <c r="AH14" s="1085" t="e">
        <f>INDEX(交通银行!$E$9:$AT$1000,MATCH(首页!$B$10,交通银行!$C$9:$C$1000,0),MATCH(首页!AH$12,交通银行!$E$6:$AT$6,0))</f>
        <v>#N/A</v>
      </c>
      <c r="AI14" s="1085" t="e">
        <f>INDEX(交通银行!$E$9:$AT$1000,MATCH(首页!$B$10,交通银行!$C$9:$C$1000,0),MATCH(首页!AI$12,交通银行!$E$6:$AT$6,0))</f>
        <v>#N/A</v>
      </c>
      <c r="AJ14" s="1085" t="e">
        <f>INDEX(交通银行!$E$9:$AT$1000,MATCH(首页!$B$10,交通银行!$C$9:$C$1000,0),MATCH(首页!AJ$12,交通银行!$E$6:$AT$6,0))</f>
        <v>#N/A</v>
      </c>
      <c r="AK14" s="1085" t="e">
        <f>INDEX(交通银行!$E$9:$AT$1000,MATCH(首页!$B$10,交通银行!$C$9:$C$1000,0),MATCH(首页!AK$12,交通银行!$E$6:$AT$6,0))</f>
        <v>#N/A</v>
      </c>
      <c r="AL14" s="1085" t="e">
        <f>INDEX(交通银行!$E$9:$AT$1000,MATCH(首页!$B$10,交通银行!$C$9:$C$1000,0),MATCH(首页!AL$12,交通银行!$E$6:$AT$6,0))</f>
        <v>#N/A</v>
      </c>
      <c r="AM14" s="1085" t="e">
        <f>INDEX(交通银行!$E$9:$AT$1000,MATCH(首页!$B$10,交通银行!$C$9:$C$1000,0),MATCH(首页!AM$12,交通银行!$E$6:$AT$6,0))</f>
        <v>#N/A</v>
      </c>
      <c r="AN14" s="1085" t="e">
        <f>INDEX(交通银行!$E$9:$AT$1000,MATCH(首页!$B$10,交通银行!$C$9:$C$1000,0),MATCH(首页!AN$12,交通银行!$E$6:$AT$6,0))</f>
        <v>#N/A</v>
      </c>
      <c r="AO14" s="1085" t="e">
        <f>INDEX(交通银行!$E$9:$AT$1000,MATCH(首页!$B$10,交通银行!$C$9:$C$1000,0),MATCH(首页!AO$12,交通银行!$E$6:$AT$6,0))</f>
        <v>#N/A</v>
      </c>
      <c r="AP14" s="1085" t="e">
        <f>INDEX(交通银行!$E$9:$AT$1000,MATCH(首页!$B$10,交通银行!$C$9:$C$1000,0),MATCH(首页!AP$12,交通银行!$E$6:$AT$6,0))</f>
        <v>#N/A</v>
      </c>
      <c r="AQ14" s="1085" t="e">
        <f>INDEX(交通银行!$E$9:$AT$1000,MATCH(首页!$B$10,交通银行!$C$9:$C$1000,0),MATCH(首页!AQ$12,交通银行!$E$6:$AT$6,0))</f>
        <v>#N/A</v>
      </c>
      <c r="AR14" s="1085" t="e">
        <f>INDEX(交通银行!$E$9:$AT$1000,MATCH(首页!$B$10,交通银行!$C$9:$C$1000,0),MATCH(首页!AR$12,交通银行!$E$6:$AT$6,0))</f>
        <v>#N/A</v>
      </c>
      <c r="AS14" s="1085" t="e">
        <f>INDEX(交通银行!$E$9:$AT$1000,MATCH(首页!$B$10,交通银行!$C$9:$C$1000,0),MATCH(首页!AS$12,交通银行!$E$6:$AT$6,0))</f>
        <v>#N/A</v>
      </c>
    </row>
    <row r="15" spans="1:46" ht="14.25" x14ac:dyDescent="0.4">
      <c r="A15" s="170"/>
      <c r="B15" s="175" t="s">
        <v>183</v>
      </c>
      <c r="C15" s="1085" t="e">
        <f>INDEX(平安银行!$E$9:$AT$1000,MATCH(首页!$B$10,平安银行!$C$9:$C$1000,0),MATCH(首页!C$12,平安银行!$E$6:$AT$6,0))</f>
        <v>#N/A</v>
      </c>
      <c r="D15" s="1085" t="e">
        <f>INDEX(平安银行!$E$9:$AT$1000,MATCH(首页!$B$10,平安银行!$C$9:$C$1000,0),MATCH(首页!D$12,平安银行!$E$6:$AT$6,0))</f>
        <v>#N/A</v>
      </c>
      <c r="E15" s="1085" t="e">
        <f>INDEX(平安银行!$E$9:$AT$1000,MATCH(首页!$B$10,平安银行!$C$9:$C$1000,0),MATCH(首页!E$12,平安银行!$E$6:$AT$6,0))</f>
        <v>#N/A</v>
      </c>
      <c r="F15" s="1085" t="e">
        <f>INDEX(平安银行!$E$9:$AT$1000,MATCH(首页!$B$10,平安银行!$C$9:$C$1000,0),MATCH(首页!F$12,平安银行!$E$6:$AT$6,0))</f>
        <v>#N/A</v>
      </c>
      <c r="G15" s="1085" t="e">
        <f>INDEX(平安银行!$E$9:$AT$1000,MATCH(首页!$B$10,平安银行!$C$9:$C$1000,0),MATCH(首页!G$12,平安银行!$E$6:$AT$6,0))</f>
        <v>#N/A</v>
      </c>
      <c r="H15" s="1085" t="e">
        <f>INDEX(平安银行!$E$9:$AT$1000,MATCH(首页!$B$10,平安银行!$C$9:$C$1000,0),MATCH(首页!H$12,平安银行!$E$6:$AT$6,0))</f>
        <v>#N/A</v>
      </c>
      <c r="I15" s="1085" t="e">
        <f>INDEX(平安银行!$E$9:$AT$1000,MATCH(首页!$B$10,平安银行!$C$9:$C$1000,0),MATCH(首页!I$12,平安银行!$E$6:$AT$6,0))</f>
        <v>#N/A</v>
      </c>
      <c r="J15" s="1085" t="e">
        <f>INDEX(平安银行!$E$9:$AT$1000,MATCH(首页!$B$10,平安银行!$C$9:$C$1000,0),MATCH(首页!J$12,平安银行!$E$6:$AT$6,0))</f>
        <v>#N/A</v>
      </c>
      <c r="K15" s="1085" t="e">
        <f>INDEX(平安银行!$E$9:$AT$1000,MATCH(首页!$B$10,平安银行!$C$9:$C$1000,0),MATCH(首页!K$12,平安银行!$E$6:$AT$6,0))</f>
        <v>#N/A</v>
      </c>
      <c r="L15" s="1085" t="e">
        <f>INDEX(平安银行!$E$9:$AT$1000,MATCH(首页!$B$10,平安银行!$C$9:$C$1000,0),MATCH(首页!L$12,平安银行!$E$6:$AT$6,0))</f>
        <v>#N/A</v>
      </c>
      <c r="M15" s="1085" t="e">
        <f>INDEX(平安银行!$E$9:$AT$1000,MATCH(首页!$B$10,平安银行!$C$9:$C$1000,0),MATCH(首页!M$12,平安银行!$E$6:$AT$6,0))</f>
        <v>#N/A</v>
      </c>
      <c r="N15" s="1085" t="e">
        <f>INDEX(平安银行!$E$9:$AT$1000,MATCH(首页!$B$10,平安银行!$C$9:$C$1000,0),MATCH(首页!N$12,平安银行!$E$6:$AT$6,0))</f>
        <v>#N/A</v>
      </c>
      <c r="O15" s="1085" t="e">
        <f>INDEX(平安银行!$E$9:$AT$1000,MATCH(首页!$B$10,平安银行!$C$9:$C$1000,0),MATCH(首页!O$12,平安银行!$E$6:$AT$6,0))</f>
        <v>#N/A</v>
      </c>
      <c r="P15" s="1085" t="e">
        <f>INDEX(平安银行!$E$9:$AT$1000,MATCH(首页!$B$10,平安银行!$C$9:$C$1000,0),MATCH(首页!P$12,平安银行!$E$6:$AT$6,0))</f>
        <v>#N/A</v>
      </c>
      <c r="Q15" s="1085" t="e">
        <f>INDEX(平安银行!$E$9:$AT$1000,MATCH(首页!$B$10,平安银行!$C$9:$C$1000,0),MATCH(首页!Q$12,平安银行!$E$6:$AT$6,0))</f>
        <v>#N/A</v>
      </c>
      <c r="R15" s="1085" t="e">
        <f>INDEX(平安银行!$E$9:$AT$1000,MATCH(首页!$B$10,平安银行!$C$9:$C$1000,0),MATCH(首页!R$12,平安银行!$E$6:$AT$6,0))</f>
        <v>#N/A</v>
      </c>
      <c r="S15" s="1085" t="e">
        <f>INDEX(平安银行!$E$9:$AT$1000,MATCH(首页!$B$10,平安银行!$C$9:$C$1000,0),MATCH(首页!S$12,平安银行!$E$6:$AT$6,0))</f>
        <v>#N/A</v>
      </c>
      <c r="T15" s="1085" t="e">
        <f>INDEX(平安银行!$E$9:$AT$1000,MATCH(首页!$B$10,平安银行!$C$9:$C$1000,0),MATCH(首页!T$12,平安银行!$E$6:$AT$6,0))</f>
        <v>#N/A</v>
      </c>
      <c r="U15" s="1085" t="e">
        <f>INDEX(平安银行!$E$9:$AT$1000,MATCH(首页!$B$10,平安银行!$C$9:$C$1000,0),MATCH(首页!U$12,平安银行!$E$6:$AT$6,0))</f>
        <v>#N/A</v>
      </c>
      <c r="V15" s="1085" t="e">
        <f>INDEX(平安银行!$E$9:$AT$1000,MATCH(首页!$B$10,平安银行!$C$9:$C$1000,0),MATCH(首页!V$12,平安银行!$E$6:$AT$6,0))</f>
        <v>#N/A</v>
      </c>
      <c r="W15" s="1085" t="e">
        <f>INDEX(平安银行!$E$9:$AT$1000,MATCH(首页!$B$10,平安银行!$C$9:$C$1000,0),MATCH(首页!W$12,平安银行!$E$6:$AT$6,0))</f>
        <v>#N/A</v>
      </c>
      <c r="X15" s="1085" t="e">
        <f>INDEX(平安银行!$E$9:$AT$1000,MATCH(首页!$B$10,平安银行!$C$9:$C$1000,0),MATCH(首页!X$12,平安银行!$E$6:$AT$6,0))</f>
        <v>#N/A</v>
      </c>
      <c r="Y15" s="1085" t="e">
        <f>INDEX(平安银行!$E$9:$AT$1000,MATCH(首页!$B$10,平安银行!$C$9:$C$1000,0),MATCH(首页!Y$12,平安银行!$E$6:$AT$6,0))</f>
        <v>#N/A</v>
      </c>
      <c r="Z15" s="1085" t="e">
        <f>INDEX(平安银行!$E$9:$AT$1000,MATCH(首页!$B$10,平安银行!$C$9:$C$1000,0),MATCH(首页!Z$12,平安银行!$E$6:$AT$6,0))</f>
        <v>#N/A</v>
      </c>
      <c r="AA15" s="1085" t="e">
        <f>INDEX(平安银行!$E$9:$AT$1000,MATCH(首页!$B$10,平安银行!$C$9:$C$1000,0),MATCH(首页!AA$12,平安银行!$E$6:$AT$6,0))</f>
        <v>#N/A</v>
      </c>
      <c r="AB15" s="1085" t="e">
        <f>INDEX(平安银行!$E$9:$AT$1000,MATCH(首页!$B$10,平安银行!$C$9:$C$1000,0),MATCH(首页!AB$12,平安银行!$E$6:$AT$6,0))</f>
        <v>#N/A</v>
      </c>
      <c r="AC15" s="1085" t="e">
        <f>INDEX(平安银行!$E$9:$AT$1000,MATCH(首页!$B$10,平安银行!$C$9:$C$1000,0),MATCH(首页!AC$12,平安银行!$E$6:$AT$6,0))</f>
        <v>#N/A</v>
      </c>
      <c r="AD15" s="1085" t="e">
        <f>INDEX(平安银行!$E$9:$AT$1000,MATCH(首页!$B$10,平安银行!$C$9:$C$1000,0),MATCH(首页!AD$12,平安银行!$E$6:$AT$6,0))</f>
        <v>#N/A</v>
      </c>
      <c r="AE15" s="1085" t="e">
        <f>INDEX(平安银行!$E$9:$AT$1000,MATCH(首页!$B$10,平安银行!$C$9:$C$1000,0),MATCH(首页!AE$12,平安银行!$E$6:$AT$6,0))</f>
        <v>#N/A</v>
      </c>
      <c r="AF15" s="1085" t="e">
        <f>INDEX(平安银行!$E$9:$AT$1000,MATCH(首页!$B$10,平安银行!$C$9:$C$1000,0),MATCH(首页!AF$12,平安银行!$E$6:$AT$6,0))</f>
        <v>#N/A</v>
      </c>
      <c r="AG15" s="1085" t="e">
        <f>INDEX(平安银行!$E$9:$AT$1000,MATCH(首页!$B$10,平安银行!$C$9:$C$1000,0),MATCH(首页!AG$12,平安银行!$E$6:$AT$6,0))</f>
        <v>#N/A</v>
      </c>
      <c r="AH15" s="1085" t="e">
        <f>INDEX(平安银行!$E$9:$AT$1000,MATCH(首页!$B$10,平安银行!$C$9:$C$1000,0),MATCH(首页!AH$12,平安银行!$E$6:$AT$6,0))</f>
        <v>#N/A</v>
      </c>
      <c r="AI15" s="1085" t="e">
        <f>INDEX(平安银行!$E$9:$AT$1000,MATCH(首页!$B$10,平安银行!$C$9:$C$1000,0),MATCH(首页!AI$12,平安银行!$E$6:$AT$6,0))</f>
        <v>#N/A</v>
      </c>
      <c r="AJ15" s="1085" t="e">
        <f>INDEX(平安银行!$E$9:$AT$1000,MATCH(首页!$B$10,平安银行!$C$9:$C$1000,0),MATCH(首页!AJ$12,平安银行!$E$6:$AT$6,0))</f>
        <v>#N/A</v>
      </c>
      <c r="AK15" s="1085" t="e">
        <f>INDEX(平安银行!$E$9:$AT$1000,MATCH(首页!$B$10,平安银行!$C$9:$C$1000,0),MATCH(首页!AK$12,平安银行!$E$6:$AT$6,0))</f>
        <v>#N/A</v>
      </c>
      <c r="AL15" s="1085" t="e">
        <f>INDEX(平安银行!$E$9:$AT$1000,MATCH(首页!$B$10,平安银行!$C$9:$C$1000,0),MATCH(首页!AL$12,平安银行!$E$6:$AT$6,0))</f>
        <v>#N/A</v>
      </c>
      <c r="AM15" s="1085" t="e">
        <f>INDEX(平安银行!$E$9:$AT$1000,MATCH(首页!$B$10,平安银行!$C$9:$C$1000,0),MATCH(首页!AM$12,平安银行!$E$6:$AT$6,0))</f>
        <v>#N/A</v>
      </c>
      <c r="AN15" s="1085" t="e">
        <f>INDEX(平安银行!$E$9:$AT$1000,MATCH(首页!$B$10,平安银行!$C$9:$C$1000,0),MATCH(首页!AN$12,平安银行!$E$6:$AT$6,0))</f>
        <v>#N/A</v>
      </c>
      <c r="AO15" s="1085" t="e">
        <f>INDEX(平安银行!$E$9:$AT$1000,MATCH(首页!$B$10,平安银行!$C$9:$C$1000,0),MATCH(首页!AO$12,平安银行!$E$6:$AT$6,0))</f>
        <v>#N/A</v>
      </c>
      <c r="AP15" s="1085" t="e">
        <f>INDEX(平安银行!$E$9:$AT$1000,MATCH(首页!$B$10,平安银行!$C$9:$C$1000,0),MATCH(首页!AP$12,平安银行!$E$6:$AT$6,0))</f>
        <v>#N/A</v>
      </c>
      <c r="AQ15" s="1085" t="e">
        <f>INDEX(平安银行!$E$9:$AT$1000,MATCH(首页!$B$10,平安银行!$C$9:$C$1000,0),MATCH(首页!AQ$12,平安银行!$E$6:$AT$6,0))</f>
        <v>#N/A</v>
      </c>
      <c r="AR15" s="1085" t="e">
        <f>INDEX(平安银行!$E$9:$AT$1000,MATCH(首页!$B$10,平安银行!$C$9:$C$1000,0),MATCH(首页!AR$12,平安银行!$E$6:$AT$6,0))</f>
        <v>#N/A</v>
      </c>
      <c r="AS15" s="1085" t="e">
        <f>INDEX(平安银行!$E$9:$AT$1000,MATCH(首页!$B$10,平安银行!$C$9:$C$1000,0),MATCH(首页!AS$12,平安银行!$E$6:$AT$6,0))</f>
        <v>#N/A</v>
      </c>
    </row>
    <row r="16" spans="1:46" ht="14.25" x14ac:dyDescent="0.4">
      <c r="A16" s="170"/>
      <c r="B16" s="176" t="s">
        <v>207</v>
      </c>
      <c r="C16" s="1086" t="e">
        <f>INDEX(光大银行!$E$9:$AT$1000,MATCH(首页!$B$10,光大银行!$C$9:$C$1000,0),MATCH(首页!C$12,光大银行!$E$6:$AT$6,0))</f>
        <v>#N/A</v>
      </c>
      <c r="D16" s="1086" t="e">
        <f>INDEX(光大银行!$E$9:$AT$1000,MATCH(首页!$B$10,光大银行!$C$9:$C$1000,0),MATCH(首页!D$12,光大银行!$E$6:$AT$6,0))</f>
        <v>#N/A</v>
      </c>
      <c r="E16" s="1086" t="e">
        <f>INDEX(光大银行!$E$9:$AT$1000,MATCH(首页!$B$10,光大银行!$C$9:$C$1000,0),MATCH(首页!E$12,光大银行!$E$6:$AT$6,0))</f>
        <v>#N/A</v>
      </c>
      <c r="F16" s="1086" t="e">
        <f>INDEX(光大银行!$E$9:$AT$1000,MATCH(首页!$B$10,光大银行!$C$9:$C$1000,0),MATCH(首页!F$12,光大银行!$E$6:$AT$6,0))</f>
        <v>#N/A</v>
      </c>
      <c r="G16" s="1086" t="e">
        <f>INDEX(光大银行!$E$9:$AT$1000,MATCH(首页!$B$10,光大银行!$C$9:$C$1000,0),MATCH(首页!G$12,光大银行!$E$6:$AT$6,0))</f>
        <v>#N/A</v>
      </c>
      <c r="H16" s="1086" t="e">
        <f>INDEX(光大银行!$E$9:$AT$1000,MATCH(首页!$B$10,光大银行!$C$9:$C$1000,0),MATCH(首页!H$12,光大银行!$E$6:$AT$6,0))</f>
        <v>#N/A</v>
      </c>
      <c r="I16" s="1086" t="e">
        <f>INDEX(光大银行!$E$9:$AT$1000,MATCH(首页!$B$10,光大银行!$C$9:$C$1000,0),MATCH(首页!I$12,光大银行!$E$6:$AT$6,0))</f>
        <v>#N/A</v>
      </c>
      <c r="J16" s="1086" t="e">
        <f>INDEX(光大银行!$E$9:$AT$1000,MATCH(首页!$B$10,光大银行!$C$9:$C$1000,0),MATCH(首页!J$12,光大银行!$E$6:$AT$6,0))</f>
        <v>#N/A</v>
      </c>
      <c r="K16" s="1086" t="e">
        <f>INDEX(光大银行!$E$9:$AT$1000,MATCH(首页!$B$10,光大银行!$C$9:$C$1000,0),MATCH(首页!K$12,光大银行!$E$6:$AT$6,0))</f>
        <v>#N/A</v>
      </c>
      <c r="L16" s="1086" t="e">
        <f>INDEX(光大银行!$E$9:$AT$1000,MATCH(首页!$B$10,光大银行!$C$9:$C$1000,0),MATCH(首页!L$12,光大银行!$E$6:$AT$6,0))</f>
        <v>#N/A</v>
      </c>
      <c r="M16" s="1086" t="e">
        <f>INDEX(光大银行!$E$9:$AT$1000,MATCH(首页!$B$10,光大银行!$C$9:$C$1000,0),MATCH(首页!M$12,光大银行!$E$6:$AT$6,0))</f>
        <v>#N/A</v>
      </c>
      <c r="N16" s="1086" t="e">
        <f>INDEX(光大银行!$E$9:$AT$1000,MATCH(首页!$B$10,光大银行!$C$9:$C$1000,0),MATCH(首页!N$12,光大银行!$E$6:$AT$6,0))</f>
        <v>#N/A</v>
      </c>
      <c r="O16" s="1086" t="e">
        <f>INDEX(光大银行!$E$9:$AT$1000,MATCH(首页!$B$10,光大银行!$C$9:$C$1000,0),MATCH(首页!O$12,光大银行!$E$6:$AT$6,0))</f>
        <v>#N/A</v>
      </c>
      <c r="P16" s="1086" t="e">
        <f>INDEX(光大银行!$E$9:$AT$1000,MATCH(首页!$B$10,光大银行!$C$9:$C$1000,0),MATCH(首页!P$12,光大银行!$E$6:$AT$6,0))</f>
        <v>#N/A</v>
      </c>
      <c r="Q16" s="1086" t="e">
        <f>INDEX(光大银行!$E$9:$AT$1000,MATCH(首页!$B$10,光大银行!$C$9:$C$1000,0),MATCH(首页!Q$12,光大银行!$E$6:$AT$6,0))</f>
        <v>#N/A</v>
      </c>
      <c r="R16" s="1086" t="e">
        <f>INDEX(光大银行!$E$9:$AT$1000,MATCH(首页!$B$10,光大银行!$C$9:$C$1000,0),MATCH(首页!R$12,光大银行!$E$6:$AT$6,0))</f>
        <v>#N/A</v>
      </c>
      <c r="S16" s="1086" t="e">
        <f>INDEX(光大银行!$E$9:$AT$1000,MATCH(首页!$B$10,光大银行!$C$9:$C$1000,0),MATCH(首页!S$12,光大银行!$E$6:$AT$6,0))</f>
        <v>#N/A</v>
      </c>
      <c r="T16" s="1086" t="e">
        <f>INDEX(光大银行!$E$9:$AT$1000,MATCH(首页!$B$10,光大银行!$C$9:$C$1000,0),MATCH(首页!T$12,光大银行!$E$6:$AT$6,0))</f>
        <v>#N/A</v>
      </c>
      <c r="U16" s="1086" t="e">
        <f>INDEX(光大银行!$E$9:$AT$1000,MATCH(首页!$B$10,光大银行!$C$9:$C$1000,0),MATCH(首页!U$12,光大银行!$E$6:$AT$6,0))</f>
        <v>#N/A</v>
      </c>
      <c r="V16" s="1086" t="e">
        <f>INDEX(光大银行!$E$9:$AT$1000,MATCH(首页!$B$10,光大银行!$C$9:$C$1000,0),MATCH(首页!V$12,光大银行!$E$6:$AT$6,0))</f>
        <v>#N/A</v>
      </c>
      <c r="W16" s="1086" t="e">
        <f>INDEX(光大银行!$E$9:$AT$1000,MATCH(首页!$B$10,光大银行!$C$9:$C$1000,0),MATCH(首页!W$12,光大银行!$E$6:$AT$6,0))</f>
        <v>#N/A</v>
      </c>
      <c r="X16" s="1086" t="e">
        <f>INDEX(光大银行!$E$9:$AT$1000,MATCH(首页!$B$10,光大银行!$C$9:$C$1000,0),MATCH(首页!X$12,光大银行!$E$6:$AT$6,0))</f>
        <v>#N/A</v>
      </c>
      <c r="Y16" s="1086" t="e">
        <f>INDEX(光大银行!$E$9:$AT$1000,MATCH(首页!$B$10,光大银行!$C$9:$C$1000,0),MATCH(首页!Y$12,光大银行!$E$6:$AT$6,0))</f>
        <v>#N/A</v>
      </c>
      <c r="Z16" s="1086" t="e">
        <f>INDEX(光大银行!$E$9:$AT$1000,MATCH(首页!$B$10,光大银行!$C$9:$C$1000,0),MATCH(首页!Z$12,光大银行!$E$6:$AT$6,0))</f>
        <v>#N/A</v>
      </c>
      <c r="AA16" s="1086" t="e">
        <f>INDEX(光大银行!$E$9:$AT$1000,MATCH(首页!$B$10,光大银行!$C$9:$C$1000,0),MATCH(首页!AA$12,光大银行!$E$6:$AT$6,0))</f>
        <v>#N/A</v>
      </c>
      <c r="AB16" s="1086" t="e">
        <f>INDEX(光大银行!$E$9:$AT$1000,MATCH(首页!$B$10,光大银行!$C$9:$C$1000,0),MATCH(首页!AB$12,光大银行!$E$6:$AT$6,0))</f>
        <v>#N/A</v>
      </c>
      <c r="AC16" s="1086" t="e">
        <f>INDEX(光大银行!$E$9:$AT$1000,MATCH(首页!$B$10,光大银行!$C$9:$C$1000,0),MATCH(首页!AC$12,光大银行!$E$6:$AT$6,0))</f>
        <v>#N/A</v>
      </c>
      <c r="AD16" s="1086" t="e">
        <f>INDEX(光大银行!$E$9:$AT$1000,MATCH(首页!$B$10,光大银行!$C$9:$C$1000,0),MATCH(首页!AD$12,光大银行!$E$6:$AT$6,0))</f>
        <v>#N/A</v>
      </c>
      <c r="AE16" s="1086" t="e">
        <f>INDEX(光大银行!$E$9:$AT$1000,MATCH(首页!$B$10,光大银行!$C$9:$C$1000,0),MATCH(首页!AE$12,光大银行!$E$6:$AT$6,0))</f>
        <v>#N/A</v>
      </c>
      <c r="AF16" s="1086" t="e">
        <f>INDEX(光大银行!$E$9:$AT$1000,MATCH(首页!$B$10,光大银行!$C$9:$C$1000,0),MATCH(首页!AF$12,光大银行!$E$6:$AT$6,0))</f>
        <v>#N/A</v>
      </c>
      <c r="AG16" s="1086" t="e">
        <f>INDEX(光大银行!$E$9:$AT$1000,MATCH(首页!$B$10,光大银行!$C$9:$C$1000,0),MATCH(首页!AG$12,光大银行!$E$6:$AT$6,0))</f>
        <v>#N/A</v>
      </c>
      <c r="AH16" s="1086" t="e">
        <f>INDEX(光大银行!$E$9:$AT$1000,MATCH(首页!$B$10,光大银行!$C$9:$C$1000,0),MATCH(首页!AH$12,光大银行!$E$6:$AT$6,0))</f>
        <v>#N/A</v>
      </c>
      <c r="AI16" s="1086" t="e">
        <f>INDEX(光大银行!$E$9:$AT$1000,MATCH(首页!$B$10,光大银行!$C$9:$C$1000,0),MATCH(首页!AI$12,光大银行!$E$6:$AT$6,0))</f>
        <v>#N/A</v>
      </c>
      <c r="AJ16" s="1086" t="e">
        <f>INDEX(光大银行!$E$9:$AT$1000,MATCH(首页!$B$10,光大银行!$C$9:$C$1000,0),MATCH(首页!AJ$12,光大银行!$E$6:$AT$6,0))</f>
        <v>#N/A</v>
      </c>
      <c r="AK16" s="1086" t="e">
        <f>INDEX(光大银行!$E$9:$AT$1000,MATCH(首页!$B$10,光大银行!$C$9:$C$1000,0),MATCH(首页!AK$12,光大银行!$E$6:$AT$6,0))</f>
        <v>#N/A</v>
      </c>
      <c r="AL16" s="1086" t="e">
        <f>INDEX(光大银行!$E$9:$AT$1000,MATCH(首页!$B$10,光大银行!$C$9:$C$1000,0),MATCH(首页!AL$12,光大银行!$E$6:$AT$6,0))</f>
        <v>#N/A</v>
      </c>
      <c r="AM16" s="1086" t="e">
        <f>INDEX(光大银行!$E$9:$AT$1000,MATCH(首页!$B$10,光大银行!$C$9:$C$1000,0),MATCH(首页!AM$12,光大银行!$E$6:$AT$6,0))</f>
        <v>#N/A</v>
      </c>
      <c r="AN16" s="1086" t="e">
        <f>INDEX(光大银行!$E$9:$AT$1000,MATCH(首页!$B$10,光大银行!$C$9:$C$1000,0),MATCH(首页!AN$12,光大银行!$E$6:$AT$6,0))</f>
        <v>#N/A</v>
      </c>
      <c r="AO16" s="1086" t="e">
        <f>INDEX(光大银行!$E$9:$AT$1000,MATCH(首页!$B$10,光大银行!$C$9:$C$1000,0),MATCH(首页!AO$12,光大银行!$E$6:$AT$6,0))</f>
        <v>#N/A</v>
      </c>
      <c r="AP16" s="1086" t="e">
        <f>INDEX(光大银行!$E$9:$AT$1000,MATCH(首页!$B$10,光大银行!$C$9:$C$1000,0),MATCH(首页!AP$12,光大银行!$E$6:$AT$6,0))</f>
        <v>#N/A</v>
      </c>
      <c r="AQ16" s="1086" t="e">
        <f>INDEX(光大银行!$E$9:$AT$1000,MATCH(首页!$B$10,光大银行!$C$9:$C$1000,0),MATCH(首页!AQ$12,光大银行!$E$6:$AT$6,0))</f>
        <v>#N/A</v>
      </c>
      <c r="AR16" s="1086" t="e">
        <f>INDEX(光大银行!$E$9:$AT$1000,MATCH(首页!$B$10,光大银行!$C$9:$C$1000,0),MATCH(首页!AR$12,光大银行!$E$6:$AT$6,0))</f>
        <v>#N/A</v>
      </c>
      <c r="AS16" s="1086" t="e">
        <f>INDEX(光大银行!$E$9:$AT$1000,MATCH(首页!$B$10,光大银行!$C$9:$C$1000,0),MATCH(首页!AS$12,光大银行!$E$6:$AT$6,0))</f>
        <v>#N/A</v>
      </c>
    </row>
    <row r="17" spans="1:45" ht="14.25" x14ac:dyDescent="0.4">
      <c r="A17" s="170"/>
      <c r="B17" s="177" t="s">
        <v>209</v>
      </c>
      <c r="C17" s="1087" t="e">
        <f>SUM(C13:C14)</f>
        <v>#N/A</v>
      </c>
      <c r="D17" s="1087" t="e">
        <f t="shared" ref="D17:I17" si="0">SUM(D13:D14)</f>
        <v>#N/A</v>
      </c>
      <c r="E17" s="1087" t="e">
        <f t="shared" si="0"/>
        <v>#N/A</v>
      </c>
      <c r="F17" s="1087" t="e">
        <f t="shared" si="0"/>
        <v>#N/A</v>
      </c>
      <c r="G17" s="1087" t="e">
        <f t="shared" si="0"/>
        <v>#N/A</v>
      </c>
      <c r="H17" s="1087" t="e">
        <f t="shared" si="0"/>
        <v>#N/A</v>
      </c>
      <c r="I17" s="1087" t="e">
        <f t="shared" si="0"/>
        <v>#N/A</v>
      </c>
      <c r="J17" s="1087" t="e">
        <f t="shared" ref="J17:Q17" si="1">SUM(J13:J14)</f>
        <v>#N/A</v>
      </c>
      <c r="K17" s="1087" t="e">
        <f t="shared" si="1"/>
        <v>#N/A</v>
      </c>
      <c r="L17" s="1087" t="e">
        <f t="shared" si="1"/>
        <v>#N/A</v>
      </c>
      <c r="M17" s="1087" t="e">
        <f t="shared" si="1"/>
        <v>#N/A</v>
      </c>
      <c r="N17" s="1087" t="e">
        <f t="shared" si="1"/>
        <v>#N/A</v>
      </c>
      <c r="O17" s="1087" t="e">
        <f t="shared" si="1"/>
        <v>#N/A</v>
      </c>
      <c r="P17" s="1087" t="e">
        <f t="shared" si="1"/>
        <v>#N/A</v>
      </c>
      <c r="Q17" s="1087" t="e">
        <f t="shared" si="1"/>
        <v>#N/A</v>
      </c>
      <c r="R17" s="1087" t="e">
        <f t="shared" ref="R17:AS17" si="2">SUM(R13:R14)</f>
        <v>#N/A</v>
      </c>
      <c r="S17" s="1087" t="e">
        <f t="shared" si="2"/>
        <v>#N/A</v>
      </c>
      <c r="T17" s="1087" t="e">
        <f t="shared" si="2"/>
        <v>#N/A</v>
      </c>
      <c r="U17" s="1087" t="e">
        <f t="shared" si="2"/>
        <v>#N/A</v>
      </c>
      <c r="V17" s="1087" t="e">
        <f t="shared" si="2"/>
        <v>#N/A</v>
      </c>
      <c r="W17" s="1087" t="e">
        <f t="shared" si="2"/>
        <v>#N/A</v>
      </c>
      <c r="X17" s="1087" t="e">
        <f t="shared" si="2"/>
        <v>#N/A</v>
      </c>
      <c r="Y17" s="1087" t="e">
        <f t="shared" si="2"/>
        <v>#N/A</v>
      </c>
      <c r="Z17" s="1087" t="e">
        <f t="shared" si="2"/>
        <v>#N/A</v>
      </c>
      <c r="AA17" s="1087" t="e">
        <f t="shared" si="2"/>
        <v>#N/A</v>
      </c>
      <c r="AB17" s="1087" t="e">
        <f t="shared" si="2"/>
        <v>#N/A</v>
      </c>
      <c r="AC17" s="1087" t="e">
        <f t="shared" si="2"/>
        <v>#N/A</v>
      </c>
      <c r="AD17" s="1087" t="e">
        <f t="shared" si="2"/>
        <v>#N/A</v>
      </c>
      <c r="AE17" s="1087" t="e">
        <f t="shared" si="2"/>
        <v>#N/A</v>
      </c>
      <c r="AF17" s="1087" t="e">
        <f t="shared" si="2"/>
        <v>#N/A</v>
      </c>
      <c r="AG17" s="1087" t="e">
        <f t="shared" si="2"/>
        <v>#N/A</v>
      </c>
      <c r="AH17" s="1087" t="e">
        <f t="shared" si="2"/>
        <v>#N/A</v>
      </c>
      <c r="AI17" s="1087" t="e">
        <f t="shared" si="2"/>
        <v>#N/A</v>
      </c>
      <c r="AJ17" s="1087" t="e">
        <f t="shared" si="2"/>
        <v>#N/A</v>
      </c>
      <c r="AK17" s="1087" t="e">
        <f t="shared" si="2"/>
        <v>#N/A</v>
      </c>
      <c r="AL17" s="1087" t="e">
        <f t="shared" si="2"/>
        <v>#N/A</v>
      </c>
      <c r="AM17" s="1087" t="e">
        <f t="shared" si="2"/>
        <v>#N/A</v>
      </c>
      <c r="AN17" s="1087" t="e">
        <f t="shared" si="2"/>
        <v>#N/A</v>
      </c>
      <c r="AO17" s="1087" t="e">
        <f t="shared" si="2"/>
        <v>#N/A</v>
      </c>
      <c r="AP17" s="1087" t="e">
        <f t="shared" si="2"/>
        <v>#N/A</v>
      </c>
      <c r="AQ17" s="1087" t="e">
        <f t="shared" si="2"/>
        <v>#N/A</v>
      </c>
      <c r="AR17" s="1087" t="e">
        <f t="shared" si="2"/>
        <v>#N/A</v>
      </c>
      <c r="AS17" s="1087" t="e">
        <f t="shared" si="2"/>
        <v>#N/A</v>
      </c>
    </row>
    <row r="18" spans="1:45" ht="14.25" x14ac:dyDescent="0.4">
      <c r="A18" s="170"/>
      <c r="B18" s="177" t="s">
        <v>210</v>
      </c>
      <c r="C18" s="1087" t="e">
        <f>SUM(C15:C16)</f>
        <v>#N/A</v>
      </c>
      <c r="D18" s="1087" t="e">
        <f t="shared" ref="D18:I18" si="3">SUM(D15:D16)</f>
        <v>#N/A</v>
      </c>
      <c r="E18" s="1087" t="e">
        <f t="shared" si="3"/>
        <v>#N/A</v>
      </c>
      <c r="F18" s="1087" t="e">
        <f t="shared" si="3"/>
        <v>#N/A</v>
      </c>
      <c r="G18" s="1087" t="e">
        <f t="shared" si="3"/>
        <v>#N/A</v>
      </c>
      <c r="H18" s="1087" t="e">
        <f t="shared" si="3"/>
        <v>#N/A</v>
      </c>
      <c r="I18" s="1087" t="e">
        <f t="shared" si="3"/>
        <v>#N/A</v>
      </c>
      <c r="J18" s="1087" t="e">
        <f t="shared" ref="J18:Q18" si="4">SUM(J15:J16)</f>
        <v>#N/A</v>
      </c>
      <c r="K18" s="1087" t="e">
        <f t="shared" si="4"/>
        <v>#N/A</v>
      </c>
      <c r="L18" s="1087" t="e">
        <f t="shared" si="4"/>
        <v>#N/A</v>
      </c>
      <c r="M18" s="1087" t="e">
        <f t="shared" si="4"/>
        <v>#N/A</v>
      </c>
      <c r="N18" s="1087" t="e">
        <f t="shared" si="4"/>
        <v>#N/A</v>
      </c>
      <c r="O18" s="1087" t="e">
        <f t="shared" si="4"/>
        <v>#N/A</v>
      </c>
      <c r="P18" s="1087" t="e">
        <f t="shared" si="4"/>
        <v>#N/A</v>
      </c>
      <c r="Q18" s="1087" t="e">
        <f t="shared" si="4"/>
        <v>#N/A</v>
      </c>
      <c r="R18" s="1087" t="e">
        <f t="shared" ref="R18:AS18" si="5">SUM(R15:R16)</f>
        <v>#N/A</v>
      </c>
      <c r="S18" s="1087" t="e">
        <f t="shared" si="5"/>
        <v>#N/A</v>
      </c>
      <c r="T18" s="1087" t="e">
        <f t="shared" si="5"/>
        <v>#N/A</v>
      </c>
      <c r="U18" s="1087" t="e">
        <f t="shared" si="5"/>
        <v>#N/A</v>
      </c>
      <c r="V18" s="1087" t="e">
        <f t="shared" si="5"/>
        <v>#N/A</v>
      </c>
      <c r="W18" s="1087" t="e">
        <f t="shared" si="5"/>
        <v>#N/A</v>
      </c>
      <c r="X18" s="1087" t="e">
        <f t="shared" si="5"/>
        <v>#N/A</v>
      </c>
      <c r="Y18" s="1087" t="e">
        <f t="shared" si="5"/>
        <v>#N/A</v>
      </c>
      <c r="Z18" s="1087" t="e">
        <f t="shared" si="5"/>
        <v>#N/A</v>
      </c>
      <c r="AA18" s="1087" t="e">
        <f t="shared" si="5"/>
        <v>#N/A</v>
      </c>
      <c r="AB18" s="1087" t="e">
        <f t="shared" si="5"/>
        <v>#N/A</v>
      </c>
      <c r="AC18" s="1087" t="e">
        <f t="shared" si="5"/>
        <v>#N/A</v>
      </c>
      <c r="AD18" s="1087" t="e">
        <f t="shared" si="5"/>
        <v>#N/A</v>
      </c>
      <c r="AE18" s="1087" t="e">
        <f t="shared" si="5"/>
        <v>#N/A</v>
      </c>
      <c r="AF18" s="1087" t="e">
        <f t="shared" si="5"/>
        <v>#N/A</v>
      </c>
      <c r="AG18" s="1087" t="e">
        <f t="shared" si="5"/>
        <v>#N/A</v>
      </c>
      <c r="AH18" s="1087" t="e">
        <f t="shared" si="5"/>
        <v>#N/A</v>
      </c>
      <c r="AI18" s="1087" t="e">
        <f t="shared" si="5"/>
        <v>#N/A</v>
      </c>
      <c r="AJ18" s="1087" t="e">
        <f t="shared" si="5"/>
        <v>#N/A</v>
      </c>
      <c r="AK18" s="1087" t="e">
        <f t="shared" si="5"/>
        <v>#N/A</v>
      </c>
      <c r="AL18" s="1087" t="e">
        <f t="shared" si="5"/>
        <v>#N/A</v>
      </c>
      <c r="AM18" s="1087" t="e">
        <f t="shared" si="5"/>
        <v>#N/A</v>
      </c>
      <c r="AN18" s="1087" t="e">
        <f t="shared" si="5"/>
        <v>#N/A</v>
      </c>
      <c r="AO18" s="1087" t="e">
        <f t="shared" si="5"/>
        <v>#N/A</v>
      </c>
      <c r="AP18" s="1087" t="e">
        <f t="shared" si="5"/>
        <v>#N/A</v>
      </c>
      <c r="AQ18" s="1087" t="e">
        <f t="shared" si="5"/>
        <v>#N/A</v>
      </c>
      <c r="AR18" s="1087" t="e">
        <f t="shared" si="5"/>
        <v>#N/A</v>
      </c>
      <c r="AS18" s="1087" t="e">
        <f t="shared" si="5"/>
        <v>#N/A</v>
      </c>
    </row>
    <row r="19" spans="1:45" ht="14.25" x14ac:dyDescent="0.4">
      <c r="A19" s="170"/>
      <c r="B19" s="177" t="s">
        <v>211</v>
      </c>
      <c r="C19" s="1087" t="e">
        <f>AVERAGE(C13:C14)</f>
        <v>#N/A</v>
      </c>
      <c r="D19" s="1087" t="e">
        <f t="shared" ref="D19:I19" si="6">AVERAGE(D13:D14)</f>
        <v>#N/A</v>
      </c>
      <c r="E19" s="1087" t="e">
        <f t="shared" si="6"/>
        <v>#N/A</v>
      </c>
      <c r="F19" s="1087" t="e">
        <f t="shared" si="6"/>
        <v>#N/A</v>
      </c>
      <c r="G19" s="1087" t="e">
        <f t="shared" si="6"/>
        <v>#N/A</v>
      </c>
      <c r="H19" s="1087" t="e">
        <f t="shared" si="6"/>
        <v>#N/A</v>
      </c>
      <c r="I19" s="1087" t="e">
        <f t="shared" si="6"/>
        <v>#N/A</v>
      </c>
      <c r="J19" s="1087" t="e">
        <f t="shared" ref="J19:Q19" si="7">AVERAGE(J13:J14)</f>
        <v>#N/A</v>
      </c>
      <c r="K19" s="1087" t="e">
        <f t="shared" si="7"/>
        <v>#N/A</v>
      </c>
      <c r="L19" s="1087" t="e">
        <f t="shared" si="7"/>
        <v>#N/A</v>
      </c>
      <c r="M19" s="1087" t="e">
        <f t="shared" si="7"/>
        <v>#N/A</v>
      </c>
      <c r="N19" s="1087" t="e">
        <f t="shared" si="7"/>
        <v>#N/A</v>
      </c>
      <c r="O19" s="1087" t="e">
        <f t="shared" si="7"/>
        <v>#N/A</v>
      </c>
      <c r="P19" s="1087" t="e">
        <f t="shared" si="7"/>
        <v>#N/A</v>
      </c>
      <c r="Q19" s="1087" t="e">
        <f t="shared" si="7"/>
        <v>#N/A</v>
      </c>
      <c r="R19" s="1087" t="e">
        <f t="shared" ref="R19:AS19" si="8">AVERAGE(R13:R14)</f>
        <v>#N/A</v>
      </c>
      <c r="S19" s="1087" t="e">
        <f t="shared" si="8"/>
        <v>#N/A</v>
      </c>
      <c r="T19" s="1087" t="e">
        <f t="shared" si="8"/>
        <v>#N/A</v>
      </c>
      <c r="U19" s="1087" t="e">
        <f t="shared" si="8"/>
        <v>#N/A</v>
      </c>
      <c r="V19" s="1087" t="e">
        <f t="shared" si="8"/>
        <v>#N/A</v>
      </c>
      <c r="W19" s="1087" t="e">
        <f t="shared" si="8"/>
        <v>#N/A</v>
      </c>
      <c r="X19" s="1087" t="e">
        <f t="shared" si="8"/>
        <v>#N/A</v>
      </c>
      <c r="Y19" s="1087" t="e">
        <f t="shared" si="8"/>
        <v>#N/A</v>
      </c>
      <c r="Z19" s="1087" t="e">
        <f t="shared" si="8"/>
        <v>#N/A</v>
      </c>
      <c r="AA19" s="1087" t="e">
        <f t="shared" si="8"/>
        <v>#N/A</v>
      </c>
      <c r="AB19" s="1087" t="e">
        <f t="shared" si="8"/>
        <v>#N/A</v>
      </c>
      <c r="AC19" s="1087" t="e">
        <f t="shared" si="8"/>
        <v>#N/A</v>
      </c>
      <c r="AD19" s="1087" t="e">
        <f t="shared" si="8"/>
        <v>#N/A</v>
      </c>
      <c r="AE19" s="1087" t="e">
        <f t="shared" si="8"/>
        <v>#N/A</v>
      </c>
      <c r="AF19" s="1087" t="e">
        <f t="shared" si="8"/>
        <v>#N/A</v>
      </c>
      <c r="AG19" s="1087" t="e">
        <f t="shared" si="8"/>
        <v>#N/A</v>
      </c>
      <c r="AH19" s="1087" t="e">
        <f t="shared" si="8"/>
        <v>#N/A</v>
      </c>
      <c r="AI19" s="1087" t="e">
        <f t="shared" si="8"/>
        <v>#N/A</v>
      </c>
      <c r="AJ19" s="1087" t="e">
        <f t="shared" si="8"/>
        <v>#N/A</v>
      </c>
      <c r="AK19" s="1087" t="e">
        <f t="shared" si="8"/>
        <v>#N/A</v>
      </c>
      <c r="AL19" s="1087" t="e">
        <f t="shared" si="8"/>
        <v>#N/A</v>
      </c>
      <c r="AM19" s="1087" t="e">
        <f t="shared" si="8"/>
        <v>#N/A</v>
      </c>
      <c r="AN19" s="1087" t="e">
        <f t="shared" si="8"/>
        <v>#N/A</v>
      </c>
      <c r="AO19" s="1087" t="e">
        <f t="shared" si="8"/>
        <v>#N/A</v>
      </c>
      <c r="AP19" s="1087" t="e">
        <f t="shared" si="8"/>
        <v>#N/A</v>
      </c>
      <c r="AQ19" s="1087" t="e">
        <f t="shared" si="8"/>
        <v>#N/A</v>
      </c>
      <c r="AR19" s="1087" t="e">
        <f t="shared" si="8"/>
        <v>#N/A</v>
      </c>
      <c r="AS19" s="1087" t="e">
        <f t="shared" si="8"/>
        <v>#N/A</v>
      </c>
    </row>
    <row r="20" spans="1:45" ht="14.25" x14ac:dyDescent="0.4">
      <c r="A20" s="170"/>
      <c r="B20" s="177" t="s">
        <v>212</v>
      </c>
      <c r="C20" s="1087" t="e">
        <f>AVERAGE(C15:C16)</f>
        <v>#N/A</v>
      </c>
      <c r="D20" s="1087" t="e">
        <f t="shared" ref="D20:I20" si="9">AVERAGE(D15:D16)</f>
        <v>#N/A</v>
      </c>
      <c r="E20" s="1087" t="e">
        <f t="shared" si="9"/>
        <v>#N/A</v>
      </c>
      <c r="F20" s="1087" t="e">
        <f t="shared" si="9"/>
        <v>#N/A</v>
      </c>
      <c r="G20" s="1087" t="e">
        <f t="shared" si="9"/>
        <v>#N/A</v>
      </c>
      <c r="H20" s="1087" t="e">
        <f t="shared" si="9"/>
        <v>#N/A</v>
      </c>
      <c r="I20" s="1087" t="e">
        <f t="shared" si="9"/>
        <v>#N/A</v>
      </c>
      <c r="J20" s="1087" t="e">
        <f t="shared" ref="J20:Q20" si="10">AVERAGE(J15:J16)</f>
        <v>#N/A</v>
      </c>
      <c r="K20" s="1087" t="e">
        <f t="shared" si="10"/>
        <v>#N/A</v>
      </c>
      <c r="L20" s="1087" t="e">
        <f t="shared" si="10"/>
        <v>#N/A</v>
      </c>
      <c r="M20" s="1087" t="e">
        <f t="shared" si="10"/>
        <v>#N/A</v>
      </c>
      <c r="N20" s="1087" t="e">
        <f t="shared" si="10"/>
        <v>#N/A</v>
      </c>
      <c r="O20" s="1087" t="e">
        <f t="shared" si="10"/>
        <v>#N/A</v>
      </c>
      <c r="P20" s="1087" t="e">
        <f t="shared" si="10"/>
        <v>#N/A</v>
      </c>
      <c r="Q20" s="1087" t="e">
        <f t="shared" si="10"/>
        <v>#N/A</v>
      </c>
      <c r="R20" s="1087" t="e">
        <f t="shared" ref="R20:AS20" si="11">AVERAGE(R15:R16)</f>
        <v>#N/A</v>
      </c>
      <c r="S20" s="1087" t="e">
        <f t="shared" si="11"/>
        <v>#N/A</v>
      </c>
      <c r="T20" s="1087" t="e">
        <f t="shared" si="11"/>
        <v>#N/A</v>
      </c>
      <c r="U20" s="1087" t="e">
        <f t="shared" si="11"/>
        <v>#N/A</v>
      </c>
      <c r="V20" s="1087" t="e">
        <f t="shared" si="11"/>
        <v>#N/A</v>
      </c>
      <c r="W20" s="1087" t="e">
        <f t="shared" si="11"/>
        <v>#N/A</v>
      </c>
      <c r="X20" s="1087" t="e">
        <f t="shared" si="11"/>
        <v>#N/A</v>
      </c>
      <c r="Y20" s="1087" t="e">
        <f t="shared" si="11"/>
        <v>#N/A</v>
      </c>
      <c r="Z20" s="1087" t="e">
        <f t="shared" si="11"/>
        <v>#N/A</v>
      </c>
      <c r="AA20" s="1087" t="e">
        <f t="shared" si="11"/>
        <v>#N/A</v>
      </c>
      <c r="AB20" s="1087" t="e">
        <f t="shared" si="11"/>
        <v>#N/A</v>
      </c>
      <c r="AC20" s="1087" t="e">
        <f t="shared" si="11"/>
        <v>#N/A</v>
      </c>
      <c r="AD20" s="1087" t="e">
        <f t="shared" si="11"/>
        <v>#N/A</v>
      </c>
      <c r="AE20" s="1087" t="e">
        <f t="shared" si="11"/>
        <v>#N/A</v>
      </c>
      <c r="AF20" s="1087" t="e">
        <f t="shared" si="11"/>
        <v>#N/A</v>
      </c>
      <c r="AG20" s="1087" t="e">
        <f t="shared" si="11"/>
        <v>#N/A</v>
      </c>
      <c r="AH20" s="1087" t="e">
        <f t="shared" si="11"/>
        <v>#N/A</v>
      </c>
      <c r="AI20" s="1087" t="e">
        <f t="shared" si="11"/>
        <v>#N/A</v>
      </c>
      <c r="AJ20" s="1087" t="e">
        <f t="shared" si="11"/>
        <v>#N/A</v>
      </c>
      <c r="AK20" s="1087" t="e">
        <f t="shared" si="11"/>
        <v>#N/A</v>
      </c>
      <c r="AL20" s="1087" t="e">
        <f t="shared" si="11"/>
        <v>#N/A</v>
      </c>
      <c r="AM20" s="1087" t="e">
        <f t="shared" si="11"/>
        <v>#N/A</v>
      </c>
      <c r="AN20" s="1087" t="e">
        <f t="shared" si="11"/>
        <v>#N/A</v>
      </c>
      <c r="AO20" s="1087" t="e">
        <f t="shared" si="11"/>
        <v>#N/A</v>
      </c>
      <c r="AP20" s="1087" t="e">
        <f t="shared" si="11"/>
        <v>#N/A</v>
      </c>
      <c r="AQ20" s="1087" t="e">
        <f t="shared" si="11"/>
        <v>#N/A</v>
      </c>
      <c r="AR20" s="1087" t="e">
        <f t="shared" si="11"/>
        <v>#N/A</v>
      </c>
      <c r="AS20" s="1087" t="e">
        <f t="shared" si="11"/>
        <v>#N/A</v>
      </c>
    </row>
    <row r="24" spans="1:45" x14ac:dyDescent="0.4">
      <c r="E24" s="1076"/>
    </row>
  </sheetData>
  <phoneticPr fontId="4" type="noConversion"/>
  <conditionalFormatting sqref="C13:AS20">
    <cfRule type="expression" dxfId="70" priority="2">
      <formula>ISNA(C13)</formula>
    </cfRule>
    <cfRule type="cellIs" dxfId="69" priority="1" operator="equal">
      <formula>0</formula>
    </cfRule>
  </conditionalFormatting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ignoredErrors>
    <ignoredError sqref="C13:AS15 C17:AS20 C16:F16 H16:AS16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目录页!$A$23:$A$26</xm:f>
          </x14:formula1>
          <xm:sqref>A4</xm:sqref>
        </x14:dataValidation>
        <x14:dataValidation type="list" allowBlank="1" showInputMessage="1" showErrorMessage="1">
          <x14:formula1>
            <xm:f>辅助页!$E$2:$E$44</xm:f>
          </x14:formula1>
          <xm:sqref>G10</xm:sqref>
        </x14:dataValidation>
        <x14:dataValidation type="list" allowBlank="1" showInputMessage="1" showErrorMessage="1">
          <x14:formula1>
            <xm:f>辅助页!$F$2:$F$4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66"/>
  <sheetViews>
    <sheetView showGridLines="0" topLeftCell="B24" workbookViewId="0">
      <selection activeCell="C40" sqref="C40"/>
    </sheetView>
  </sheetViews>
  <sheetFormatPr defaultRowHeight="13.5" x14ac:dyDescent="0.3"/>
  <cols>
    <col min="1" max="1" width="16.3984375" style="1029" hidden="1" customWidth="1"/>
    <col min="2" max="2" width="9.06640625" style="169"/>
    <col min="3" max="3" width="28.19921875" style="169" bestFit="1" customWidth="1"/>
    <col min="4" max="4" width="23.265625" style="169" bestFit="1" customWidth="1"/>
    <col min="5" max="5" width="28.19921875" style="169" bestFit="1" customWidth="1"/>
    <col min="6" max="6" width="20.265625" style="169" bestFit="1" customWidth="1"/>
    <col min="7" max="7" width="34.46484375" style="169" bestFit="1" customWidth="1"/>
    <col min="8" max="8" width="36.1328125" style="169" bestFit="1" customWidth="1"/>
    <col min="9" max="9" width="32.19921875" style="169" bestFit="1" customWidth="1"/>
    <col min="10" max="10" width="18.33203125" style="169" bestFit="1" customWidth="1"/>
    <col min="11" max="11" width="20.33203125" style="169" bestFit="1" customWidth="1"/>
    <col min="12" max="12" width="12.3984375" style="169" bestFit="1" customWidth="1"/>
    <col min="13" max="13" width="18.33203125" style="169" bestFit="1" customWidth="1"/>
    <col min="14" max="14" width="10.46484375" style="169" bestFit="1" customWidth="1"/>
    <col min="15" max="15" width="32.19921875" style="169" bestFit="1" customWidth="1"/>
    <col min="16" max="16" width="26.265625" style="169" bestFit="1" customWidth="1"/>
    <col min="17" max="17" width="27.265625" style="169" bestFit="1" customWidth="1"/>
    <col min="18" max="18" width="28.19921875" style="169" bestFit="1" customWidth="1"/>
    <col min="19" max="19" width="18.33203125" style="169" bestFit="1" customWidth="1"/>
    <col min="20" max="20" width="23.265625" style="169" bestFit="1" customWidth="1"/>
    <col min="21" max="21" width="26.265625" style="169" bestFit="1" customWidth="1"/>
    <col min="22" max="22" width="18.33203125" style="169" bestFit="1" customWidth="1"/>
    <col min="23" max="23" width="20.33203125" style="169" bestFit="1" customWidth="1"/>
    <col min="24" max="24" width="14.3984375" style="169" bestFit="1" customWidth="1"/>
    <col min="25" max="26" width="21.33203125" style="169" bestFit="1" customWidth="1"/>
    <col min="27" max="27" width="12.3984375" style="169" bestFit="1" customWidth="1"/>
    <col min="28" max="28" width="22.265625" style="169" bestFit="1" customWidth="1"/>
    <col min="29" max="29" width="16.3984375" style="169" bestFit="1" customWidth="1"/>
    <col min="30" max="30" width="12.3984375" style="169" bestFit="1" customWidth="1"/>
    <col min="31" max="31" width="39.06640625" style="169" bestFit="1" customWidth="1"/>
    <col min="32" max="32" width="38.6640625" style="169" bestFit="1" customWidth="1"/>
    <col min="33" max="16384" width="9.06640625" style="169"/>
  </cols>
  <sheetData>
    <row r="2" spans="1:32" s="431" customFormat="1" x14ac:dyDescent="0.3">
      <c r="A2" s="1064"/>
      <c r="B2" s="964" t="s">
        <v>1260</v>
      </c>
    </row>
    <row r="3" spans="1:32" ht="13.9" thickBot="1" x14ac:dyDescent="0.35"/>
    <row r="4" spans="1:32" ht="13.9" thickBot="1" x14ac:dyDescent="0.35">
      <c r="A4" s="1065" t="s">
        <v>4</v>
      </c>
      <c r="C4" s="965" t="s">
        <v>208</v>
      </c>
      <c r="D4" s="966" t="s">
        <v>1259</v>
      </c>
      <c r="E4" s="967" t="s">
        <v>98</v>
      </c>
      <c r="F4" s="968" t="s">
        <v>104</v>
      </c>
      <c r="G4" s="967" t="s">
        <v>113</v>
      </c>
      <c r="H4" s="967" t="s">
        <v>137</v>
      </c>
      <c r="I4" s="967" t="s">
        <v>141</v>
      </c>
      <c r="J4" s="969" t="s">
        <v>150</v>
      </c>
      <c r="K4" s="967" t="s">
        <v>158</v>
      </c>
      <c r="L4" s="967" t="s">
        <v>164</v>
      </c>
      <c r="M4" s="967" t="s">
        <v>172</v>
      </c>
      <c r="N4" s="967" t="s">
        <v>1180</v>
      </c>
      <c r="O4" s="969" t="s">
        <v>1181</v>
      </c>
      <c r="P4" s="969" t="s">
        <v>1182</v>
      </c>
      <c r="Q4" s="969" t="s">
        <v>1183</v>
      </c>
      <c r="R4" s="969" t="s">
        <v>1184</v>
      </c>
      <c r="S4" s="969" t="s">
        <v>1185</v>
      </c>
      <c r="T4" s="969" t="s">
        <v>1186</v>
      </c>
      <c r="U4" s="969" t="s">
        <v>1187</v>
      </c>
      <c r="V4" s="969" t="s">
        <v>1188</v>
      </c>
      <c r="W4" s="969" t="s">
        <v>1189</v>
      </c>
      <c r="X4" s="969" t="s">
        <v>1190</v>
      </c>
      <c r="Y4" s="970" t="s">
        <v>1191</v>
      </c>
      <c r="Z4" s="969" t="s">
        <v>1192</v>
      </c>
      <c r="AA4" s="969" t="s">
        <v>1193</v>
      </c>
      <c r="AB4" s="969" t="s">
        <v>1194</v>
      </c>
      <c r="AC4" s="969" t="s">
        <v>1195</v>
      </c>
      <c r="AD4" s="969" t="s">
        <v>1196</v>
      </c>
      <c r="AE4" s="970" t="s">
        <v>1197</v>
      </c>
      <c r="AF4" s="970" t="s">
        <v>1358</v>
      </c>
    </row>
    <row r="5" spans="1:32" x14ac:dyDescent="0.3">
      <c r="A5" s="1066" t="s">
        <v>63</v>
      </c>
      <c r="C5" s="944" t="s">
        <v>11</v>
      </c>
      <c r="D5" s="944" t="s">
        <v>64</v>
      </c>
      <c r="E5" s="950" t="s">
        <v>549</v>
      </c>
      <c r="F5" s="948" t="s">
        <v>1198</v>
      </c>
      <c r="G5" s="953" t="s">
        <v>552</v>
      </c>
      <c r="H5" s="947" t="s">
        <v>756</v>
      </c>
      <c r="I5" s="947" t="s">
        <v>142</v>
      </c>
      <c r="J5" s="944" t="s">
        <v>1179</v>
      </c>
      <c r="K5" s="947" t="s">
        <v>159</v>
      </c>
      <c r="L5" s="947" t="s">
        <v>165</v>
      </c>
      <c r="M5" s="955" t="s">
        <v>173</v>
      </c>
      <c r="N5" s="956" t="s">
        <v>179</v>
      </c>
      <c r="O5" s="957" t="s">
        <v>757</v>
      </c>
      <c r="P5" s="957" t="s">
        <v>758</v>
      </c>
      <c r="Q5" s="959" t="s">
        <v>648</v>
      </c>
      <c r="R5" s="959" t="s">
        <v>1199</v>
      </c>
      <c r="S5" s="959" t="s">
        <v>1200</v>
      </c>
      <c r="T5" s="959" t="s">
        <v>667</v>
      </c>
      <c r="U5" s="960" t="s">
        <v>1201</v>
      </c>
      <c r="V5" s="959" t="s">
        <v>1202</v>
      </c>
      <c r="W5" s="959" t="s">
        <v>676</v>
      </c>
      <c r="X5" s="959" t="s">
        <v>1203</v>
      </c>
      <c r="Y5" s="959" t="s">
        <v>683</v>
      </c>
      <c r="Z5" s="959" t="s">
        <v>1204</v>
      </c>
      <c r="AA5" s="959" t="s">
        <v>1205</v>
      </c>
      <c r="AB5" s="959" t="s">
        <v>1206</v>
      </c>
      <c r="AC5" s="962" t="s">
        <v>1207</v>
      </c>
      <c r="AD5" s="959" t="s">
        <v>1208</v>
      </c>
      <c r="AE5" s="959" t="s">
        <v>693</v>
      </c>
      <c r="AF5" s="959" t="s">
        <v>1296</v>
      </c>
    </row>
    <row r="6" spans="1:32" x14ac:dyDescent="0.3">
      <c r="A6" s="1067" t="s">
        <v>98</v>
      </c>
      <c r="C6" s="944" t="s">
        <v>12</v>
      </c>
      <c r="D6" s="944" t="s">
        <v>65</v>
      </c>
      <c r="E6" s="951" t="s">
        <v>1209</v>
      </c>
      <c r="F6" s="949" t="s">
        <v>1210</v>
      </c>
      <c r="G6" s="953" t="s">
        <v>553</v>
      </c>
      <c r="H6" s="947" t="s">
        <v>581</v>
      </c>
      <c r="I6" s="947" t="s">
        <v>518</v>
      </c>
      <c r="J6" s="944" t="s">
        <v>152</v>
      </c>
      <c r="K6" s="947" t="s">
        <v>160</v>
      </c>
      <c r="L6" s="947" t="s">
        <v>166</v>
      </c>
      <c r="M6" s="955" t="s">
        <v>174</v>
      </c>
      <c r="N6" s="944" t="s">
        <v>180</v>
      </c>
      <c r="O6" s="957" t="s">
        <v>624</v>
      </c>
      <c r="P6" s="957" t="s">
        <v>759</v>
      </c>
      <c r="Q6" s="959" t="s">
        <v>649</v>
      </c>
      <c r="R6" s="959" t="s">
        <v>661</v>
      </c>
      <c r="S6" s="959" t="s">
        <v>1211</v>
      </c>
      <c r="T6" s="959" t="s">
        <v>668</v>
      </c>
      <c r="U6" s="961" t="s">
        <v>670</v>
      </c>
      <c r="V6" s="959" t="s">
        <v>1212</v>
      </c>
      <c r="W6" s="959" t="s">
        <v>677</v>
      </c>
      <c r="X6" s="959" t="s">
        <v>1213</v>
      </c>
      <c r="Y6" s="959" t="s">
        <v>684</v>
      </c>
      <c r="Z6" s="959" t="s">
        <v>1214</v>
      </c>
      <c r="AA6" s="959" t="s">
        <v>770</v>
      </c>
      <c r="AB6" s="959" t="s">
        <v>688</v>
      </c>
      <c r="AC6" s="959" t="s">
        <v>454</v>
      </c>
      <c r="AD6" s="959" t="s">
        <v>1215</v>
      </c>
      <c r="AE6" s="959" t="s">
        <v>694</v>
      </c>
      <c r="AF6" s="959" t="s">
        <v>1297</v>
      </c>
    </row>
    <row r="7" spans="1:32" x14ac:dyDescent="0.3">
      <c r="A7" s="1067" t="s">
        <v>104</v>
      </c>
      <c r="C7" s="944" t="s">
        <v>13</v>
      </c>
      <c r="D7" s="944" t="s">
        <v>66</v>
      </c>
      <c r="E7" s="951" t="s">
        <v>550</v>
      </c>
      <c r="F7" s="949" t="s">
        <v>1216</v>
      </c>
      <c r="G7" s="953" t="s">
        <v>554</v>
      </c>
      <c r="H7" s="947" t="s">
        <v>582</v>
      </c>
      <c r="I7" s="947" t="s">
        <v>519</v>
      </c>
      <c r="J7" s="944" t="s">
        <v>153</v>
      </c>
      <c r="K7" s="947" t="s">
        <v>161</v>
      </c>
      <c r="L7" s="947" t="s">
        <v>167</v>
      </c>
      <c r="M7" s="955" t="s">
        <v>175</v>
      </c>
      <c r="N7" s="956" t="s">
        <v>1217</v>
      </c>
      <c r="O7" s="957" t="s">
        <v>625</v>
      </c>
      <c r="P7" s="958" t="s">
        <v>117</v>
      </c>
      <c r="Q7" s="959" t="s">
        <v>650</v>
      </c>
      <c r="R7" s="959" t="s">
        <v>662</v>
      </c>
      <c r="S7" s="959" t="s">
        <v>1218</v>
      </c>
      <c r="T7" s="959" t="s">
        <v>669</v>
      </c>
      <c r="U7" s="961" t="s">
        <v>671</v>
      </c>
      <c r="V7" s="959" t="s">
        <v>1219</v>
      </c>
      <c r="W7" s="959" t="s">
        <v>678</v>
      </c>
      <c r="X7" s="959" t="s">
        <v>1220</v>
      </c>
      <c r="Y7" s="959" t="s">
        <v>685</v>
      </c>
      <c r="Z7" s="959" t="s">
        <v>1221</v>
      </c>
      <c r="AA7" s="959" t="s">
        <v>1222</v>
      </c>
      <c r="AB7" s="959" t="s">
        <v>689</v>
      </c>
      <c r="AC7" s="963" t="s">
        <v>1223</v>
      </c>
      <c r="AD7" s="959" t="s">
        <v>1224</v>
      </c>
      <c r="AE7" s="959" t="s">
        <v>695</v>
      </c>
      <c r="AF7" s="959" t="s">
        <v>1298</v>
      </c>
    </row>
    <row r="8" spans="1:32" x14ac:dyDescent="0.3">
      <c r="A8" s="1067" t="s">
        <v>113</v>
      </c>
      <c r="C8" s="944" t="s">
        <v>14</v>
      </c>
      <c r="D8" s="946" t="s">
        <v>67</v>
      </c>
      <c r="E8" s="951" t="s">
        <v>551</v>
      </c>
      <c r="F8" s="949" t="s">
        <v>1225</v>
      </c>
      <c r="G8" s="953" t="s">
        <v>555</v>
      </c>
      <c r="H8" s="947" t="s">
        <v>583</v>
      </c>
      <c r="I8" s="947" t="s">
        <v>1226</v>
      </c>
      <c r="J8" s="944" t="s">
        <v>154</v>
      </c>
      <c r="K8" s="947" t="s">
        <v>1227</v>
      </c>
      <c r="L8" s="947" t="s">
        <v>168</v>
      </c>
      <c r="M8" s="955" t="s">
        <v>176</v>
      </c>
      <c r="N8" s="1026"/>
      <c r="O8" s="957" t="s">
        <v>626</v>
      </c>
      <c r="P8" s="957" t="s">
        <v>760</v>
      </c>
      <c r="Q8" s="959" t="s">
        <v>651</v>
      </c>
      <c r="R8" s="959" t="s">
        <v>663</v>
      </c>
      <c r="S8" s="959" t="s">
        <v>1228</v>
      </c>
      <c r="T8" s="959" t="s">
        <v>1229</v>
      </c>
      <c r="U8" s="961" t="s">
        <v>672</v>
      </c>
      <c r="V8" s="959" t="s">
        <v>1230</v>
      </c>
      <c r="W8" s="959" t="s">
        <v>679</v>
      </c>
      <c r="X8" s="959" t="s">
        <v>1231</v>
      </c>
      <c r="Y8" s="959" t="s">
        <v>686</v>
      </c>
      <c r="Z8" s="959" t="s">
        <v>1232</v>
      </c>
      <c r="AA8" s="1026"/>
      <c r="AB8" s="959" t="s">
        <v>690</v>
      </c>
      <c r="AC8" s="959" t="s">
        <v>1233</v>
      </c>
      <c r="AD8" s="959" t="s">
        <v>1234</v>
      </c>
      <c r="AE8" s="959" t="s">
        <v>696</v>
      </c>
      <c r="AF8" s="959" t="s">
        <v>1299</v>
      </c>
    </row>
    <row r="9" spans="1:32" x14ac:dyDescent="0.3">
      <c r="A9" s="1067" t="s">
        <v>137</v>
      </c>
      <c r="C9" s="944" t="s">
        <v>15</v>
      </c>
      <c r="D9" s="944" t="s">
        <v>68</v>
      </c>
      <c r="E9" s="951" t="s">
        <v>101</v>
      </c>
      <c r="F9" s="949" t="s">
        <v>1235</v>
      </c>
      <c r="G9" s="953" t="s">
        <v>556</v>
      </c>
      <c r="H9" s="947" t="s">
        <v>584</v>
      </c>
      <c r="I9" s="947" t="s">
        <v>611</v>
      </c>
      <c r="J9" s="944" t="s">
        <v>155</v>
      </c>
      <c r="K9" s="947" t="s">
        <v>109</v>
      </c>
      <c r="L9" s="947" t="s">
        <v>169</v>
      </c>
      <c r="M9" s="955" t="s">
        <v>177</v>
      </c>
      <c r="N9" s="1026"/>
      <c r="O9" s="957" t="s">
        <v>627</v>
      </c>
      <c r="P9" s="957" t="s">
        <v>761</v>
      </c>
      <c r="Q9" s="959" t="s">
        <v>652</v>
      </c>
      <c r="R9" s="959" t="s">
        <v>664</v>
      </c>
      <c r="S9" s="959" t="s">
        <v>1236</v>
      </c>
      <c r="T9" s="1026"/>
      <c r="U9" s="961" t="s">
        <v>673</v>
      </c>
      <c r="V9" s="959" t="s">
        <v>1237</v>
      </c>
      <c r="W9" s="959" t="s">
        <v>680</v>
      </c>
      <c r="X9" s="959" t="s">
        <v>1238</v>
      </c>
      <c r="Y9" s="959" t="s">
        <v>687</v>
      </c>
      <c r="Z9" s="959" t="s">
        <v>1239</v>
      </c>
      <c r="AA9" s="1026"/>
      <c r="AB9" s="959" t="s">
        <v>691</v>
      </c>
      <c r="AC9" s="959" t="s">
        <v>1240</v>
      </c>
      <c r="AD9" s="1026"/>
      <c r="AE9" s="959" t="s">
        <v>697</v>
      </c>
      <c r="AF9" s="959" t="s">
        <v>1300</v>
      </c>
    </row>
    <row r="10" spans="1:32" x14ac:dyDescent="0.3">
      <c r="A10" s="1067" t="s">
        <v>141</v>
      </c>
      <c r="C10" s="944" t="s">
        <v>16</v>
      </c>
      <c r="D10" s="944" t="s">
        <v>69</v>
      </c>
      <c r="E10" s="952" t="s">
        <v>102</v>
      </c>
      <c r="F10" s="949" t="s">
        <v>1241</v>
      </c>
      <c r="G10" s="953" t="s">
        <v>557</v>
      </c>
      <c r="H10" s="947" t="s">
        <v>585</v>
      </c>
      <c r="I10" s="947" t="s">
        <v>520</v>
      </c>
      <c r="J10" s="944" t="s">
        <v>156</v>
      </c>
      <c r="K10" s="947" t="s">
        <v>162</v>
      </c>
      <c r="L10" s="947" t="s">
        <v>170</v>
      </c>
      <c r="M10" s="1026"/>
      <c r="N10" s="1026"/>
      <c r="O10" s="957" t="s">
        <v>628</v>
      </c>
      <c r="P10" s="957" t="s">
        <v>1242</v>
      </c>
      <c r="Q10" s="959" t="s">
        <v>653</v>
      </c>
      <c r="R10" s="959" t="s">
        <v>665</v>
      </c>
      <c r="S10" s="959" t="s">
        <v>1243</v>
      </c>
      <c r="T10" s="1026"/>
      <c r="U10" s="961" t="s">
        <v>674</v>
      </c>
      <c r="V10" s="959" t="s">
        <v>1244</v>
      </c>
      <c r="W10" s="959" t="s">
        <v>681</v>
      </c>
      <c r="X10" s="959" t="s">
        <v>1245</v>
      </c>
      <c r="Y10" s="959" t="s">
        <v>1246</v>
      </c>
      <c r="Z10" s="959" t="s">
        <v>1247</v>
      </c>
      <c r="AA10" s="1026"/>
      <c r="AB10" s="1026"/>
      <c r="AC10" s="1026"/>
      <c r="AD10" s="1026"/>
      <c r="AE10" s="959" t="s">
        <v>698</v>
      </c>
      <c r="AF10" s="959" t="s">
        <v>1301</v>
      </c>
    </row>
    <row r="11" spans="1:32" x14ac:dyDescent="0.3">
      <c r="A11" s="1068" t="s">
        <v>150</v>
      </c>
      <c r="C11" s="944" t="s">
        <v>17</v>
      </c>
      <c r="D11" s="944" t="s">
        <v>70</v>
      </c>
      <c r="E11" s="952" t="s">
        <v>103</v>
      </c>
      <c r="F11" s="949" t="s">
        <v>1248</v>
      </c>
      <c r="G11" s="953" t="s">
        <v>558</v>
      </c>
      <c r="H11" s="947" t="s">
        <v>586</v>
      </c>
      <c r="I11" s="947" t="s">
        <v>521</v>
      </c>
      <c r="J11" s="944" t="s">
        <v>157</v>
      </c>
      <c r="K11" s="947" t="s">
        <v>163</v>
      </c>
      <c r="L11" s="947" t="s">
        <v>102</v>
      </c>
      <c r="M11" s="1026"/>
      <c r="N11" s="1026"/>
      <c r="O11" s="957" t="s">
        <v>629</v>
      </c>
      <c r="P11" s="957" t="s">
        <v>762</v>
      </c>
      <c r="Q11" s="959" t="s">
        <v>654</v>
      </c>
      <c r="R11" s="959" t="s">
        <v>666</v>
      </c>
      <c r="S11" s="1026"/>
      <c r="T11" s="1026"/>
      <c r="U11" s="961" t="s">
        <v>675</v>
      </c>
      <c r="V11" s="959" t="s">
        <v>1249</v>
      </c>
      <c r="W11" s="959" t="s">
        <v>682</v>
      </c>
      <c r="X11" s="1026"/>
      <c r="Y11" s="1026"/>
      <c r="Z11" s="959" t="s">
        <v>1250</v>
      </c>
      <c r="AA11" s="1026"/>
      <c r="AB11" s="1026"/>
      <c r="AC11" s="1026"/>
      <c r="AD11" s="1026"/>
      <c r="AE11" s="959" t="s">
        <v>699</v>
      </c>
      <c r="AF11" s="959" t="s">
        <v>1302</v>
      </c>
    </row>
    <row r="12" spans="1:32" x14ac:dyDescent="0.3">
      <c r="A12" s="1067" t="s">
        <v>158</v>
      </c>
      <c r="C12" s="944" t="s">
        <v>18</v>
      </c>
      <c r="D12" s="944" t="s">
        <v>71</v>
      </c>
      <c r="E12" s="1069"/>
      <c r="F12" s="947" t="s">
        <v>1251</v>
      </c>
      <c r="G12" s="953" t="s">
        <v>559</v>
      </c>
      <c r="H12" s="947" t="s">
        <v>587</v>
      </c>
      <c r="I12" s="947" t="s">
        <v>522</v>
      </c>
      <c r="J12" s="1026"/>
      <c r="K12" s="1026"/>
      <c r="L12" s="947" t="s">
        <v>171</v>
      </c>
      <c r="M12" s="1026"/>
      <c r="N12" s="1026"/>
      <c r="O12" s="957" t="s">
        <v>630</v>
      </c>
      <c r="P12" s="957" t="s">
        <v>763</v>
      </c>
      <c r="Q12" s="1026"/>
      <c r="R12" s="959" t="s">
        <v>1252</v>
      </c>
      <c r="S12" s="1026"/>
      <c r="T12" s="1026"/>
      <c r="U12" s="1026"/>
      <c r="V12" s="959" t="s">
        <v>1253</v>
      </c>
      <c r="W12" s="1026"/>
      <c r="X12" s="1026"/>
      <c r="Y12" s="1026"/>
      <c r="Z12" s="1026"/>
      <c r="AA12" s="1026"/>
      <c r="AB12" s="1026"/>
      <c r="AC12" s="1026"/>
      <c r="AD12" s="1026"/>
      <c r="AE12" s="959" t="s">
        <v>700</v>
      </c>
      <c r="AF12" s="959" t="s">
        <v>1303</v>
      </c>
    </row>
    <row r="13" spans="1:32" x14ac:dyDescent="0.3">
      <c r="A13" s="1067" t="s">
        <v>164</v>
      </c>
      <c r="C13" s="944" t="s">
        <v>19</v>
      </c>
      <c r="D13" s="944" t="s">
        <v>72</v>
      </c>
      <c r="E13" s="1069"/>
      <c r="F13" s="949" t="s">
        <v>1254</v>
      </c>
      <c r="G13" s="953" t="s">
        <v>560</v>
      </c>
      <c r="H13" s="947" t="s">
        <v>588</v>
      </c>
      <c r="I13" s="947" t="s">
        <v>523</v>
      </c>
      <c r="J13" s="1026"/>
      <c r="K13" s="1026"/>
      <c r="L13" s="1026"/>
      <c r="M13" s="1026"/>
      <c r="N13" s="1026"/>
      <c r="O13" s="957" t="s">
        <v>631</v>
      </c>
      <c r="P13" s="957" t="s">
        <v>764</v>
      </c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959" t="s">
        <v>701</v>
      </c>
      <c r="AF13" s="959" t="s">
        <v>1304</v>
      </c>
    </row>
    <row r="14" spans="1:32" x14ac:dyDescent="0.3">
      <c r="A14" s="1067" t="s">
        <v>172</v>
      </c>
      <c r="C14" s="944" t="s">
        <v>20</v>
      </c>
      <c r="D14" s="944" t="s">
        <v>73</v>
      </c>
      <c r="E14" s="1069"/>
      <c r="F14" s="947" t="s">
        <v>112</v>
      </c>
      <c r="G14" s="953" t="s">
        <v>561</v>
      </c>
      <c r="H14" s="947" t="s">
        <v>589</v>
      </c>
      <c r="I14" s="947" t="s">
        <v>524</v>
      </c>
      <c r="J14" s="1026"/>
      <c r="K14" s="1026"/>
      <c r="L14" s="1026"/>
      <c r="M14" s="1026"/>
      <c r="N14" s="1026"/>
      <c r="O14" s="957" t="s">
        <v>632</v>
      </c>
      <c r="P14" s="957" t="s">
        <v>765</v>
      </c>
      <c r="Q14" s="1026"/>
      <c r="R14" s="1026"/>
      <c r="S14" s="1026"/>
      <c r="T14" s="1026"/>
      <c r="U14" s="1026"/>
      <c r="V14" s="1026"/>
      <c r="W14" s="1026"/>
      <c r="X14" s="1026"/>
      <c r="Y14" s="1026"/>
      <c r="Z14" s="1026"/>
      <c r="AA14" s="1026"/>
      <c r="AB14" s="1026"/>
      <c r="AC14" s="1026"/>
      <c r="AD14" s="1026"/>
      <c r="AE14" s="959" t="s">
        <v>702</v>
      </c>
      <c r="AF14" s="959" t="s">
        <v>1305</v>
      </c>
    </row>
    <row r="15" spans="1:32" x14ac:dyDescent="0.3">
      <c r="A15" s="1070" t="s">
        <v>178</v>
      </c>
      <c r="C15" s="944" t="s">
        <v>21</v>
      </c>
      <c r="D15" s="944" t="s">
        <v>74</v>
      </c>
      <c r="E15" s="1069"/>
      <c r="F15" s="1026"/>
      <c r="G15" s="953" t="s">
        <v>562</v>
      </c>
      <c r="H15" s="947" t="s">
        <v>590</v>
      </c>
      <c r="I15" s="947" t="s">
        <v>525</v>
      </c>
      <c r="J15" s="1026"/>
      <c r="K15" s="1026"/>
      <c r="L15" s="1026"/>
      <c r="M15" s="1026"/>
      <c r="N15" s="1026"/>
      <c r="O15" s="957" t="s">
        <v>633</v>
      </c>
      <c r="P15" s="957" t="s">
        <v>766</v>
      </c>
      <c r="Q15" s="1026"/>
      <c r="R15" s="1026"/>
      <c r="S15" s="1026"/>
      <c r="T15" s="1026"/>
      <c r="U15" s="1026"/>
      <c r="V15" s="1026"/>
      <c r="W15" s="1026"/>
      <c r="X15" s="1026"/>
      <c r="Y15" s="1026"/>
      <c r="Z15" s="1026"/>
      <c r="AA15" s="1026"/>
      <c r="AB15" s="1026"/>
      <c r="AC15" s="1026"/>
      <c r="AD15" s="1026"/>
      <c r="AE15" s="959" t="s">
        <v>703</v>
      </c>
      <c r="AF15" s="959" t="s">
        <v>1306</v>
      </c>
    </row>
    <row r="16" spans="1:32" x14ac:dyDescent="0.3">
      <c r="A16" s="1067" t="s">
        <v>181</v>
      </c>
      <c r="C16" s="944" t="s">
        <v>22</v>
      </c>
      <c r="D16" s="944" t="s">
        <v>75</v>
      </c>
      <c r="E16" s="1069"/>
      <c r="F16" s="1026"/>
      <c r="G16" s="953" t="s">
        <v>563</v>
      </c>
      <c r="H16" s="947" t="s">
        <v>591</v>
      </c>
      <c r="I16" s="947" t="s">
        <v>526</v>
      </c>
      <c r="J16" s="1026"/>
      <c r="K16" s="1026"/>
      <c r="L16" s="1026"/>
      <c r="M16" s="1026"/>
      <c r="N16" s="1026"/>
      <c r="O16" s="957" t="s">
        <v>634</v>
      </c>
      <c r="P16" s="957" t="s">
        <v>767</v>
      </c>
      <c r="Q16" s="1026"/>
      <c r="R16" s="1026"/>
      <c r="S16" s="1026"/>
      <c r="T16" s="1026"/>
      <c r="U16" s="1026"/>
      <c r="V16" s="1026"/>
      <c r="W16" s="1026"/>
      <c r="X16" s="1026"/>
      <c r="Y16" s="1026"/>
      <c r="Z16" s="1026"/>
      <c r="AA16" s="1026"/>
      <c r="AB16" s="1026"/>
      <c r="AC16" s="1026"/>
      <c r="AD16" s="1026"/>
      <c r="AE16" s="959" t="s">
        <v>704</v>
      </c>
      <c r="AF16" s="959" t="s">
        <v>1307</v>
      </c>
    </row>
    <row r="17" spans="1:32" x14ac:dyDescent="0.3">
      <c r="C17" s="944" t="s">
        <v>23</v>
      </c>
      <c r="D17" s="944" t="s">
        <v>76</v>
      </c>
      <c r="E17" s="1069"/>
      <c r="F17" s="1026"/>
      <c r="G17" s="953" t="s">
        <v>564</v>
      </c>
      <c r="H17" s="947" t="s">
        <v>592</v>
      </c>
      <c r="I17" s="947" t="s">
        <v>527</v>
      </c>
      <c r="J17" s="1026"/>
      <c r="K17" s="1026"/>
      <c r="L17" s="1026"/>
      <c r="M17" s="1026"/>
      <c r="N17" s="1026"/>
      <c r="O17" s="957" t="s">
        <v>635</v>
      </c>
      <c r="P17" s="957" t="s">
        <v>768</v>
      </c>
      <c r="Q17" s="1026"/>
      <c r="R17" s="1026"/>
      <c r="S17" s="1026"/>
      <c r="T17" s="1026"/>
      <c r="U17" s="1026"/>
      <c r="V17" s="1026"/>
      <c r="W17" s="1026"/>
      <c r="X17" s="1026"/>
      <c r="Y17" s="1026"/>
      <c r="Z17" s="1026"/>
      <c r="AA17" s="1026"/>
      <c r="AB17" s="1026"/>
      <c r="AC17" s="1026"/>
      <c r="AD17" s="1026"/>
      <c r="AE17" s="959" t="s">
        <v>705</v>
      </c>
      <c r="AF17" s="959" t="s">
        <v>1308</v>
      </c>
    </row>
    <row r="18" spans="1:32" x14ac:dyDescent="0.3">
      <c r="C18" s="944" t="s">
        <v>24</v>
      </c>
      <c r="D18" s="944" t="s">
        <v>77</v>
      </c>
      <c r="E18" s="1069"/>
      <c r="F18" s="1026"/>
      <c r="G18" s="953" t="s">
        <v>565</v>
      </c>
      <c r="H18" s="947" t="s">
        <v>593</v>
      </c>
      <c r="I18" s="947" t="s">
        <v>528</v>
      </c>
      <c r="J18" s="1026"/>
      <c r="K18" s="1026"/>
      <c r="L18" s="1026"/>
      <c r="M18" s="1026"/>
      <c r="N18" s="1026"/>
      <c r="O18" s="957" t="s">
        <v>636</v>
      </c>
      <c r="P18" s="957" t="s">
        <v>769</v>
      </c>
      <c r="Q18" s="1026"/>
      <c r="R18" s="1026"/>
      <c r="S18" s="1026"/>
      <c r="T18" s="1026"/>
      <c r="U18" s="1026"/>
      <c r="V18" s="1026"/>
      <c r="W18" s="1026"/>
      <c r="X18" s="1026"/>
      <c r="Y18" s="1026"/>
      <c r="Z18" s="1026"/>
      <c r="AA18" s="1026"/>
      <c r="AB18" s="1026"/>
      <c r="AC18" s="1026"/>
      <c r="AD18" s="1026"/>
      <c r="AE18" s="959" t="s">
        <v>706</v>
      </c>
      <c r="AF18" s="959" t="s">
        <v>1309</v>
      </c>
    </row>
    <row r="19" spans="1:32" x14ac:dyDescent="0.3">
      <c r="C19" s="944" t="s">
        <v>25</v>
      </c>
      <c r="D19" s="944" t="s">
        <v>78</v>
      </c>
      <c r="E19" s="1069"/>
      <c r="F19" s="1026"/>
      <c r="G19" s="953" t="s">
        <v>566</v>
      </c>
      <c r="H19" s="947" t="s">
        <v>594</v>
      </c>
      <c r="I19" s="947" t="s">
        <v>612</v>
      </c>
      <c r="J19" s="1026"/>
      <c r="K19" s="1026"/>
      <c r="L19" s="1026"/>
      <c r="M19" s="1026"/>
      <c r="N19" s="1026"/>
      <c r="O19" s="957" t="s">
        <v>637</v>
      </c>
      <c r="P19" s="1026"/>
      <c r="Q19" s="1026"/>
      <c r="R19" s="1026"/>
      <c r="S19" s="1026"/>
      <c r="T19" s="1026"/>
      <c r="U19" s="1026"/>
      <c r="V19" s="1026"/>
      <c r="W19" s="1026"/>
      <c r="X19" s="1026"/>
      <c r="Y19" s="1026"/>
      <c r="Z19" s="1026"/>
      <c r="AA19" s="1026"/>
      <c r="AB19" s="1026"/>
      <c r="AC19" s="1026"/>
      <c r="AD19" s="1026"/>
      <c r="AE19" s="959" t="s">
        <v>707</v>
      </c>
      <c r="AF19" s="959" t="s">
        <v>1310</v>
      </c>
    </row>
    <row r="20" spans="1:32" x14ac:dyDescent="0.3">
      <c r="C20" s="944" t="s">
        <v>26</v>
      </c>
      <c r="D20" s="944" t="s">
        <v>79</v>
      </c>
      <c r="E20" s="1069"/>
      <c r="F20" s="1026"/>
      <c r="G20" s="953" t="s">
        <v>567</v>
      </c>
      <c r="H20" s="947" t="s">
        <v>595</v>
      </c>
      <c r="I20" s="947" t="s">
        <v>529</v>
      </c>
      <c r="J20" s="1026"/>
      <c r="K20" s="1026"/>
      <c r="L20" s="1026"/>
      <c r="M20" s="1026"/>
      <c r="N20" s="1026"/>
      <c r="O20" s="957" t="s">
        <v>638</v>
      </c>
      <c r="P20" s="1026"/>
      <c r="Q20" s="1026"/>
      <c r="R20" s="1026"/>
      <c r="S20" s="1026"/>
      <c r="T20" s="1026"/>
      <c r="U20" s="1026"/>
      <c r="V20" s="1026"/>
      <c r="W20" s="1026"/>
      <c r="X20" s="1026"/>
      <c r="Y20" s="1026"/>
      <c r="Z20" s="1026"/>
      <c r="AA20" s="1026"/>
      <c r="AB20" s="1026"/>
      <c r="AC20" s="1026"/>
      <c r="AD20" s="1026"/>
      <c r="AE20" s="959" t="s">
        <v>708</v>
      </c>
      <c r="AF20" s="959" t="s">
        <v>1311</v>
      </c>
    </row>
    <row r="21" spans="1:32" x14ac:dyDescent="0.3">
      <c r="C21" s="944" t="s">
        <v>27</v>
      </c>
      <c r="D21" s="944" t="s">
        <v>80</v>
      </c>
      <c r="E21" s="1069"/>
      <c r="F21" s="1026"/>
      <c r="G21" s="953" t="s">
        <v>568</v>
      </c>
      <c r="H21" s="947" t="s">
        <v>596</v>
      </c>
      <c r="I21" s="947" t="s">
        <v>143</v>
      </c>
      <c r="J21" s="1026"/>
      <c r="K21" s="1026"/>
      <c r="L21" s="1026"/>
      <c r="M21" s="1026"/>
      <c r="N21" s="1026"/>
      <c r="O21" s="957" t="s">
        <v>639</v>
      </c>
      <c r="P21" s="1026"/>
      <c r="Q21" s="1026"/>
      <c r="R21" s="1026"/>
      <c r="S21" s="1026"/>
      <c r="T21" s="1026"/>
      <c r="U21" s="1026"/>
      <c r="V21" s="1026"/>
      <c r="W21" s="1026"/>
      <c r="X21" s="1026"/>
      <c r="Y21" s="1026"/>
      <c r="Z21" s="1026"/>
      <c r="AA21" s="1026"/>
      <c r="AB21" s="1026"/>
      <c r="AC21" s="1026"/>
      <c r="AD21" s="1026"/>
      <c r="AE21" s="959" t="s">
        <v>709</v>
      </c>
      <c r="AF21" s="959" t="s">
        <v>1312</v>
      </c>
    </row>
    <row r="22" spans="1:32" x14ac:dyDescent="0.3">
      <c r="C22" s="944" t="s">
        <v>28</v>
      </c>
      <c r="D22" s="944" t="s">
        <v>81</v>
      </c>
      <c r="E22" s="1069"/>
      <c r="F22" s="1026"/>
      <c r="G22" s="954" t="s">
        <v>569</v>
      </c>
      <c r="H22" s="947" t="s">
        <v>1255</v>
      </c>
      <c r="I22" s="947" t="s">
        <v>144</v>
      </c>
      <c r="J22" s="1026"/>
      <c r="K22" s="1026"/>
      <c r="L22" s="1026"/>
      <c r="M22" s="1026"/>
      <c r="N22" s="1026"/>
      <c r="O22" s="957" t="s">
        <v>640</v>
      </c>
      <c r="P22" s="1026"/>
      <c r="Q22" s="1026"/>
      <c r="R22" s="1026"/>
      <c r="S22" s="1026"/>
      <c r="T22" s="1026"/>
      <c r="U22" s="1026"/>
      <c r="V22" s="1026"/>
      <c r="W22" s="1026"/>
      <c r="X22" s="1026"/>
      <c r="Y22" s="1026"/>
      <c r="Z22" s="1026"/>
      <c r="AA22" s="1026"/>
      <c r="AB22" s="1026"/>
      <c r="AC22" s="1026"/>
      <c r="AD22" s="1026"/>
      <c r="AE22" s="959" t="s">
        <v>710</v>
      </c>
      <c r="AF22" s="959" t="s">
        <v>1313</v>
      </c>
    </row>
    <row r="23" spans="1:32" x14ac:dyDescent="0.3">
      <c r="A23" s="1029" t="s">
        <v>203</v>
      </c>
      <c r="C23" s="944" t="s">
        <v>29</v>
      </c>
      <c r="D23" s="944" t="s">
        <v>82</v>
      </c>
      <c r="E23" s="1069"/>
      <c r="F23" s="1026"/>
      <c r="G23" s="954" t="s">
        <v>570</v>
      </c>
      <c r="H23" s="947" t="s">
        <v>598</v>
      </c>
      <c r="I23" s="947" t="s">
        <v>530</v>
      </c>
      <c r="J23" s="1026"/>
      <c r="K23" s="1026"/>
      <c r="L23" s="1026"/>
      <c r="M23" s="1026"/>
      <c r="N23" s="1026"/>
      <c r="O23" s="957" t="s">
        <v>641</v>
      </c>
      <c r="P23" s="1026"/>
      <c r="Q23" s="1026"/>
      <c r="R23" s="1026"/>
      <c r="S23" s="1026"/>
      <c r="T23" s="1026"/>
      <c r="U23" s="1026"/>
      <c r="V23" s="1026"/>
      <c r="W23" s="1026"/>
      <c r="X23" s="1026"/>
      <c r="Y23" s="1026"/>
      <c r="Z23" s="1026"/>
      <c r="AA23" s="1026"/>
      <c r="AB23" s="1026"/>
      <c r="AC23" s="1026"/>
      <c r="AD23" s="1026"/>
      <c r="AE23" s="959" t="s">
        <v>711</v>
      </c>
      <c r="AF23" s="959" t="s">
        <v>1314</v>
      </c>
    </row>
    <row r="24" spans="1:32" x14ac:dyDescent="0.3">
      <c r="A24" s="1029" t="s">
        <v>204</v>
      </c>
      <c r="C24" s="944" t="s">
        <v>30</v>
      </c>
      <c r="D24" s="944" t="s">
        <v>83</v>
      </c>
      <c r="E24" s="1069"/>
      <c r="F24" s="1026"/>
      <c r="G24" s="954" t="s">
        <v>571</v>
      </c>
      <c r="H24" s="947" t="s">
        <v>599</v>
      </c>
      <c r="I24" s="947" t="s">
        <v>531</v>
      </c>
      <c r="J24" s="1026"/>
      <c r="K24" s="1026"/>
      <c r="L24" s="1026"/>
      <c r="M24" s="1026"/>
      <c r="N24" s="1026"/>
      <c r="O24" s="957" t="s">
        <v>642</v>
      </c>
      <c r="P24" s="1026"/>
      <c r="Q24" s="1026"/>
      <c r="R24" s="1026"/>
      <c r="S24" s="1026"/>
      <c r="T24" s="1026"/>
      <c r="U24" s="1026"/>
      <c r="V24" s="1026"/>
      <c r="W24" s="1026"/>
      <c r="X24" s="1026"/>
      <c r="Y24" s="1026"/>
      <c r="Z24" s="1026"/>
      <c r="AA24" s="1026"/>
      <c r="AB24" s="1026"/>
      <c r="AC24" s="1026"/>
      <c r="AD24" s="1026"/>
      <c r="AE24" s="959" t="s">
        <v>712</v>
      </c>
      <c r="AF24" s="959" t="s">
        <v>1315</v>
      </c>
    </row>
    <row r="25" spans="1:32" x14ac:dyDescent="0.3">
      <c r="A25" s="1029" t="s">
        <v>206</v>
      </c>
      <c r="C25" s="944" t="s">
        <v>31</v>
      </c>
      <c r="D25" s="944" t="s">
        <v>84</v>
      </c>
      <c r="E25" s="1069"/>
      <c r="F25" s="1026"/>
      <c r="G25" s="954" t="s">
        <v>753</v>
      </c>
      <c r="H25" s="947" t="s">
        <v>600</v>
      </c>
      <c r="I25" s="947" t="s">
        <v>532</v>
      </c>
      <c r="J25" s="1026"/>
      <c r="K25" s="1026"/>
      <c r="L25" s="1026"/>
      <c r="M25" s="1026"/>
      <c r="N25" s="1026"/>
      <c r="O25" s="957" t="s">
        <v>643</v>
      </c>
      <c r="P25" s="1026"/>
      <c r="Q25" s="1026"/>
      <c r="R25" s="1026"/>
      <c r="S25" s="1026"/>
      <c r="T25" s="1026"/>
      <c r="U25" s="1026"/>
      <c r="V25" s="1026"/>
      <c r="W25" s="1026"/>
      <c r="X25" s="1026"/>
      <c r="Y25" s="1026"/>
      <c r="Z25" s="1026"/>
      <c r="AA25" s="1026"/>
      <c r="AB25" s="1026"/>
      <c r="AC25" s="1026"/>
      <c r="AD25" s="1026"/>
      <c r="AE25" s="959" t="s">
        <v>713</v>
      </c>
      <c r="AF25" s="959" t="s">
        <v>1316</v>
      </c>
    </row>
    <row r="26" spans="1:32" x14ac:dyDescent="0.3">
      <c r="A26" s="1029" t="s">
        <v>205</v>
      </c>
      <c r="C26" s="944" t="s">
        <v>33</v>
      </c>
      <c r="D26" s="944" t="s">
        <v>85</v>
      </c>
      <c r="E26" s="1069"/>
      <c r="F26" s="1026"/>
      <c r="G26" s="954" t="s">
        <v>754</v>
      </c>
      <c r="H26" s="947" t="s">
        <v>601</v>
      </c>
      <c r="I26" s="947" t="s">
        <v>533</v>
      </c>
      <c r="J26" s="1026"/>
      <c r="K26" s="1026"/>
      <c r="L26" s="1026"/>
      <c r="M26" s="1026"/>
      <c r="N26" s="1026"/>
      <c r="O26" s="957" t="s">
        <v>644</v>
      </c>
      <c r="P26" s="1026"/>
      <c r="Q26" s="1026"/>
      <c r="R26" s="1026"/>
      <c r="S26" s="1026"/>
      <c r="T26" s="1026"/>
      <c r="U26" s="1026"/>
      <c r="V26" s="1026"/>
      <c r="W26" s="1026"/>
      <c r="X26" s="1026"/>
      <c r="Y26" s="1026"/>
      <c r="Z26" s="1026"/>
      <c r="AA26" s="1026"/>
      <c r="AB26" s="1026"/>
      <c r="AC26" s="1026"/>
      <c r="AD26" s="1026"/>
      <c r="AE26" s="959" t="s">
        <v>714</v>
      </c>
      <c r="AF26" s="959" t="s">
        <v>1317</v>
      </c>
    </row>
    <row r="27" spans="1:32" x14ac:dyDescent="0.3">
      <c r="C27" s="944" t="s">
        <v>34</v>
      </c>
      <c r="D27" s="944" t="s">
        <v>86</v>
      </c>
      <c r="E27" s="1069"/>
      <c r="F27" s="1026"/>
      <c r="G27" s="954" t="s">
        <v>572</v>
      </c>
      <c r="H27" s="947" t="s">
        <v>602</v>
      </c>
      <c r="I27" s="947" t="s">
        <v>534</v>
      </c>
      <c r="J27" s="1026"/>
      <c r="K27" s="1026"/>
      <c r="L27" s="1026"/>
      <c r="M27" s="1026"/>
      <c r="N27" s="1026"/>
      <c r="O27" s="1026"/>
      <c r="P27" s="1026"/>
      <c r="Q27" s="1026"/>
      <c r="R27" s="1026"/>
      <c r="S27" s="1026"/>
      <c r="T27" s="1026"/>
      <c r="U27" s="1026"/>
      <c r="V27" s="1026"/>
      <c r="W27" s="1026"/>
      <c r="X27" s="1026"/>
      <c r="Y27" s="1026"/>
      <c r="Z27" s="1026"/>
      <c r="AA27" s="1026"/>
      <c r="AB27" s="1026"/>
      <c r="AC27" s="1026"/>
      <c r="AD27" s="1026"/>
      <c r="AE27" s="959" t="s">
        <v>715</v>
      </c>
      <c r="AF27" s="959" t="s">
        <v>1318</v>
      </c>
    </row>
    <row r="28" spans="1:32" x14ac:dyDescent="0.3">
      <c r="C28" s="944" t="s">
        <v>35</v>
      </c>
      <c r="D28" s="944" t="s">
        <v>87</v>
      </c>
      <c r="E28" s="1069"/>
      <c r="F28" s="1026"/>
      <c r="G28" s="954" t="s">
        <v>755</v>
      </c>
      <c r="H28" s="947" t="s">
        <v>603</v>
      </c>
      <c r="I28" s="947" t="s">
        <v>535</v>
      </c>
      <c r="J28" s="1026"/>
      <c r="K28" s="1026"/>
      <c r="L28" s="1026"/>
      <c r="M28" s="1026"/>
      <c r="N28" s="1026"/>
      <c r="O28" s="1026"/>
      <c r="P28" s="1026"/>
      <c r="Q28" s="1026"/>
      <c r="R28" s="1026"/>
      <c r="S28" s="1026"/>
      <c r="T28" s="1026"/>
      <c r="U28" s="1026"/>
      <c r="V28" s="1026"/>
      <c r="W28" s="1026"/>
      <c r="X28" s="1026"/>
      <c r="Y28" s="1026"/>
      <c r="Z28" s="1026"/>
      <c r="AA28" s="1026"/>
      <c r="AB28" s="1026"/>
      <c r="AC28" s="1026"/>
      <c r="AD28" s="1026"/>
      <c r="AE28" s="1026"/>
      <c r="AF28" s="1026" t="s">
        <v>1319</v>
      </c>
    </row>
    <row r="29" spans="1:32" x14ac:dyDescent="0.3">
      <c r="C29" s="944" t="s">
        <v>36</v>
      </c>
      <c r="D29" s="944" t="s">
        <v>88</v>
      </c>
      <c r="E29" s="1069"/>
      <c r="F29" s="1026"/>
      <c r="G29" s="954" t="s">
        <v>1256</v>
      </c>
      <c r="H29" s="947" t="s">
        <v>604</v>
      </c>
      <c r="I29" s="947" t="s">
        <v>536</v>
      </c>
      <c r="J29" s="1026"/>
      <c r="K29" s="1026"/>
      <c r="L29" s="1026"/>
      <c r="M29" s="1026"/>
      <c r="N29" s="1026"/>
      <c r="O29" s="1026"/>
      <c r="P29" s="1026"/>
      <c r="Q29" s="1026"/>
      <c r="R29" s="1026"/>
      <c r="S29" s="1026"/>
      <c r="T29" s="1026"/>
      <c r="U29" s="1026"/>
      <c r="V29" s="1026"/>
      <c r="W29" s="1026"/>
      <c r="X29" s="1026"/>
      <c r="Y29" s="1026"/>
      <c r="Z29" s="1026"/>
      <c r="AA29" s="1026"/>
      <c r="AB29" s="1026"/>
      <c r="AC29" s="1026"/>
      <c r="AD29" s="1026"/>
      <c r="AE29" s="1026"/>
      <c r="AF29" s="1026" t="s">
        <v>1320</v>
      </c>
    </row>
    <row r="30" spans="1:32" x14ac:dyDescent="0.3">
      <c r="C30" s="944" t="s">
        <v>37</v>
      </c>
      <c r="D30" s="944" t="s">
        <v>89</v>
      </c>
      <c r="E30" s="1069"/>
      <c r="F30" s="1026"/>
      <c r="G30" s="954" t="s">
        <v>1257</v>
      </c>
      <c r="H30" s="947" t="s">
        <v>1258</v>
      </c>
      <c r="I30" s="947" t="s">
        <v>537</v>
      </c>
      <c r="J30" s="1026"/>
      <c r="K30" s="1026"/>
      <c r="L30" s="1026"/>
      <c r="M30" s="1026"/>
      <c r="N30" s="1026"/>
      <c r="O30" s="1026"/>
      <c r="P30" s="1026"/>
      <c r="Q30" s="1026"/>
      <c r="R30" s="1026"/>
      <c r="S30" s="1026"/>
      <c r="T30" s="1026"/>
      <c r="U30" s="1026"/>
      <c r="V30" s="1026"/>
      <c r="W30" s="1026"/>
      <c r="X30" s="1026"/>
      <c r="Y30" s="1026"/>
      <c r="Z30" s="1026"/>
      <c r="AA30" s="1026"/>
      <c r="AB30" s="1026"/>
      <c r="AC30" s="1026"/>
      <c r="AD30" s="1026"/>
      <c r="AE30" s="1026"/>
      <c r="AF30" s="1026" t="s">
        <v>1321</v>
      </c>
    </row>
    <row r="31" spans="1:32" x14ac:dyDescent="0.3">
      <c r="C31" s="944" t="s">
        <v>38</v>
      </c>
      <c r="D31" s="944" t="s">
        <v>90</v>
      </c>
      <c r="E31" s="1069"/>
      <c r="F31" s="1026"/>
      <c r="G31" s="954" t="s">
        <v>573</v>
      </c>
      <c r="H31" s="947" t="s">
        <v>605</v>
      </c>
      <c r="I31" s="947" t="s">
        <v>538</v>
      </c>
      <c r="J31" s="1026"/>
      <c r="K31" s="1026"/>
      <c r="L31" s="1026"/>
      <c r="M31" s="1026"/>
      <c r="N31" s="1026"/>
      <c r="O31" s="1026"/>
      <c r="P31" s="1026"/>
      <c r="Q31" s="1026"/>
      <c r="R31" s="1026"/>
      <c r="S31" s="1026"/>
      <c r="T31" s="1026"/>
      <c r="U31" s="1026"/>
      <c r="V31" s="1026"/>
      <c r="W31" s="1026"/>
      <c r="X31" s="1026"/>
      <c r="Y31" s="1026"/>
      <c r="Z31" s="1026"/>
      <c r="AA31" s="1026"/>
      <c r="AB31" s="1026"/>
      <c r="AC31" s="1026"/>
      <c r="AD31" s="1026"/>
      <c r="AE31" s="1026"/>
      <c r="AF31" s="1026" t="s">
        <v>1322</v>
      </c>
    </row>
    <row r="32" spans="1:32" x14ac:dyDescent="0.3">
      <c r="C32" s="944" t="s">
        <v>39</v>
      </c>
      <c r="D32" s="944" t="s">
        <v>91</v>
      </c>
      <c r="E32" s="1069"/>
      <c r="F32" s="1026"/>
      <c r="G32" s="954" t="s">
        <v>574</v>
      </c>
      <c r="H32" s="947" t="s">
        <v>606</v>
      </c>
      <c r="I32" s="947" t="s">
        <v>539</v>
      </c>
      <c r="J32" s="1026"/>
      <c r="K32" s="1026"/>
      <c r="L32" s="1026"/>
      <c r="M32" s="1026"/>
      <c r="N32" s="1026"/>
      <c r="O32" s="1026"/>
      <c r="P32" s="1026"/>
      <c r="Q32" s="1026"/>
      <c r="R32" s="1026"/>
      <c r="S32" s="1026"/>
      <c r="T32" s="1026"/>
      <c r="U32" s="1026"/>
      <c r="V32" s="1026"/>
      <c r="W32" s="1026"/>
      <c r="X32" s="1026"/>
      <c r="Y32" s="1026"/>
      <c r="Z32" s="1026"/>
      <c r="AA32" s="1026"/>
      <c r="AB32" s="1026"/>
      <c r="AC32" s="1026"/>
      <c r="AD32" s="1026"/>
      <c r="AE32" s="1026"/>
      <c r="AF32" s="1026" t="s">
        <v>1323</v>
      </c>
    </row>
    <row r="33" spans="3:32" x14ac:dyDescent="0.3">
      <c r="C33" s="944" t="s">
        <v>40</v>
      </c>
      <c r="D33" s="944" t="s">
        <v>92</v>
      </c>
      <c r="E33" s="1069"/>
      <c r="F33" s="1026"/>
      <c r="G33" s="954" t="s">
        <v>575</v>
      </c>
      <c r="H33" s="947" t="s">
        <v>607</v>
      </c>
      <c r="I33" s="947" t="s">
        <v>540</v>
      </c>
      <c r="J33" s="1026"/>
      <c r="K33" s="1026"/>
      <c r="L33" s="1026"/>
      <c r="M33" s="1026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6"/>
      <c r="AD33" s="1026"/>
      <c r="AE33" s="1026"/>
      <c r="AF33" s="1026" t="s">
        <v>1324</v>
      </c>
    </row>
    <row r="34" spans="3:32" x14ac:dyDescent="0.3">
      <c r="C34" s="944" t="s">
        <v>41</v>
      </c>
      <c r="D34" s="944" t="s">
        <v>93</v>
      </c>
      <c r="E34" s="1069"/>
      <c r="F34" s="1026"/>
      <c r="G34" s="954" t="s">
        <v>576</v>
      </c>
      <c r="H34" s="947" t="s">
        <v>608</v>
      </c>
      <c r="I34" s="947" t="s">
        <v>613</v>
      </c>
      <c r="J34" s="1026"/>
      <c r="K34" s="1026"/>
      <c r="L34" s="1026"/>
      <c r="M34" s="1026"/>
      <c r="N34" s="1026"/>
      <c r="O34" s="1026"/>
      <c r="P34" s="1026"/>
      <c r="Q34" s="1026"/>
      <c r="R34" s="1026"/>
      <c r="S34" s="1026"/>
      <c r="T34" s="1026"/>
      <c r="U34" s="1026"/>
      <c r="V34" s="1026"/>
      <c r="W34" s="1026"/>
      <c r="X34" s="1026"/>
      <c r="Y34" s="1026"/>
      <c r="Z34" s="1026"/>
      <c r="AA34" s="1026"/>
      <c r="AB34" s="1026"/>
      <c r="AC34" s="1026"/>
      <c r="AD34" s="1026"/>
      <c r="AE34" s="1026"/>
      <c r="AF34" s="1026" t="s">
        <v>1325</v>
      </c>
    </row>
    <row r="35" spans="3:32" x14ac:dyDescent="0.3">
      <c r="C35" s="944" t="s">
        <v>42</v>
      </c>
      <c r="D35" s="944" t="s">
        <v>94</v>
      </c>
      <c r="E35" s="1069"/>
      <c r="F35" s="1026"/>
      <c r="G35" s="954" t="s">
        <v>577</v>
      </c>
      <c r="H35" s="947" t="s">
        <v>609</v>
      </c>
      <c r="I35" s="947" t="s">
        <v>541</v>
      </c>
      <c r="J35" s="1026"/>
      <c r="K35" s="1026"/>
      <c r="L35" s="1026"/>
      <c r="M35" s="1026"/>
      <c r="N35" s="1026"/>
      <c r="O35" s="1026"/>
      <c r="P35" s="1026"/>
      <c r="Q35" s="1026"/>
      <c r="R35" s="1026"/>
      <c r="S35" s="1026"/>
      <c r="T35" s="1026"/>
      <c r="U35" s="1026"/>
      <c r="V35" s="1026"/>
      <c r="W35" s="1026"/>
      <c r="X35" s="1026"/>
      <c r="Y35" s="1026"/>
      <c r="Z35" s="1026"/>
      <c r="AA35" s="1026"/>
      <c r="AB35" s="1026"/>
      <c r="AC35" s="1026"/>
      <c r="AD35" s="1026"/>
      <c r="AE35" s="1026"/>
      <c r="AF35" s="1026" t="s">
        <v>1326</v>
      </c>
    </row>
    <row r="36" spans="3:32" x14ac:dyDescent="0.3">
      <c r="C36" s="944" t="s">
        <v>43</v>
      </c>
      <c r="D36" s="944" t="s">
        <v>95</v>
      </c>
      <c r="E36" s="1069"/>
      <c r="F36" s="1026"/>
      <c r="G36" s="954" t="s">
        <v>578</v>
      </c>
      <c r="H36" s="947" t="s">
        <v>610</v>
      </c>
      <c r="I36" s="947" t="s">
        <v>542</v>
      </c>
      <c r="J36" s="1026"/>
      <c r="K36" s="1026"/>
      <c r="L36" s="1026"/>
      <c r="M36" s="1026"/>
      <c r="N36" s="1026"/>
      <c r="O36" s="1026"/>
      <c r="P36" s="1026"/>
      <c r="Q36" s="1026"/>
      <c r="R36" s="1026"/>
      <c r="S36" s="1026"/>
      <c r="T36" s="1026"/>
      <c r="U36" s="1026"/>
      <c r="V36" s="1026"/>
      <c r="W36" s="1026"/>
      <c r="X36" s="1026"/>
      <c r="Y36" s="1026"/>
      <c r="Z36" s="1026"/>
      <c r="AA36" s="1026"/>
      <c r="AB36" s="1026"/>
      <c r="AC36" s="1026"/>
      <c r="AD36" s="1026"/>
      <c r="AE36" s="1026"/>
      <c r="AF36" s="1026" t="s">
        <v>1327</v>
      </c>
    </row>
    <row r="37" spans="3:32" x14ac:dyDescent="0.3">
      <c r="C37" s="944" t="s">
        <v>44</v>
      </c>
      <c r="D37" s="944" t="s">
        <v>96</v>
      </c>
      <c r="E37" s="1069"/>
      <c r="F37" s="1026"/>
      <c r="G37" s="954" t="s">
        <v>579</v>
      </c>
      <c r="H37" s="947" t="s">
        <v>140</v>
      </c>
      <c r="I37" s="947" t="s">
        <v>145</v>
      </c>
      <c r="J37" s="1026"/>
      <c r="K37" s="1026"/>
      <c r="L37" s="1026"/>
      <c r="M37" s="1026"/>
      <c r="N37" s="1026"/>
      <c r="O37" s="1026"/>
      <c r="P37" s="1026"/>
      <c r="Q37" s="1026"/>
      <c r="R37" s="1026"/>
      <c r="S37" s="1026"/>
      <c r="T37" s="1026"/>
      <c r="U37" s="1026"/>
      <c r="V37" s="1026"/>
      <c r="W37" s="1026"/>
      <c r="X37" s="1026"/>
      <c r="Y37" s="1026"/>
      <c r="Z37" s="1026"/>
      <c r="AA37" s="1026"/>
      <c r="AB37" s="1026"/>
      <c r="AC37" s="1026"/>
      <c r="AD37" s="1026"/>
      <c r="AE37" s="1026"/>
      <c r="AF37" s="1026" t="s">
        <v>1328</v>
      </c>
    </row>
    <row r="38" spans="3:32" x14ac:dyDescent="0.3">
      <c r="C38" s="944" t="s">
        <v>45</v>
      </c>
      <c r="D38" s="944" t="s">
        <v>97</v>
      </c>
      <c r="E38" s="1069"/>
      <c r="F38" s="1026"/>
      <c r="G38" s="1071"/>
      <c r="H38" s="1026"/>
      <c r="I38" s="944" t="s">
        <v>146</v>
      </c>
      <c r="J38" s="1026"/>
      <c r="K38" s="1026"/>
      <c r="L38" s="1026"/>
      <c r="M38" s="1026"/>
      <c r="N38" s="1026"/>
      <c r="O38" s="1026"/>
      <c r="P38" s="1026"/>
      <c r="Q38" s="1026"/>
      <c r="R38" s="1026"/>
      <c r="S38" s="1026"/>
      <c r="T38" s="1026"/>
      <c r="U38" s="1026"/>
      <c r="V38" s="1026"/>
      <c r="W38" s="1026"/>
      <c r="X38" s="1026"/>
      <c r="Y38" s="1026"/>
      <c r="Z38" s="1026"/>
      <c r="AA38" s="1026"/>
      <c r="AB38" s="1026"/>
      <c r="AC38" s="1026"/>
      <c r="AD38" s="1026"/>
      <c r="AE38" s="1026"/>
      <c r="AF38" s="1026" t="s">
        <v>1329</v>
      </c>
    </row>
    <row r="39" spans="3:32" x14ac:dyDescent="0.3">
      <c r="C39" s="944" t="s">
        <v>46</v>
      </c>
      <c r="D39" s="1026"/>
      <c r="E39" s="1069"/>
      <c r="F39" s="1026"/>
      <c r="G39" s="1071"/>
      <c r="H39" s="1026"/>
      <c r="I39" s="944" t="s">
        <v>147</v>
      </c>
      <c r="J39" s="1026"/>
      <c r="K39" s="1026"/>
      <c r="L39" s="1026"/>
      <c r="M39" s="1026"/>
      <c r="N39" s="1026"/>
      <c r="O39" s="1026"/>
      <c r="P39" s="1026"/>
      <c r="Q39" s="1026"/>
      <c r="R39" s="1026"/>
      <c r="S39" s="1026"/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 t="s">
        <v>1330</v>
      </c>
    </row>
    <row r="40" spans="3:32" x14ac:dyDescent="0.3">
      <c r="C40" s="944" t="s">
        <v>47</v>
      </c>
      <c r="D40" s="1026"/>
      <c r="E40" s="1069"/>
      <c r="F40" s="1026"/>
      <c r="G40" s="1071"/>
      <c r="H40" s="1026"/>
      <c r="I40" s="944" t="s">
        <v>148</v>
      </c>
      <c r="J40" s="1026"/>
      <c r="K40" s="1026"/>
      <c r="L40" s="1026"/>
      <c r="M40" s="1026"/>
      <c r="N40" s="1026"/>
      <c r="O40" s="1026"/>
      <c r="P40" s="1026"/>
      <c r="Q40" s="1026"/>
      <c r="R40" s="1026"/>
      <c r="S40" s="1026"/>
      <c r="T40" s="1026"/>
      <c r="U40" s="1026"/>
      <c r="V40" s="1026"/>
      <c r="W40" s="1026"/>
      <c r="X40" s="1026"/>
      <c r="Y40" s="1026"/>
      <c r="Z40" s="1026"/>
      <c r="AA40" s="1026"/>
      <c r="AB40" s="1026"/>
      <c r="AC40" s="1026"/>
      <c r="AD40" s="1026"/>
      <c r="AE40" s="1026"/>
      <c r="AF40" s="1026" t="s">
        <v>1331</v>
      </c>
    </row>
    <row r="41" spans="3:32" x14ac:dyDescent="0.3">
      <c r="C41" s="944" t="s">
        <v>48</v>
      </c>
      <c r="D41" s="1026"/>
      <c r="E41" s="1069"/>
      <c r="F41" s="1026"/>
      <c r="G41" s="1071"/>
      <c r="H41" s="1026"/>
      <c r="I41" s="944" t="s">
        <v>149</v>
      </c>
      <c r="J41" s="1026"/>
      <c r="K41" s="1026"/>
      <c r="L41" s="1026"/>
      <c r="M41" s="1026"/>
      <c r="N41" s="1026"/>
      <c r="O41" s="1026"/>
      <c r="P41" s="1026"/>
      <c r="Q41" s="1026"/>
      <c r="R41" s="1026"/>
      <c r="S41" s="1026"/>
      <c r="T41" s="1026"/>
      <c r="U41" s="1026"/>
      <c r="V41" s="1026"/>
      <c r="W41" s="1026"/>
      <c r="X41" s="1026"/>
      <c r="Y41" s="1026"/>
      <c r="Z41" s="1026"/>
      <c r="AA41" s="1026"/>
      <c r="AB41" s="1026"/>
      <c r="AC41" s="1026"/>
      <c r="AD41" s="1026"/>
      <c r="AE41" s="1026"/>
      <c r="AF41" s="1026" t="s">
        <v>1332</v>
      </c>
    </row>
    <row r="42" spans="3:32" x14ac:dyDescent="0.3">
      <c r="C42" s="944" t="s">
        <v>50</v>
      </c>
      <c r="D42" s="1026"/>
      <c r="E42" s="1069"/>
      <c r="F42" s="1026"/>
      <c r="G42" s="1071"/>
      <c r="H42" s="1026"/>
      <c r="I42" s="1026"/>
      <c r="J42" s="1026"/>
      <c r="K42" s="1026"/>
      <c r="L42" s="1026"/>
      <c r="M42" s="1026"/>
      <c r="N42" s="1026"/>
      <c r="O42" s="1026"/>
      <c r="P42" s="1026"/>
      <c r="Q42" s="1026"/>
      <c r="R42" s="1026"/>
      <c r="S42" s="1026"/>
      <c r="T42" s="1026"/>
      <c r="U42" s="1026"/>
      <c r="V42" s="1026"/>
      <c r="W42" s="1026"/>
      <c r="X42" s="1026"/>
      <c r="Y42" s="1026"/>
      <c r="Z42" s="1026"/>
      <c r="AA42" s="1026"/>
      <c r="AB42" s="1026"/>
      <c r="AC42" s="1026"/>
      <c r="AD42" s="1026"/>
      <c r="AE42" s="1026"/>
      <c r="AF42" s="1026" t="s">
        <v>1333</v>
      </c>
    </row>
    <row r="43" spans="3:32" x14ac:dyDescent="0.3">
      <c r="C43" s="944" t="s">
        <v>51</v>
      </c>
      <c r="D43" s="1026"/>
      <c r="E43" s="1069"/>
      <c r="F43" s="1026"/>
      <c r="G43" s="1071"/>
      <c r="H43" s="1026"/>
      <c r="I43" s="1026"/>
      <c r="J43" s="1026"/>
      <c r="K43" s="1026"/>
      <c r="L43" s="1026"/>
      <c r="M43" s="1026"/>
      <c r="N43" s="1026"/>
      <c r="O43" s="1026"/>
      <c r="P43" s="1026"/>
      <c r="Q43" s="1026"/>
      <c r="R43" s="1026"/>
      <c r="S43" s="1026"/>
      <c r="T43" s="1026"/>
      <c r="U43" s="1026"/>
      <c r="V43" s="1026"/>
      <c r="W43" s="1026"/>
      <c r="X43" s="1026"/>
      <c r="Y43" s="1026"/>
      <c r="Z43" s="1026"/>
      <c r="AA43" s="1026"/>
      <c r="AB43" s="1026"/>
      <c r="AC43" s="1026"/>
      <c r="AD43" s="1026"/>
      <c r="AE43" s="1026"/>
      <c r="AF43" s="1026" t="s">
        <v>1334</v>
      </c>
    </row>
    <row r="44" spans="3:32" x14ac:dyDescent="0.3">
      <c r="C44" s="944" t="s">
        <v>52</v>
      </c>
      <c r="D44" s="1026"/>
      <c r="E44" s="1069"/>
      <c r="F44" s="1026"/>
      <c r="G44" s="1071"/>
      <c r="H44" s="1026"/>
      <c r="I44" s="1026"/>
      <c r="J44" s="1026"/>
      <c r="K44" s="1026"/>
      <c r="L44" s="1026"/>
      <c r="M44" s="1026"/>
      <c r="N44" s="1026"/>
      <c r="O44" s="1026"/>
      <c r="P44" s="1026"/>
      <c r="Q44" s="1026"/>
      <c r="R44" s="1026"/>
      <c r="S44" s="1026"/>
      <c r="T44" s="1026"/>
      <c r="U44" s="1026"/>
      <c r="V44" s="1026"/>
      <c r="W44" s="1026"/>
      <c r="X44" s="1026"/>
      <c r="Y44" s="1026"/>
      <c r="Z44" s="1026"/>
      <c r="AA44" s="1026"/>
      <c r="AB44" s="1026"/>
      <c r="AC44" s="1026"/>
      <c r="AD44" s="1026"/>
      <c r="AE44" s="1026"/>
      <c r="AF44" s="1026" t="s">
        <v>1335</v>
      </c>
    </row>
    <row r="45" spans="3:32" x14ac:dyDescent="0.3">
      <c r="C45" s="944" t="s">
        <v>53</v>
      </c>
      <c r="D45" s="1026"/>
      <c r="E45" s="1069"/>
      <c r="F45" s="1026"/>
      <c r="G45" s="1071"/>
      <c r="H45" s="1026"/>
      <c r="I45" s="1026"/>
      <c r="J45" s="1026"/>
      <c r="K45" s="1026"/>
      <c r="L45" s="1026"/>
      <c r="M45" s="1026"/>
      <c r="N45" s="1026"/>
      <c r="O45" s="1026"/>
      <c r="P45" s="1026"/>
      <c r="Q45" s="1026"/>
      <c r="R45" s="1026"/>
      <c r="S45" s="1026"/>
      <c r="T45" s="1026"/>
      <c r="U45" s="1026"/>
      <c r="V45" s="1026"/>
      <c r="W45" s="1026"/>
      <c r="X45" s="1026"/>
      <c r="Y45" s="1026"/>
      <c r="Z45" s="1026"/>
      <c r="AA45" s="1026"/>
      <c r="AB45" s="1026"/>
      <c r="AC45" s="1026"/>
      <c r="AD45" s="1026"/>
      <c r="AE45" s="1026"/>
      <c r="AF45" s="1026" t="s">
        <v>1336</v>
      </c>
    </row>
    <row r="46" spans="3:32" x14ac:dyDescent="0.3">
      <c r="C46" s="944" t="s">
        <v>54</v>
      </c>
      <c r="D46" s="1026"/>
      <c r="E46" s="1069"/>
      <c r="F46" s="1026"/>
      <c r="G46" s="1071"/>
      <c r="H46" s="1026"/>
      <c r="I46" s="1026"/>
      <c r="J46" s="1026"/>
      <c r="K46" s="1026"/>
      <c r="L46" s="1026"/>
      <c r="M46" s="1026"/>
      <c r="N46" s="1026"/>
      <c r="O46" s="1026"/>
      <c r="P46" s="1026"/>
      <c r="Q46" s="1026"/>
      <c r="R46" s="1026"/>
      <c r="S46" s="1026"/>
      <c r="T46" s="1026"/>
      <c r="U46" s="1026"/>
      <c r="V46" s="1026"/>
      <c r="W46" s="1026"/>
      <c r="X46" s="1026"/>
      <c r="Y46" s="1026"/>
      <c r="Z46" s="1026"/>
      <c r="AA46" s="1026"/>
      <c r="AB46" s="1026"/>
      <c r="AC46" s="1026"/>
      <c r="AD46" s="1026"/>
      <c r="AE46" s="1026"/>
      <c r="AF46" s="1026" t="s">
        <v>1337</v>
      </c>
    </row>
    <row r="47" spans="3:32" x14ac:dyDescent="0.3">
      <c r="C47" s="944" t="s">
        <v>55</v>
      </c>
      <c r="D47" s="1026"/>
      <c r="E47" s="1069"/>
      <c r="F47" s="1026"/>
      <c r="G47" s="1071"/>
      <c r="H47" s="1026"/>
      <c r="I47" s="1026"/>
      <c r="J47" s="1026"/>
      <c r="K47" s="1026"/>
      <c r="L47" s="1026"/>
      <c r="M47" s="1026"/>
      <c r="N47" s="1026"/>
      <c r="O47" s="1026"/>
      <c r="P47" s="1026"/>
      <c r="Q47" s="1026"/>
      <c r="R47" s="1026"/>
      <c r="S47" s="1026"/>
      <c r="T47" s="1026"/>
      <c r="U47" s="1026"/>
      <c r="V47" s="1026"/>
      <c r="W47" s="1026"/>
      <c r="X47" s="1026"/>
      <c r="Y47" s="1026"/>
      <c r="Z47" s="1026"/>
      <c r="AA47" s="1026"/>
      <c r="AB47" s="1026"/>
      <c r="AC47" s="1026"/>
      <c r="AD47" s="1026"/>
      <c r="AE47" s="1026"/>
      <c r="AF47" s="1026" t="s">
        <v>1338</v>
      </c>
    </row>
    <row r="48" spans="3:32" x14ac:dyDescent="0.3">
      <c r="C48" s="944" t="s">
        <v>56</v>
      </c>
      <c r="D48" s="1026"/>
      <c r="E48" s="1069"/>
      <c r="F48" s="1026"/>
      <c r="G48" s="1071"/>
      <c r="H48" s="1026"/>
      <c r="I48" s="1026"/>
      <c r="J48" s="1026"/>
      <c r="K48" s="1026"/>
      <c r="L48" s="1026"/>
      <c r="M48" s="1026"/>
      <c r="N48" s="1026"/>
      <c r="O48" s="1026"/>
      <c r="P48" s="1026"/>
      <c r="Q48" s="1026"/>
      <c r="R48" s="1026"/>
      <c r="S48" s="1026"/>
      <c r="T48" s="1026"/>
      <c r="U48" s="1026"/>
      <c r="V48" s="1026"/>
      <c r="W48" s="1026"/>
      <c r="X48" s="1026"/>
      <c r="Y48" s="1026"/>
      <c r="Z48" s="1026"/>
      <c r="AA48" s="1026"/>
      <c r="AB48" s="1026"/>
      <c r="AC48" s="1026"/>
      <c r="AD48" s="1026"/>
      <c r="AE48" s="1026"/>
      <c r="AF48" s="1026" t="s">
        <v>1339</v>
      </c>
    </row>
    <row r="49" spans="1:32" x14ac:dyDescent="0.3">
      <c r="C49" s="944" t="s">
        <v>57</v>
      </c>
      <c r="D49" s="1026"/>
      <c r="E49" s="1069"/>
      <c r="F49" s="1026"/>
      <c r="G49" s="1071"/>
      <c r="H49" s="1026"/>
      <c r="I49" s="1026"/>
      <c r="J49" s="1026"/>
      <c r="K49" s="1026"/>
      <c r="L49" s="1026"/>
      <c r="M49" s="1026"/>
      <c r="N49" s="1026"/>
      <c r="O49" s="1026"/>
      <c r="P49" s="1026"/>
      <c r="Q49" s="1026"/>
      <c r="R49" s="1026"/>
      <c r="S49" s="1026"/>
      <c r="T49" s="1026"/>
      <c r="U49" s="1026"/>
      <c r="V49" s="1026"/>
      <c r="W49" s="1026"/>
      <c r="X49" s="1026"/>
      <c r="Y49" s="1026"/>
      <c r="Z49" s="1026"/>
      <c r="AA49" s="1026"/>
      <c r="AB49" s="1026"/>
      <c r="AC49" s="1026"/>
      <c r="AD49" s="1026"/>
      <c r="AE49" s="1026"/>
      <c r="AF49" s="1026" t="s">
        <v>1340</v>
      </c>
    </row>
    <row r="50" spans="1:32" x14ac:dyDescent="0.3">
      <c r="C50" s="944" t="s">
        <v>58</v>
      </c>
      <c r="D50" s="1026"/>
      <c r="E50" s="1069"/>
      <c r="F50" s="1026"/>
      <c r="G50" s="1071"/>
      <c r="H50" s="1026"/>
      <c r="I50" s="1026"/>
      <c r="J50" s="1026"/>
      <c r="K50" s="1026"/>
      <c r="L50" s="1026"/>
      <c r="M50" s="1026"/>
      <c r="N50" s="1026"/>
      <c r="O50" s="1026"/>
      <c r="P50" s="1026"/>
      <c r="Q50" s="1026"/>
      <c r="R50" s="1026"/>
      <c r="S50" s="1026"/>
      <c r="T50" s="1026"/>
      <c r="U50" s="1026"/>
      <c r="V50" s="1026"/>
      <c r="W50" s="1026"/>
      <c r="X50" s="1026"/>
      <c r="Y50" s="1026"/>
      <c r="Z50" s="1026"/>
      <c r="AA50" s="1026"/>
      <c r="AB50" s="1026"/>
      <c r="AC50" s="1026"/>
      <c r="AD50" s="1026"/>
      <c r="AE50" s="1026"/>
      <c r="AF50" s="1026" t="s">
        <v>1341</v>
      </c>
    </row>
    <row r="51" spans="1:32" x14ac:dyDescent="0.3">
      <c r="C51" s="944" t="s">
        <v>59</v>
      </c>
      <c r="D51" s="1026"/>
      <c r="E51" s="1069"/>
      <c r="F51" s="1026"/>
      <c r="G51" s="1071"/>
      <c r="H51" s="1026"/>
      <c r="I51" s="1026"/>
      <c r="J51" s="1026"/>
      <c r="K51" s="1026"/>
      <c r="L51" s="1026"/>
      <c r="M51" s="1026"/>
      <c r="N51" s="1026"/>
      <c r="O51" s="1026"/>
      <c r="P51" s="1026"/>
      <c r="Q51" s="1026"/>
      <c r="R51" s="1026"/>
      <c r="S51" s="1026"/>
      <c r="T51" s="1026"/>
      <c r="U51" s="1026"/>
      <c r="V51" s="1026"/>
      <c r="W51" s="1026"/>
      <c r="X51" s="1026"/>
      <c r="Y51" s="1026"/>
      <c r="Z51" s="1026"/>
      <c r="AA51" s="1026"/>
      <c r="AB51" s="1026"/>
      <c r="AC51" s="1026"/>
      <c r="AD51" s="1026"/>
      <c r="AE51" s="1026"/>
      <c r="AF51" s="1026" t="s">
        <v>1342</v>
      </c>
    </row>
    <row r="52" spans="1:32" x14ac:dyDescent="0.3">
      <c r="C52" s="944" t="s">
        <v>60</v>
      </c>
      <c r="D52" s="1026"/>
      <c r="E52" s="1069"/>
      <c r="F52" s="1026"/>
      <c r="G52" s="1071"/>
      <c r="H52" s="1026"/>
      <c r="I52" s="1026"/>
      <c r="J52" s="1026"/>
      <c r="K52" s="1026"/>
      <c r="L52" s="1026"/>
      <c r="M52" s="1026"/>
      <c r="N52" s="1026"/>
      <c r="O52" s="1026"/>
      <c r="P52" s="1026"/>
      <c r="Q52" s="1026"/>
      <c r="R52" s="1026"/>
      <c r="S52" s="1026"/>
      <c r="T52" s="1026"/>
      <c r="U52" s="1026"/>
      <c r="V52" s="1026"/>
      <c r="W52" s="1026"/>
      <c r="X52" s="1026"/>
      <c r="Y52" s="1026"/>
      <c r="Z52" s="1026"/>
      <c r="AA52" s="1026"/>
      <c r="AB52" s="1026"/>
      <c r="AC52" s="1026"/>
      <c r="AD52" s="1026"/>
      <c r="AE52" s="1026"/>
      <c r="AF52" s="1026" t="s">
        <v>1343</v>
      </c>
    </row>
    <row r="53" spans="1:32" ht="13.9" thickBot="1" x14ac:dyDescent="0.35">
      <c r="C53" s="945" t="s">
        <v>61</v>
      </c>
      <c r="D53" s="1027"/>
      <c r="E53" s="1072"/>
      <c r="F53" s="1027"/>
      <c r="G53" s="1073"/>
      <c r="H53" s="1027"/>
      <c r="I53" s="1027"/>
      <c r="J53" s="1027"/>
      <c r="K53" s="1027"/>
      <c r="L53" s="1027"/>
      <c r="M53" s="1027"/>
      <c r="N53" s="1027"/>
      <c r="O53" s="1027"/>
      <c r="P53" s="1027"/>
      <c r="Q53" s="1027"/>
      <c r="R53" s="1027"/>
      <c r="S53" s="1027"/>
      <c r="T53" s="1027"/>
      <c r="U53" s="1027"/>
      <c r="V53" s="1027"/>
      <c r="W53" s="1027"/>
      <c r="X53" s="1027"/>
      <c r="Y53" s="1027"/>
      <c r="Z53" s="1027"/>
      <c r="AA53" s="1027"/>
      <c r="AB53" s="1027"/>
      <c r="AC53" s="1027"/>
      <c r="AD53" s="1027"/>
      <c r="AE53" s="1027"/>
      <c r="AF53" s="1027" t="s">
        <v>1344</v>
      </c>
    </row>
    <row r="54" spans="1:32" x14ac:dyDescent="0.3">
      <c r="AF54" s="1030" t="s">
        <v>1345</v>
      </c>
    </row>
    <row r="55" spans="1:32" x14ac:dyDescent="0.3">
      <c r="AF55" s="1030" t="s">
        <v>1346</v>
      </c>
    </row>
    <row r="59" spans="1:32" s="431" customFormat="1" x14ac:dyDescent="0.3">
      <c r="A59" s="1064"/>
      <c r="B59" s="964" t="s">
        <v>1261</v>
      </c>
    </row>
    <row r="60" spans="1:32" ht="13.9" thickBot="1" x14ac:dyDescent="0.35"/>
    <row r="61" spans="1:32" ht="13.9" thickBot="1" x14ac:dyDescent="0.35">
      <c r="C61" s="1025" t="s">
        <v>1287</v>
      </c>
      <c r="D61" s="1025" t="s">
        <v>1288</v>
      </c>
      <c r="E61" s="1025" t="s">
        <v>1289</v>
      </c>
      <c r="F61" s="1022" t="s">
        <v>1290</v>
      </c>
      <c r="G61" s="1025" t="s">
        <v>1291</v>
      </c>
    </row>
    <row r="62" spans="1:32" x14ac:dyDescent="0.3">
      <c r="C62" s="1026" t="s">
        <v>1262</v>
      </c>
      <c r="D62" s="1026" t="s">
        <v>1263</v>
      </c>
      <c r="E62" s="1026" t="s">
        <v>1264</v>
      </c>
      <c r="F62" s="1023" t="s">
        <v>1265</v>
      </c>
      <c r="G62" s="1028" t="s">
        <v>1292</v>
      </c>
    </row>
    <row r="63" spans="1:32" x14ac:dyDescent="0.3">
      <c r="C63" s="1026"/>
      <c r="D63" s="1026" t="s">
        <v>1266</v>
      </c>
      <c r="E63" s="1026" t="s">
        <v>1267</v>
      </c>
      <c r="F63" s="1023"/>
      <c r="G63" s="1026"/>
    </row>
    <row r="64" spans="1:32" x14ac:dyDescent="0.3">
      <c r="C64" s="1026"/>
      <c r="D64" s="1028" t="s">
        <v>1383</v>
      </c>
      <c r="E64" s="1028" t="s">
        <v>1293</v>
      </c>
      <c r="F64" s="1023"/>
      <c r="G64" s="1026"/>
    </row>
    <row r="65" spans="3:7" x14ac:dyDescent="0.3">
      <c r="C65" s="1026"/>
      <c r="D65" s="1028" t="s">
        <v>1274</v>
      </c>
      <c r="E65" s="1026"/>
      <c r="F65" s="1023"/>
      <c r="G65" s="1026"/>
    </row>
    <row r="66" spans="3:7" ht="13.9" thickBot="1" x14ac:dyDescent="0.35">
      <c r="C66" s="1027"/>
      <c r="D66" s="1027"/>
      <c r="E66" s="1027"/>
      <c r="F66" s="1024"/>
      <c r="G66" s="1027"/>
    </row>
  </sheetData>
  <phoneticPr fontId="4" type="noConversion"/>
  <conditionalFormatting sqref="F5:F14">
    <cfRule type="duplicateValues" dxfId="68" priority="37"/>
  </conditionalFormatting>
  <conditionalFormatting sqref="G22:G37">
    <cfRule type="duplicateValues" dxfId="67" priority="34"/>
  </conditionalFormatting>
  <conditionalFormatting sqref="H5:H21">
    <cfRule type="duplicateValues" dxfId="66" priority="33"/>
  </conditionalFormatting>
  <conditionalFormatting sqref="H22:H37">
    <cfRule type="duplicateValues" dxfId="65" priority="32"/>
  </conditionalFormatting>
  <conditionalFormatting sqref="J5:J11">
    <cfRule type="duplicateValues" dxfId="64" priority="30"/>
  </conditionalFormatting>
  <conditionalFormatting sqref="K5:K11">
    <cfRule type="duplicateValues" dxfId="63" priority="29"/>
  </conditionalFormatting>
  <conditionalFormatting sqref="L5:L12">
    <cfRule type="duplicateValues" dxfId="62" priority="28"/>
  </conditionalFormatting>
  <conditionalFormatting sqref="M5:M9">
    <cfRule type="duplicateValues" dxfId="61" priority="27"/>
  </conditionalFormatting>
  <conditionalFormatting sqref="N5:N6">
    <cfRule type="duplicateValues" dxfId="60" priority="26"/>
  </conditionalFormatting>
  <conditionalFormatting sqref="N7">
    <cfRule type="duplicateValues" dxfId="59" priority="25"/>
  </conditionalFormatting>
  <conditionalFormatting sqref="Q5:Q11">
    <cfRule type="duplicateValues" dxfId="58" priority="22"/>
  </conditionalFormatting>
  <conditionalFormatting sqref="R5:R12">
    <cfRule type="duplicateValues" dxfId="57" priority="21"/>
  </conditionalFormatting>
  <conditionalFormatting sqref="S5:S10">
    <cfRule type="duplicateValues" dxfId="56" priority="20"/>
  </conditionalFormatting>
  <conditionalFormatting sqref="T5:T8">
    <cfRule type="duplicateValues" dxfId="55" priority="19"/>
  </conditionalFormatting>
  <conditionalFormatting sqref="U5:U11">
    <cfRule type="duplicateValues" dxfId="54" priority="18"/>
  </conditionalFormatting>
  <conditionalFormatting sqref="V5:V12">
    <cfRule type="duplicateValues" dxfId="53" priority="17"/>
  </conditionalFormatting>
  <conditionalFormatting sqref="W5:W11">
    <cfRule type="duplicateValues" dxfId="52" priority="16"/>
  </conditionalFormatting>
  <conditionalFormatting sqref="X5:X10">
    <cfRule type="duplicateValues" dxfId="51" priority="15"/>
  </conditionalFormatting>
  <conditionalFormatting sqref="Y5:Y10">
    <cfRule type="duplicateValues" dxfId="50" priority="14"/>
  </conditionalFormatting>
  <conditionalFormatting sqref="Z5:Z11">
    <cfRule type="duplicateValues" dxfId="49" priority="13"/>
  </conditionalFormatting>
  <conditionalFormatting sqref="AA5:AA7">
    <cfRule type="duplicateValues" dxfId="48" priority="12"/>
  </conditionalFormatting>
  <conditionalFormatting sqref="AB5:AB9">
    <cfRule type="duplicateValues" dxfId="47" priority="11"/>
  </conditionalFormatting>
  <conditionalFormatting sqref="AC5:AC7">
    <cfRule type="duplicateValues" dxfId="46" priority="10"/>
  </conditionalFormatting>
  <conditionalFormatting sqref="AC8:AC9">
    <cfRule type="duplicateValues" dxfId="45" priority="9"/>
  </conditionalFormatting>
  <conditionalFormatting sqref="AD5:AD8">
    <cfRule type="duplicateValues" dxfId="44" priority="8"/>
  </conditionalFormatting>
  <conditionalFormatting sqref="AE5:AE27">
    <cfRule type="duplicateValues" dxfId="43" priority="7"/>
  </conditionalFormatting>
  <conditionalFormatting sqref="I5:I41">
    <cfRule type="duplicateValues" dxfId="42" priority="41"/>
  </conditionalFormatting>
  <conditionalFormatting sqref="O5:O26">
    <cfRule type="duplicateValues" dxfId="41" priority="43"/>
  </conditionalFormatting>
  <conditionalFormatting sqref="AF54:AF55">
    <cfRule type="duplicateValues" dxfId="40" priority="5"/>
  </conditionalFormatting>
  <conditionalFormatting sqref="AF5:AF27">
    <cfRule type="duplicateValues" dxfId="39" priority="4"/>
  </conditionalFormatting>
  <conditionalFormatting sqref="AF4">
    <cfRule type="duplicateValues" dxfId="38" priority="3"/>
  </conditionalFormatting>
  <conditionalFormatting sqref="P5:P18">
    <cfRule type="duplicateValues" dxfId="37" priority="69"/>
  </conditionalFormatting>
  <conditionalFormatting sqref="E5:E11">
    <cfRule type="duplicateValues" dxfId="36" priority="84"/>
  </conditionalFormatting>
  <conditionalFormatting sqref="C4:AE4">
    <cfRule type="duplicateValues" dxfId="35" priority="8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427"/>
  <sheetViews>
    <sheetView topLeftCell="A32" workbookViewId="0">
      <selection activeCell="G3" sqref="G3"/>
    </sheetView>
  </sheetViews>
  <sheetFormatPr defaultRowHeight="13.9" x14ac:dyDescent="0.4"/>
  <sheetData>
    <row r="2" spans="1:7" x14ac:dyDescent="0.4">
      <c r="A2" s="944" t="s">
        <v>11</v>
      </c>
      <c r="B2" s="944" t="s">
        <v>1359</v>
      </c>
      <c r="E2" s="621">
        <v>39082</v>
      </c>
      <c r="F2" t="s">
        <v>1378</v>
      </c>
      <c r="G2">
        <f>IF(首页!H10="年度",12,IF(首页!H10="半年度",6,3))</f>
        <v>6</v>
      </c>
    </row>
    <row r="3" spans="1:7" x14ac:dyDescent="0.4">
      <c r="A3" s="944" t="s">
        <v>12</v>
      </c>
      <c r="B3" s="944" t="s">
        <v>1359</v>
      </c>
      <c r="E3" s="621">
        <v>39172</v>
      </c>
      <c r="F3" t="s">
        <v>1377</v>
      </c>
    </row>
    <row r="4" spans="1:7" x14ac:dyDescent="0.4">
      <c r="A4" s="944" t="s">
        <v>13</v>
      </c>
      <c r="B4" s="944" t="s">
        <v>1359</v>
      </c>
      <c r="E4" s="621">
        <v>39263</v>
      </c>
      <c r="F4" t="s">
        <v>1380</v>
      </c>
    </row>
    <row r="5" spans="1:7" x14ac:dyDescent="0.4">
      <c r="A5" s="944" t="s">
        <v>14</v>
      </c>
      <c r="B5" s="944" t="s">
        <v>1359</v>
      </c>
      <c r="E5" s="621">
        <v>39355</v>
      </c>
    </row>
    <row r="6" spans="1:7" x14ac:dyDescent="0.4">
      <c r="A6" s="944" t="s">
        <v>15</v>
      </c>
      <c r="B6" s="944" t="s">
        <v>1359</v>
      </c>
      <c r="E6" s="621">
        <v>39447</v>
      </c>
    </row>
    <row r="7" spans="1:7" x14ac:dyDescent="0.4">
      <c r="A7" s="944" t="s">
        <v>16</v>
      </c>
      <c r="B7" s="944" t="s">
        <v>1359</v>
      </c>
      <c r="E7" s="621">
        <v>39538</v>
      </c>
    </row>
    <row r="8" spans="1:7" x14ac:dyDescent="0.4">
      <c r="A8" s="944" t="s">
        <v>17</v>
      </c>
      <c r="B8" s="944" t="s">
        <v>1359</v>
      </c>
      <c r="E8" s="621">
        <v>39629</v>
      </c>
    </row>
    <row r="9" spans="1:7" x14ac:dyDescent="0.4">
      <c r="A9" s="944" t="s">
        <v>18</v>
      </c>
      <c r="B9" s="944" t="s">
        <v>1359</v>
      </c>
      <c r="E9" s="621">
        <v>39721</v>
      </c>
    </row>
    <row r="10" spans="1:7" x14ac:dyDescent="0.4">
      <c r="A10" s="944" t="s">
        <v>19</v>
      </c>
      <c r="B10" s="944" t="s">
        <v>1359</v>
      </c>
      <c r="E10" s="621">
        <v>39813</v>
      </c>
    </row>
    <row r="11" spans="1:7" x14ac:dyDescent="0.4">
      <c r="A11" s="944" t="s">
        <v>20</v>
      </c>
      <c r="B11" s="944" t="s">
        <v>1359</v>
      </c>
      <c r="E11" s="621">
        <v>39903</v>
      </c>
    </row>
    <row r="12" spans="1:7" x14ac:dyDescent="0.4">
      <c r="A12" s="944" t="s">
        <v>21</v>
      </c>
      <c r="B12" s="944" t="s">
        <v>1359</v>
      </c>
      <c r="E12" s="621">
        <v>39994</v>
      </c>
    </row>
    <row r="13" spans="1:7" x14ac:dyDescent="0.4">
      <c r="A13" s="944" t="s">
        <v>22</v>
      </c>
      <c r="B13" s="944" t="s">
        <v>1359</v>
      </c>
      <c r="E13" s="621">
        <v>40086</v>
      </c>
    </row>
    <row r="14" spans="1:7" x14ac:dyDescent="0.4">
      <c r="A14" s="944" t="s">
        <v>23</v>
      </c>
      <c r="B14" s="944" t="s">
        <v>1359</v>
      </c>
      <c r="E14" s="621">
        <v>40178</v>
      </c>
    </row>
    <row r="15" spans="1:7" x14ac:dyDescent="0.4">
      <c r="A15" s="944" t="s">
        <v>24</v>
      </c>
      <c r="B15" s="944" t="s">
        <v>1359</v>
      </c>
      <c r="E15" s="621">
        <v>40268</v>
      </c>
    </row>
    <row r="16" spans="1:7" x14ac:dyDescent="0.4">
      <c r="A16" s="944" t="s">
        <v>25</v>
      </c>
      <c r="B16" s="944" t="s">
        <v>1359</v>
      </c>
      <c r="E16" s="621">
        <v>40359</v>
      </c>
    </row>
    <row r="17" spans="1:5" x14ac:dyDescent="0.4">
      <c r="A17" s="944" t="s">
        <v>26</v>
      </c>
      <c r="B17" s="944" t="s">
        <v>1359</v>
      </c>
      <c r="E17" s="621">
        <v>40451</v>
      </c>
    </row>
    <row r="18" spans="1:5" x14ac:dyDescent="0.4">
      <c r="A18" s="944" t="s">
        <v>27</v>
      </c>
      <c r="B18" s="944" t="s">
        <v>1359</v>
      </c>
      <c r="E18" s="621">
        <v>40543</v>
      </c>
    </row>
    <row r="19" spans="1:5" x14ac:dyDescent="0.4">
      <c r="A19" s="944" t="s">
        <v>28</v>
      </c>
      <c r="B19" s="944" t="s">
        <v>1359</v>
      </c>
      <c r="E19" s="621">
        <v>40633</v>
      </c>
    </row>
    <row r="20" spans="1:5" x14ac:dyDescent="0.4">
      <c r="A20" s="944" t="s">
        <v>29</v>
      </c>
      <c r="B20" s="944" t="s">
        <v>1359</v>
      </c>
      <c r="E20" s="621">
        <v>40724</v>
      </c>
    </row>
    <row r="21" spans="1:5" x14ac:dyDescent="0.4">
      <c r="A21" s="944" t="s">
        <v>30</v>
      </c>
      <c r="B21" s="944" t="s">
        <v>1359</v>
      </c>
      <c r="E21" s="621">
        <v>40816</v>
      </c>
    </row>
    <row r="22" spans="1:5" x14ac:dyDescent="0.4">
      <c r="A22" s="944" t="s">
        <v>31</v>
      </c>
      <c r="B22" s="944" t="s">
        <v>1359</v>
      </c>
      <c r="E22" s="621">
        <v>40908</v>
      </c>
    </row>
    <row r="23" spans="1:5" x14ac:dyDescent="0.4">
      <c r="A23" s="944" t="s">
        <v>33</v>
      </c>
      <c r="B23" s="944" t="s">
        <v>1359</v>
      </c>
      <c r="E23" s="621">
        <v>40999</v>
      </c>
    </row>
    <row r="24" spans="1:5" x14ac:dyDescent="0.4">
      <c r="A24" s="944" t="s">
        <v>34</v>
      </c>
      <c r="B24" s="944" t="s">
        <v>1359</v>
      </c>
      <c r="E24" s="621">
        <v>41090</v>
      </c>
    </row>
    <row r="25" spans="1:5" x14ac:dyDescent="0.4">
      <c r="A25" s="944" t="s">
        <v>35</v>
      </c>
      <c r="B25" s="944" t="s">
        <v>1359</v>
      </c>
      <c r="E25" s="621">
        <v>41182</v>
      </c>
    </row>
    <row r="26" spans="1:5" x14ac:dyDescent="0.4">
      <c r="A26" s="944" t="s">
        <v>36</v>
      </c>
      <c r="B26" s="944" t="s">
        <v>1359</v>
      </c>
      <c r="E26" s="621">
        <v>41274</v>
      </c>
    </row>
    <row r="27" spans="1:5" x14ac:dyDescent="0.4">
      <c r="A27" s="944" t="s">
        <v>37</v>
      </c>
      <c r="B27" s="944" t="s">
        <v>1359</v>
      </c>
      <c r="E27" s="621">
        <v>41364</v>
      </c>
    </row>
    <row r="28" spans="1:5" x14ac:dyDescent="0.4">
      <c r="A28" s="944" t="s">
        <v>38</v>
      </c>
      <c r="B28" s="944" t="s">
        <v>1359</v>
      </c>
      <c r="E28" s="621">
        <v>41455</v>
      </c>
    </row>
    <row r="29" spans="1:5" x14ac:dyDescent="0.4">
      <c r="A29" s="944" t="s">
        <v>39</v>
      </c>
      <c r="B29" s="944" t="s">
        <v>1359</v>
      </c>
      <c r="E29" s="621">
        <v>41547</v>
      </c>
    </row>
    <row r="30" spans="1:5" x14ac:dyDescent="0.4">
      <c r="A30" s="944" t="s">
        <v>40</v>
      </c>
      <c r="B30" s="944" t="s">
        <v>1359</v>
      </c>
      <c r="E30" s="621">
        <v>41639</v>
      </c>
    </row>
    <row r="31" spans="1:5" x14ac:dyDescent="0.4">
      <c r="A31" s="944" t="s">
        <v>41</v>
      </c>
      <c r="B31" s="944" t="s">
        <v>1359</v>
      </c>
      <c r="E31" s="621">
        <v>41729</v>
      </c>
    </row>
    <row r="32" spans="1:5" x14ac:dyDescent="0.4">
      <c r="A32" s="944" t="s">
        <v>42</v>
      </c>
      <c r="B32" s="944" t="s">
        <v>1359</v>
      </c>
      <c r="E32" s="621">
        <v>41820</v>
      </c>
    </row>
    <row r="33" spans="1:5" x14ac:dyDescent="0.4">
      <c r="A33" s="944" t="s">
        <v>43</v>
      </c>
      <c r="B33" s="944" t="s">
        <v>1359</v>
      </c>
      <c r="E33" s="621">
        <v>41912</v>
      </c>
    </row>
    <row r="34" spans="1:5" x14ac:dyDescent="0.4">
      <c r="A34" s="944" t="s">
        <v>44</v>
      </c>
      <c r="B34" s="944" t="s">
        <v>1359</v>
      </c>
      <c r="E34" s="621">
        <v>42004</v>
      </c>
    </row>
    <row r="35" spans="1:5" x14ac:dyDescent="0.4">
      <c r="A35" s="944" t="s">
        <v>45</v>
      </c>
      <c r="B35" s="944" t="s">
        <v>1359</v>
      </c>
      <c r="E35" s="621">
        <v>42094</v>
      </c>
    </row>
    <row r="36" spans="1:5" x14ac:dyDescent="0.4">
      <c r="A36" s="944" t="s">
        <v>46</v>
      </c>
      <c r="B36" s="944" t="s">
        <v>1359</v>
      </c>
      <c r="E36" s="621">
        <v>42185</v>
      </c>
    </row>
    <row r="37" spans="1:5" x14ac:dyDescent="0.4">
      <c r="A37" s="944" t="s">
        <v>47</v>
      </c>
      <c r="B37" s="944" t="s">
        <v>1359</v>
      </c>
      <c r="E37" s="621">
        <v>42277</v>
      </c>
    </row>
    <row r="38" spans="1:5" x14ac:dyDescent="0.4">
      <c r="A38" s="944" t="s">
        <v>48</v>
      </c>
      <c r="B38" s="944" t="s">
        <v>1359</v>
      </c>
      <c r="E38" s="621">
        <v>42369</v>
      </c>
    </row>
    <row r="39" spans="1:5" x14ac:dyDescent="0.4">
      <c r="A39" s="944" t="s">
        <v>50</v>
      </c>
      <c r="B39" s="944" t="s">
        <v>1359</v>
      </c>
      <c r="E39" s="621">
        <v>42460</v>
      </c>
    </row>
    <row r="40" spans="1:5" x14ac:dyDescent="0.4">
      <c r="A40" s="944" t="s">
        <v>51</v>
      </c>
      <c r="B40" s="944" t="s">
        <v>1359</v>
      </c>
      <c r="E40" s="621">
        <v>42551</v>
      </c>
    </row>
    <row r="41" spans="1:5" x14ac:dyDescent="0.4">
      <c r="A41" s="944" t="s">
        <v>52</v>
      </c>
      <c r="B41" s="944" t="s">
        <v>1359</v>
      </c>
      <c r="E41" s="621">
        <v>42643</v>
      </c>
    </row>
    <row r="42" spans="1:5" x14ac:dyDescent="0.4">
      <c r="A42" s="944" t="s">
        <v>53</v>
      </c>
      <c r="B42" s="944" t="s">
        <v>1359</v>
      </c>
      <c r="E42" s="621">
        <v>42735</v>
      </c>
    </row>
    <row r="43" spans="1:5" x14ac:dyDescent="0.4">
      <c r="A43" s="944" t="s">
        <v>54</v>
      </c>
      <c r="B43" s="944" t="s">
        <v>1359</v>
      </c>
      <c r="E43" s="621">
        <v>42825</v>
      </c>
    </row>
    <row r="44" spans="1:5" x14ac:dyDescent="0.4">
      <c r="A44" s="944" t="s">
        <v>55</v>
      </c>
      <c r="B44" s="944" t="s">
        <v>1359</v>
      </c>
      <c r="E44" s="621">
        <v>42916</v>
      </c>
    </row>
    <row r="45" spans="1:5" x14ac:dyDescent="0.4">
      <c r="A45" s="944" t="s">
        <v>56</v>
      </c>
      <c r="B45" s="944" t="s">
        <v>1359</v>
      </c>
    </row>
    <row r="46" spans="1:5" x14ac:dyDescent="0.4">
      <c r="A46" s="944" t="s">
        <v>57</v>
      </c>
      <c r="B46" s="944" t="s">
        <v>1359</v>
      </c>
    </row>
    <row r="47" spans="1:5" x14ac:dyDescent="0.4">
      <c r="A47" s="944" t="s">
        <v>58</v>
      </c>
      <c r="B47" s="944" t="s">
        <v>1359</v>
      </c>
    </row>
    <row r="48" spans="1:5" x14ac:dyDescent="0.4">
      <c r="A48" s="944" t="s">
        <v>59</v>
      </c>
      <c r="B48" s="944" t="s">
        <v>1359</v>
      </c>
    </row>
    <row r="49" spans="1:2" x14ac:dyDescent="0.4">
      <c r="A49" s="944" t="s">
        <v>60</v>
      </c>
      <c r="B49" s="944" t="s">
        <v>1359</v>
      </c>
    </row>
    <row r="50" spans="1:2" ht="14.25" thickBot="1" x14ac:dyDescent="0.45">
      <c r="A50" s="945" t="s">
        <v>61</v>
      </c>
      <c r="B50" s="944" t="s">
        <v>1359</v>
      </c>
    </row>
    <row r="51" spans="1:2" x14ac:dyDescent="0.4">
      <c r="A51" s="944" t="s">
        <v>64</v>
      </c>
      <c r="B51" s="944" t="s">
        <v>1359</v>
      </c>
    </row>
    <row r="52" spans="1:2" x14ac:dyDescent="0.4">
      <c r="A52" s="944" t="s">
        <v>65</v>
      </c>
      <c r="B52" s="944" t="s">
        <v>1359</v>
      </c>
    </row>
    <row r="53" spans="1:2" x14ac:dyDescent="0.4">
      <c r="A53" s="944" t="s">
        <v>66</v>
      </c>
      <c r="B53" s="944" t="s">
        <v>1359</v>
      </c>
    </row>
    <row r="54" spans="1:2" x14ac:dyDescent="0.4">
      <c r="A54" s="946" t="s">
        <v>67</v>
      </c>
      <c r="B54" s="944" t="s">
        <v>1359</v>
      </c>
    </row>
    <row r="55" spans="1:2" x14ac:dyDescent="0.4">
      <c r="A55" s="944" t="s">
        <v>68</v>
      </c>
      <c r="B55" s="944" t="s">
        <v>1359</v>
      </c>
    </row>
    <row r="56" spans="1:2" x14ac:dyDescent="0.4">
      <c r="A56" s="944" t="s">
        <v>69</v>
      </c>
      <c r="B56" s="944" t="s">
        <v>1359</v>
      </c>
    </row>
    <row r="57" spans="1:2" x14ac:dyDescent="0.4">
      <c r="A57" s="944" t="s">
        <v>70</v>
      </c>
      <c r="B57" s="944" t="s">
        <v>1359</v>
      </c>
    </row>
    <row r="58" spans="1:2" x14ac:dyDescent="0.4">
      <c r="A58" s="944" t="s">
        <v>71</v>
      </c>
      <c r="B58" s="944" t="s">
        <v>1359</v>
      </c>
    </row>
    <row r="59" spans="1:2" x14ac:dyDescent="0.4">
      <c r="A59" s="944" t="s">
        <v>72</v>
      </c>
      <c r="B59" s="944" t="s">
        <v>1359</v>
      </c>
    </row>
    <row r="60" spans="1:2" x14ac:dyDescent="0.4">
      <c r="A60" s="944" t="s">
        <v>73</v>
      </c>
      <c r="B60" s="944" t="s">
        <v>1359</v>
      </c>
    </row>
    <row r="61" spans="1:2" x14ac:dyDescent="0.4">
      <c r="A61" s="944" t="s">
        <v>74</v>
      </c>
      <c r="B61" s="944" t="s">
        <v>1359</v>
      </c>
    </row>
    <row r="62" spans="1:2" x14ac:dyDescent="0.4">
      <c r="A62" s="944" t="s">
        <v>75</v>
      </c>
      <c r="B62" s="944" t="s">
        <v>1359</v>
      </c>
    </row>
    <row r="63" spans="1:2" x14ac:dyDescent="0.4">
      <c r="A63" s="944" t="s">
        <v>76</v>
      </c>
      <c r="B63" s="944" t="s">
        <v>1359</v>
      </c>
    </row>
    <row r="64" spans="1:2" x14ac:dyDescent="0.4">
      <c r="A64" s="944" t="s">
        <v>77</v>
      </c>
      <c r="B64" s="944" t="s">
        <v>1359</v>
      </c>
    </row>
    <row r="65" spans="1:2" x14ac:dyDescent="0.4">
      <c r="A65" s="944" t="s">
        <v>78</v>
      </c>
      <c r="B65" s="944" t="s">
        <v>1359</v>
      </c>
    </row>
    <row r="66" spans="1:2" x14ac:dyDescent="0.4">
      <c r="A66" s="944" t="s">
        <v>79</v>
      </c>
      <c r="B66" s="944" t="s">
        <v>1359</v>
      </c>
    </row>
    <row r="67" spans="1:2" x14ac:dyDescent="0.4">
      <c r="A67" s="944" t="s">
        <v>80</v>
      </c>
      <c r="B67" s="944" t="s">
        <v>1359</v>
      </c>
    </row>
    <row r="68" spans="1:2" x14ac:dyDescent="0.4">
      <c r="A68" s="944" t="s">
        <v>81</v>
      </c>
      <c r="B68" s="944" t="s">
        <v>1359</v>
      </c>
    </row>
    <row r="69" spans="1:2" x14ac:dyDescent="0.4">
      <c r="A69" s="944" t="s">
        <v>82</v>
      </c>
      <c r="B69" s="944" t="s">
        <v>1359</v>
      </c>
    </row>
    <row r="70" spans="1:2" x14ac:dyDescent="0.4">
      <c r="A70" s="944" t="s">
        <v>83</v>
      </c>
      <c r="B70" s="944" t="s">
        <v>1359</v>
      </c>
    </row>
    <row r="71" spans="1:2" x14ac:dyDescent="0.4">
      <c r="A71" s="944" t="s">
        <v>84</v>
      </c>
      <c r="B71" s="944" t="s">
        <v>1359</v>
      </c>
    </row>
    <row r="72" spans="1:2" x14ac:dyDescent="0.4">
      <c r="A72" s="944" t="s">
        <v>85</v>
      </c>
      <c r="B72" s="944" t="s">
        <v>1359</v>
      </c>
    </row>
    <row r="73" spans="1:2" x14ac:dyDescent="0.4">
      <c r="A73" s="944" t="s">
        <v>86</v>
      </c>
      <c r="B73" s="944" t="s">
        <v>1359</v>
      </c>
    </row>
    <row r="74" spans="1:2" x14ac:dyDescent="0.4">
      <c r="A74" s="944" t="s">
        <v>87</v>
      </c>
      <c r="B74" s="944" t="s">
        <v>1359</v>
      </c>
    </row>
    <row r="75" spans="1:2" x14ac:dyDescent="0.4">
      <c r="A75" s="944" t="s">
        <v>88</v>
      </c>
      <c r="B75" s="944" t="s">
        <v>1359</v>
      </c>
    </row>
    <row r="76" spans="1:2" x14ac:dyDescent="0.4">
      <c r="A76" s="944" t="s">
        <v>89</v>
      </c>
      <c r="B76" s="944" t="s">
        <v>1359</v>
      </c>
    </row>
    <row r="77" spans="1:2" x14ac:dyDescent="0.4">
      <c r="A77" s="944" t="s">
        <v>90</v>
      </c>
      <c r="B77" s="944" t="s">
        <v>1359</v>
      </c>
    </row>
    <row r="78" spans="1:2" x14ac:dyDescent="0.4">
      <c r="A78" s="944" t="s">
        <v>91</v>
      </c>
      <c r="B78" s="944" t="s">
        <v>1359</v>
      </c>
    </row>
    <row r="79" spans="1:2" x14ac:dyDescent="0.4">
      <c r="A79" s="944" t="s">
        <v>92</v>
      </c>
      <c r="B79" s="944" t="s">
        <v>1359</v>
      </c>
    </row>
    <row r="80" spans="1:2" x14ac:dyDescent="0.4">
      <c r="A80" s="944" t="s">
        <v>93</v>
      </c>
      <c r="B80" s="944" t="s">
        <v>1359</v>
      </c>
    </row>
    <row r="81" spans="1:2" x14ac:dyDescent="0.4">
      <c r="A81" s="944" t="s">
        <v>94</v>
      </c>
      <c r="B81" s="944" t="s">
        <v>1359</v>
      </c>
    </row>
    <row r="82" spans="1:2" x14ac:dyDescent="0.4">
      <c r="A82" s="944" t="s">
        <v>95</v>
      </c>
      <c r="B82" s="944" t="s">
        <v>1359</v>
      </c>
    </row>
    <row r="83" spans="1:2" x14ac:dyDescent="0.4">
      <c r="A83" s="944" t="s">
        <v>96</v>
      </c>
      <c r="B83" s="944" t="s">
        <v>1359</v>
      </c>
    </row>
    <row r="84" spans="1:2" ht="14.25" thickBot="1" x14ac:dyDescent="0.45">
      <c r="A84" s="944" t="s">
        <v>97</v>
      </c>
      <c r="B84" s="944" t="s">
        <v>1359</v>
      </c>
    </row>
    <row r="85" spans="1:2" x14ac:dyDescent="0.4">
      <c r="A85" s="950" t="s">
        <v>549</v>
      </c>
      <c r="B85" s="944" t="s">
        <v>1359</v>
      </c>
    </row>
    <row r="86" spans="1:2" x14ac:dyDescent="0.4">
      <c r="A86" s="951" t="s">
        <v>1209</v>
      </c>
      <c r="B86" s="944" t="s">
        <v>1359</v>
      </c>
    </row>
    <row r="87" spans="1:2" x14ac:dyDescent="0.4">
      <c r="A87" s="951" t="s">
        <v>550</v>
      </c>
      <c r="B87" s="944" t="s">
        <v>1359</v>
      </c>
    </row>
    <row r="88" spans="1:2" x14ac:dyDescent="0.4">
      <c r="A88" s="951" t="s">
        <v>551</v>
      </c>
      <c r="B88" s="944" t="s">
        <v>1359</v>
      </c>
    </row>
    <row r="89" spans="1:2" x14ac:dyDescent="0.4">
      <c r="A89" s="951" t="s">
        <v>101</v>
      </c>
      <c r="B89" s="944" t="s">
        <v>1359</v>
      </c>
    </row>
    <row r="90" spans="1:2" x14ac:dyDescent="0.4">
      <c r="A90" s="952" t="s">
        <v>102</v>
      </c>
      <c r="B90" s="944" t="s">
        <v>1359</v>
      </c>
    </row>
    <row r="91" spans="1:2" ht="14.25" thickBot="1" x14ac:dyDescent="0.45">
      <c r="A91" s="952" t="s">
        <v>103</v>
      </c>
      <c r="B91" s="944" t="s">
        <v>1359</v>
      </c>
    </row>
    <row r="92" spans="1:2" x14ac:dyDescent="0.4">
      <c r="A92" s="948" t="s">
        <v>1198</v>
      </c>
      <c r="B92" s="944" t="s">
        <v>1359</v>
      </c>
    </row>
    <row r="93" spans="1:2" x14ac:dyDescent="0.4">
      <c r="A93" s="949" t="s">
        <v>1210</v>
      </c>
      <c r="B93" s="944" t="s">
        <v>1359</v>
      </c>
    </row>
    <row r="94" spans="1:2" x14ac:dyDescent="0.4">
      <c r="A94" s="949" t="s">
        <v>1216</v>
      </c>
      <c r="B94" s="944" t="s">
        <v>1359</v>
      </c>
    </row>
    <row r="95" spans="1:2" x14ac:dyDescent="0.4">
      <c r="A95" s="949" t="s">
        <v>1225</v>
      </c>
      <c r="B95" s="944" t="s">
        <v>1359</v>
      </c>
    </row>
    <row r="96" spans="1:2" x14ac:dyDescent="0.4">
      <c r="A96" s="949" t="s">
        <v>1235</v>
      </c>
      <c r="B96" s="944" t="s">
        <v>1359</v>
      </c>
    </row>
    <row r="97" spans="1:2" x14ac:dyDescent="0.4">
      <c r="A97" s="949" t="s">
        <v>1241</v>
      </c>
      <c r="B97" s="944" t="s">
        <v>1359</v>
      </c>
    </row>
    <row r="98" spans="1:2" x14ac:dyDescent="0.4">
      <c r="A98" s="949" t="s">
        <v>1248</v>
      </c>
      <c r="B98" s="944" t="s">
        <v>1359</v>
      </c>
    </row>
    <row r="99" spans="1:2" x14ac:dyDescent="0.4">
      <c r="A99" s="947" t="s">
        <v>1251</v>
      </c>
      <c r="B99" s="944" t="s">
        <v>1359</v>
      </c>
    </row>
    <row r="100" spans="1:2" x14ac:dyDescent="0.4">
      <c r="A100" s="949" t="s">
        <v>1254</v>
      </c>
      <c r="B100" s="944" t="s">
        <v>1359</v>
      </c>
    </row>
    <row r="101" spans="1:2" x14ac:dyDescent="0.4">
      <c r="A101" s="947" t="s">
        <v>112</v>
      </c>
      <c r="B101" s="944" t="s">
        <v>1359</v>
      </c>
    </row>
    <row r="102" spans="1:2" ht="14.25" x14ac:dyDescent="0.4">
      <c r="A102" s="953" t="s">
        <v>552</v>
      </c>
      <c r="B102" s="944" t="s">
        <v>1359</v>
      </c>
    </row>
    <row r="103" spans="1:2" ht="14.25" x14ac:dyDescent="0.4">
      <c r="A103" s="953" t="s">
        <v>553</v>
      </c>
      <c r="B103" s="944" t="s">
        <v>1359</v>
      </c>
    </row>
    <row r="104" spans="1:2" ht="14.25" x14ac:dyDescent="0.4">
      <c r="A104" s="953" t="s">
        <v>554</v>
      </c>
      <c r="B104" s="944" t="s">
        <v>1359</v>
      </c>
    </row>
    <row r="105" spans="1:2" ht="14.25" x14ac:dyDescent="0.4">
      <c r="A105" s="953" t="s">
        <v>555</v>
      </c>
      <c r="B105" s="944" t="s">
        <v>1359</v>
      </c>
    </row>
    <row r="106" spans="1:2" ht="14.25" x14ac:dyDescent="0.4">
      <c r="A106" s="953" t="s">
        <v>556</v>
      </c>
      <c r="B106" s="944" t="s">
        <v>1359</v>
      </c>
    </row>
    <row r="107" spans="1:2" ht="14.25" x14ac:dyDescent="0.4">
      <c r="A107" s="953" t="s">
        <v>557</v>
      </c>
      <c r="B107" s="944" t="s">
        <v>1359</v>
      </c>
    </row>
    <row r="108" spans="1:2" ht="14.25" x14ac:dyDescent="0.4">
      <c r="A108" s="953" t="s">
        <v>558</v>
      </c>
      <c r="B108" s="944" t="s">
        <v>1359</v>
      </c>
    </row>
    <row r="109" spans="1:2" ht="14.25" x14ac:dyDescent="0.4">
      <c r="A109" s="953" t="s">
        <v>559</v>
      </c>
      <c r="B109" s="944" t="s">
        <v>1359</v>
      </c>
    </row>
    <row r="110" spans="1:2" ht="14.25" x14ac:dyDescent="0.4">
      <c r="A110" s="953" t="s">
        <v>560</v>
      </c>
      <c r="B110" s="944" t="s">
        <v>1359</v>
      </c>
    </row>
    <row r="111" spans="1:2" ht="14.25" x14ac:dyDescent="0.4">
      <c r="A111" s="953" t="s">
        <v>561</v>
      </c>
      <c r="B111" s="944" t="s">
        <v>1359</v>
      </c>
    </row>
    <row r="112" spans="1:2" ht="14.25" x14ac:dyDescent="0.4">
      <c r="A112" s="953" t="s">
        <v>562</v>
      </c>
      <c r="B112" s="944" t="s">
        <v>1359</v>
      </c>
    </row>
    <row r="113" spans="1:2" ht="14.25" x14ac:dyDescent="0.4">
      <c r="A113" s="953" t="s">
        <v>563</v>
      </c>
      <c r="B113" s="944" t="s">
        <v>1359</v>
      </c>
    </row>
    <row r="114" spans="1:2" ht="14.25" x14ac:dyDescent="0.4">
      <c r="A114" s="953" t="s">
        <v>564</v>
      </c>
      <c r="B114" s="944" t="s">
        <v>1359</v>
      </c>
    </row>
    <row r="115" spans="1:2" ht="14.25" x14ac:dyDescent="0.4">
      <c r="A115" s="953" t="s">
        <v>565</v>
      </c>
      <c r="B115" s="944" t="s">
        <v>1359</v>
      </c>
    </row>
    <row r="116" spans="1:2" ht="14.25" x14ac:dyDescent="0.4">
      <c r="A116" s="953" t="s">
        <v>566</v>
      </c>
      <c r="B116" s="944" t="s">
        <v>1359</v>
      </c>
    </row>
    <row r="117" spans="1:2" ht="14.25" x14ac:dyDescent="0.4">
      <c r="A117" s="953" t="s">
        <v>567</v>
      </c>
      <c r="B117" s="944" t="s">
        <v>1359</v>
      </c>
    </row>
    <row r="118" spans="1:2" ht="14.25" x14ac:dyDescent="0.4">
      <c r="A118" s="953" t="s">
        <v>568</v>
      </c>
      <c r="B118" s="944" t="s">
        <v>1359</v>
      </c>
    </row>
    <row r="119" spans="1:2" x14ac:dyDescent="0.4">
      <c r="A119" s="954" t="s">
        <v>569</v>
      </c>
      <c r="B119" s="944" t="s">
        <v>1359</v>
      </c>
    </row>
    <row r="120" spans="1:2" x14ac:dyDescent="0.4">
      <c r="A120" s="954" t="s">
        <v>570</v>
      </c>
      <c r="B120" s="944" t="s">
        <v>1359</v>
      </c>
    </row>
    <row r="121" spans="1:2" x14ac:dyDescent="0.4">
      <c r="A121" s="954" t="s">
        <v>571</v>
      </c>
      <c r="B121" s="944" t="s">
        <v>1359</v>
      </c>
    </row>
    <row r="122" spans="1:2" x14ac:dyDescent="0.4">
      <c r="A122" s="954" t="s">
        <v>753</v>
      </c>
      <c r="B122" s="944" t="s">
        <v>1359</v>
      </c>
    </row>
    <row r="123" spans="1:2" x14ac:dyDescent="0.4">
      <c r="A123" s="954" t="s">
        <v>754</v>
      </c>
      <c r="B123" s="944" t="s">
        <v>1359</v>
      </c>
    </row>
    <row r="124" spans="1:2" x14ac:dyDescent="0.4">
      <c r="A124" s="954" t="s">
        <v>572</v>
      </c>
      <c r="B124" s="944" t="s">
        <v>1359</v>
      </c>
    </row>
    <row r="125" spans="1:2" x14ac:dyDescent="0.4">
      <c r="A125" s="954" t="s">
        <v>755</v>
      </c>
      <c r="B125" s="944" t="s">
        <v>1359</v>
      </c>
    </row>
    <row r="126" spans="1:2" x14ac:dyDescent="0.4">
      <c r="A126" s="954" t="s">
        <v>1256</v>
      </c>
      <c r="B126" s="944" t="s">
        <v>1359</v>
      </c>
    </row>
    <row r="127" spans="1:2" x14ac:dyDescent="0.4">
      <c r="A127" s="954" t="s">
        <v>1257</v>
      </c>
      <c r="B127" s="944" t="s">
        <v>1359</v>
      </c>
    </row>
    <row r="128" spans="1:2" x14ac:dyDescent="0.4">
      <c r="A128" s="954" t="s">
        <v>573</v>
      </c>
      <c r="B128" s="944" t="s">
        <v>1359</v>
      </c>
    </row>
    <row r="129" spans="1:2" x14ac:dyDescent="0.4">
      <c r="A129" s="954" t="s">
        <v>574</v>
      </c>
      <c r="B129" s="944" t="s">
        <v>1359</v>
      </c>
    </row>
    <row r="130" spans="1:2" x14ac:dyDescent="0.4">
      <c r="A130" s="954" t="s">
        <v>575</v>
      </c>
      <c r="B130" s="944" t="s">
        <v>1359</v>
      </c>
    </row>
    <row r="131" spans="1:2" x14ac:dyDescent="0.4">
      <c r="A131" s="954" t="s">
        <v>576</v>
      </c>
      <c r="B131" s="944" t="s">
        <v>1359</v>
      </c>
    </row>
    <row r="132" spans="1:2" x14ac:dyDescent="0.4">
      <c r="A132" s="954" t="s">
        <v>577</v>
      </c>
      <c r="B132" s="944" t="s">
        <v>1359</v>
      </c>
    </row>
    <row r="133" spans="1:2" x14ac:dyDescent="0.4">
      <c r="A133" s="954" t="s">
        <v>578</v>
      </c>
      <c r="B133" s="944" t="s">
        <v>1359</v>
      </c>
    </row>
    <row r="134" spans="1:2" x14ac:dyDescent="0.4">
      <c r="A134" s="954" t="s">
        <v>579</v>
      </c>
      <c r="B134" s="944" t="s">
        <v>1359</v>
      </c>
    </row>
    <row r="135" spans="1:2" x14ac:dyDescent="0.4">
      <c r="A135" s="947" t="s">
        <v>756</v>
      </c>
      <c r="B135" s="944" t="s">
        <v>1359</v>
      </c>
    </row>
    <row r="136" spans="1:2" x14ac:dyDescent="0.4">
      <c r="A136" s="947" t="s">
        <v>581</v>
      </c>
      <c r="B136" s="944" t="s">
        <v>1359</v>
      </c>
    </row>
    <row r="137" spans="1:2" x14ac:dyDescent="0.4">
      <c r="A137" s="947" t="s">
        <v>582</v>
      </c>
      <c r="B137" s="944" t="s">
        <v>1359</v>
      </c>
    </row>
    <row r="138" spans="1:2" x14ac:dyDescent="0.4">
      <c r="A138" s="947" t="s">
        <v>583</v>
      </c>
      <c r="B138" s="944" t="s">
        <v>1359</v>
      </c>
    </row>
    <row r="139" spans="1:2" x14ac:dyDescent="0.4">
      <c r="A139" s="947" t="s">
        <v>584</v>
      </c>
      <c r="B139" s="944" t="s">
        <v>1359</v>
      </c>
    </row>
    <row r="140" spans="1:2" x14ac:dyDescent="0.4">
      <c r="A140" s="947" t="s">
        <v>585</v>
      </c>
      <c r="B140" s="944" t="s">
        <v>1359</v>
      </c>
    </row>
    <row r="141" spans="1:2" x14ac:dyDescent="0.4">
      <c r="A141" s="947" t="s">
        <v>586</v>
      </c>
      <c r="B141" s="944" t="s">
        <v>1359</v>
      </c>
    </row>
    <row r="142" spans="1:2" x14ac:dyDescent="0.4">
      <c r="A142" s="947" t="s">
        <v>587</v>
      </c>
      <c r="B142" s="944" t="s">
        <v>1359</v>
      </c>
    </row>
    <row r="143" spans="1:2" x14ac:dyDescent="0.4">
      <c r="A143" s="947" t="s">
        <v>588</v>
      </c>
      <c r="B143" s="944" t="s">
        <v>1359</v>
      </c>
    </row>
    <row r="144" spans="1:2" x14ac:dyDescent="0.4">
      <c r="A144" s="947" t="s">
        <v>589</v>
      </c>
      <c r="B144" s="944" t="s">
        <v>1359</v>
      </c>
    </row>
    <row r="145" spans="1:2" x14ac:dyDescent="0.4">
      <c r="A145" s="947" t="s">
        <v>590</v>
      </c>
      <c r="B145" s="944" t="s">
        <v>1359</v>
      </c>
    </row>
    <row r="146" spans="1:2" x14ac:dyDescent="0.4">
      <c r="A146" s="947" t="s">
        <v>591</v>
      </c>
      <c r="B146" s="944" t="s">
        <v>1359</v>
      </c>
    </row>
    <row r="147" spans="1:2" x14ac:dyDescent="0.4">
      <c r="A147" s="947" t="s">
        <v>592</v>
      </c>
      <c r="B147" s="944" t="s">
        <v>1359</v>
      </c>
    </row>
    <row r="148" spans="1:2" x14ac:dyDescent="0.4">
      <c r="A148" s="947" t="s">
        <v>593</v>
      </c>
      <c r="B148" s="944" t="s">
        <v>1359</v>
      </c>
    </row>
    <row r="149" spans="1:2" x14ac:dyDescent="0.4">
      <c r="A149" s="947" t="s">
        <v>594</v>
      </c>
      <c r="B149" s="944" t="s">
        <v>1359</v>
      </c>
    </row>
    <row r="150" spans="1:2" x14ac:dyDescent="0.4">
      <c r="A150" s="947" t="s">
        <v>595</v>
      </c>
      <c r="B150" s="944" t="s">
        <v>1359</v>
      </c>
    </row>
    <row r="151" spans="1:2" x14ac:dyDescent="0.4">
      <c r="A151" s="947" t="s">
        <v>596</v>
      </c>
      <c r="B151" s="944" t="s">
        <v>1359</v>
      </c>
    </row>
    <row r="152" spans="1:2" x14ac:dyDescent="0.4">
      <c r="A152" s="947" t="s">
        <v>1255</v>
      </c>
      <c r="B152" s="944" t="s">
        <v>1359</v>
      </c>
    </row>
    <row r="153" spans="1:2" x14ac:dyDescent="0.4">
      <c r="A153" s="947" t="s">
        <v>598</v>
      </c>
      <c r="B153" s="944" t="s">
        <v>1359</v>
      </c>
    </row>
    <row r="154" spans="1:2" x14ac:dyDescent="0.4">
      <c r="A154" s="947" t="s">
        <v>599</v>
      </c>
      <c r="B154" s="944" t="s">
        <v>1359</v>
      </c>
    </row>
    <row r="155" spans="1:2" x14ac:dyDescent="0.4">
      <c r="A155" s="947" t="s">
        <v>600</v>
      </c>
      <c r="B155" s="944" t="s">
        <v>1359</v>
      </c>
    </row>
    <row r="156" spans="1:2" x14ac:dyDescent="0.4">
      <c r="A156" s="947" t="s">
        <v>601</v>
      </c>
      <c r="B156" s="944" t="s">
        <v>1359</v>
      </c>
    </row>
    <row r="157" spans="1:2" x14ac:dyDescent="0.4">
      <c r="A157" s="947" t="s">
        <v>602</v>
      </c>
      <c r="B157" s="944" t="s">
        <v>1359</v>
      </c>
    </row>
    <row r="158" spans="1:2" x14ac:dyDescent="0.4">
      <c r="A158" s="947" t="s">
        <v>603</v>
      </c>
      <c r="B158" s="944" t="s">
        <v>1359</v>
      </c>
    </row>
    <row r="159" spans="1:2" x14ac:dyDescent="0.4">
      <c r="A159" s="947" t="s">
        <v>604</v>
      </c>
      <c r="B159" s="944" t="s">
        <v>1359</v>
      </c>
    </row>
    <row r="160" spans="1:2" x14ac:dyDescent="0.4">
      <c r="A160" s="947" t="s">
        <v>1258</v>
      </c>
      <c r="B160" s="944" t="s">
        <v>1359</v>
      </c>
    </row>
    <row r="161" spans="1:2" x14ac:dyDescent="0.4">
      <c r="A161" s="947" t="s">
        <v>605</v>
      </c>
      <c r="B161" s="944" t="s">
        <v>1359</v>
      </c>
    </row>
    <row r="162" spans="1:2" x14ac:dyDescent="0.4">
      <c r="A162" s="947" t="s">
        <v>606</v>
      </c>
      <c r="B162" s="944" t="s">
        <v>1359</v>
      </c>
    </row>
    <row r="163" spans="1:2" x14ac:dyDescent="0.4">
      <c r="A163" s="947" t="s">
        <v>607</v>
      </c>
      <c r="B163" s="944" t="s">
        <v>1359</v>
      </c>
    </row>
    <row r="164" spans="1:2" x14ac:dyDescent="0.4">
      <c r="A164" s="947" t="s">
        <v>608</v>
      </c>
      <c r="B164" s="944" t="s">
        <v>1359</v>
      </c>
    </row>
    <row r="165" spans="1:2" x14ac:dyDescent="0.4">
      <c r="A165" s="947" t="s">
        <v>609</v>
      </c>
      <c r="B165" s="944" t="s">
        <v>1359</v>
      </c>
    </row>
    <row r="166" spans="1:2" x14ac:dyDescent="0.4">
      <c r="A166" s="947" t="s">
        <v>610</v>
      </c>
      <c r="B166" s="944" t="s">
        <v>1359</v>
      </c>
    </row>
    <row r="167" spans="1:2" x14ac:dyDescent="0.4">
      <c r="A167" s="947" t="s">
        <v>140</v>
      </c>
      <c r="B167" s="944" t="s">
        <v>1359</v>
      </c>
    </row>
    <row r="168" spans="1:2" x14ac:dyDescent="0.4">
      <c r="A168" s="947" t="s">
        <v>142</v>
      </c>
      <c r="B168" s="944" t="s">
        <v>1360</v>
      </c>
    </row>
    <row r="169" spans="1:2" x14ac:dyDescent="0.4">
      <c r="A169" s="947" t="s">
        <v>518</v>
      </c>
      <c r="B169" s="944" t="s">
        <v>1360</v>
      </c>
    </row>
    <row r="170" spans="1:2" x14ac:dyDescent="0.4">
      <c r="A170" s="947" t="s">
        <v>519</v>
      </c>
      <c r="B170" s="944" t="s">
        <v>1360</v>
      </c>
    </row>
    <row r="171" spans="1:2" x14ac:dyDescent="0.4">
      <c r="A171" s="947" t="s">
        <v>1226</v>
      </c>
      <c r="B171" s="944" t="s">
        <v>1360</v>
      </c>
    </row>
    <row r="172" spans="1:2" x14ac:dyDescent="0.4">
      <c r="A172" s="947" t="s">
        <v>611</v>
      </c>
      <c r="B172" s="944" t="s">
        <v>1360</v>
      </c>
    </row>
    <row r="173" spans="1:2" x14ac:dyDescent="0.4">
      <c r="A173" s="947" t="s">
        <v>520</v>
      </c>
      <c r="B173" s="944" t="s">
        <v>1360</v>
      </c>
    </row>
    <row r="174" spans="1:2" x14ac:dyDescent="0.4">
      <c r="A174" s="947" t="s">
        <v>521</v>
      </c>
      <c r="B174" s="944" t="s">
        <v>1360</v>
      </c>
    </row>
    <row r="175" spans="1:2" x14ac:dyDescent="0.4">
      <c r="A175" s="947" t="s">
        <v>522</v>
      </c>
      <c r="B175" s="944" t="s">
        <v>1360</v>
      </c>
    </row>
    <row r="176" spans="1:2" x14ac:dyDescent="0.4">
      <c r="A176" s="947" t="s">
        <v>523</v>
      </c>
      <c r="B176" s="944" t="s">
        <v>1360</v>
      </c>
    </row>
    <row r="177" spans="1:2" x14ac:dyDescent="0.4">
      <c r="A177" s="947" t="s">
        <v>524</v>
      </c>
      <c r="B177" s="944" t="s">
        <v>1360</v>
      </c>
    </row>
    <row r="178" spans="1:2" x14ac:dyDescent="0.4">
      <c r="A178" s="947" t="s">
        <v>525</v>
      </c>
      <c r="B178" s="944" t="s">
        <v>1360</v>
      </c>
    </row>
    <row r="179" spans="1:2" x14ac:dyDescent="0.4">
      <c r="A179" s="947" t="s">
        <v>526</v>
      </c>
      <c r="B179" s="944" t="s">
        <v>1360</v>
      </c>
    </row>
    <row r="180" spans="1:2" x14ac:dyDescent="0.4">
      <c r="A180" s="947" t="s">
        <v>527</v>
      </c>
      <c r="B180" s="944" t="s">
        <v>1360</v>
      </c>
    </row>
    <row r="181" spans="1:2" x14ac:dyDescent="0.4">
      <c r="A181" s="947" t="s">
        <v>528</v>
      </c>
      <c r="B181" s="944" t="s">
        <v>1360</v>
      </c>
    </row>
    <row r="182" spans="1:2" x14ac:dyDescent="0.4">
      <c r="A182" s="947" t="s">
        <v>612</v>
      </c>
      <c r="B182" s="944" t="s">
        <v>1360</v>
      </c>
    </row>
    <row r="183" spans="1:2" x14ac:dyDescent="0.4">
      <c r="A183" s="947" t="s">
        <v>529</v>
      </c>
      <c r="B183" s="944" t="s">
        <v>1360</v>
      </c>
    </row>
    <row r="184" spans="1:2" x14ac:dyDescent="0.4">
      <c r="A184" s="947" t="s">
        <v>143</v>
      </c>
      <c r="B184" s="944" t="s">
        <v>1360</v>
      </c>
    </row>
    <row r="185" spans="1:2" x14ac:dyDescent="0.4">
      <c r="A185" s="947" t="s">
        <v>144</v>
      </c>
      <c r="B185" s="944" t="s">
        <v>1360</v>
      </c>
    </row>
    <row r="186" spans="1:2" x14ac:dyDescent="0.4">
      <c r="A186" s="947" t="s">
        <v>530</v>
      </c>
      <c r="B186" s="944" t="s">
        <v>1360</v>
      </c>
    </row>
    <row r="187" spans="1:2" x14ac:dyDescent="0.4">
      <c r="A187" s="947" t="s">
        <v>531</v>
      </c>
      <c r="B187" s="944" t="s">
        <v>1360</v>
      </c>
    </row>
    <row r="188" spans="1:2" x14ac:dyDescent="0.4">
      <c r="A188" s="947" t="s">
        <v>532</v>
      </c>
      <c r="B188" s="944" t="s">
        <v>1360</v>
      </c>
    </row>
    <row r="189" spans="1:2" x14ac:dyDescent="0.4">
      <c r="A189" s="947" t="s">
        <v>533</v>
      </c>
      <c r="B189" s="944" t="s">
        <v>1360</v>
      </c>
    </row>
    <row r="190" spans="1:2" x14ac:dyDescent="0.4">
      <c r="A190" s="947" t="s">
        <v>534</v>
      </c>
      <c r="B190" s="944" t="s">
        <v>1360</v>
      </c>
    </row>
    <row r="191" spans="1:2" x14ac:dyDescent="0.4">
      <c r="A191" s="947" t="s">
        <v>535</v>
      </c>
      <c r="B191" s="944" t="s">
        <v>1360</v>
      </c>
    </row>
    <row r="192" spans="1:2" x14ac:dyDescent="0.4">
      <c r="A192" s="947" t="s">
        <v>536</v>
      </c>
      <c r="B192" s="944" t="s">
        <v>1360</v>
      </c>
    </row>
    <row r="193" spans="1:2" x14ac:dyDescent="0.4">
      <c r="A193" s="947" t="s">
        <v>537</v>
      </c>
      <c r="B193" s="944" t="s">
        <v>1360</v>
      </c>
    </row>
    <row r="194" spans="1:2" x14ac:dyDescent="0.4">
      <c r="A194" s="947" t="s">
        <v>538</v>
      </c>
      <c r="B194" s="944" t="s">
        <v>1360</v>
      </c>
    </row>
    <row r="195" spans="1:2" x14ac:dyDescent="0.4">
      <c r="A195" s="947" t="s">
        <v>539</v>
      </c>
      <c r="B195" s="944" t="s">
        <v>1360</v>
      </c>
    </row>
    <row r="196" spans="1:2" x14ac:dyDescent="0.4">
      <c r="A196" s="947" t="s">
        <v>540</v>
      </c>
      <c r="B196" s="944" t="s">
        <v>1360</v>
      </c>
    </row>
    <row r="197" spans="1:2" x14ac:dyDescent="0.4">
      <c r="A197" s="947" t="s">
        <v>613</v>
      </c>
      <c r="B197" s="944" t="s">
        <v>1360</v>
      </c>
    </row>
    <row r="198" spans="1:2" x14ac:dyDescent="0.4">
      <c r="A198" s="947" t="s">
        <v>541</v>
      </c>
      <c r="B198" s="944" t="s">
        <v>1360</v>
      </c>
    </row>
    <row r="199" spans="1:2" x14ac:dyDescent="0.4">
      <c r="A199" s="947" t="s">
        <v>542</v>
      </c>
      <c r="B199" s="944" t="s">
        <v>1360</v>
      </c>
    </row>
    <row r="200" spans="1:2" x14ac:dyDescent="0.4">
      <c r="A200" s="947" t="s">
        <v>145</v>
      </c>
      <c r="B200" s="944" t="s">
        <v>1360</v>
      </c>
    </row>
    <row r="201" spans="1:2" x14ac:dyDescent="0.4">
      <c r="A201" s="944" t="s">
        <v>146</v>
      </c>
      <c r="B201" s="944" t="s">
        <v>1360</v>
      </c>
    </row>
    <row r="202" spans="1:2" x14ac:dyDescent="0.4">
      <c r="A202" s="944" t="s">
        <v>147</v>
      </c>
      <c r="B202" s="944" t="s">
        <v>1360</v>
      </c>
    </row>
    <row r="203" spans="1:2" x14ac:dyDescent="0.4">
      <c r="A203" s="944" t="s">
        <v>148</v>
      </c>
      <c r="B203" s="944" t="s">
        <v>1360</v>
      </c>
    </row>
    <row r="204" spans="1:2" x14ac:dyDescent="0.4">
      <c r="A204" s="944" t="s">
        <v>149</v>
      </c>
      <c r="B204" s="944" t="s">
        <v>1360</v>
      </c>
    </row>
    <row r="205" spans="1:2" x14ac:dyDescent="0.4">
      <c r="A205" s="944" t="s">
        <v>1179</v>
      </c>
      <c r="B205" s="944" t="s">
        <v>1359</v>
      </c>
    </row>
    <row r="206" spans="1:2" x14ac:dyDescent="0.4">
      <c r="A206" s="944" t="s">
        <v>152</v>
      </c>
      <c r="B206" s="944" t="s">
        <v>1359</v>
      </c>
    </row>
    <row r="207" spans="1:2" x14ac:dyDescent="0.4">
      <c r="A207" s="944" t="s">
        <v>153</v>
      </c>
      <c r="B207" s="944" t="s">
        <v>1359</v>
      </c>
    </row>
    <row r="208" spans="1:2" x14ac:dyDescent="0.4">
      <c r="A208" s="944" t="s">
        <v>154</v>
      </c>
      <c r="B208" s="944" t="s">
        <v>1359</v>
      </c>
    </row>
    <row r="209" spans="1:2" x14ac:dyDescent="0.4">
      <c r="A209" s="944" t="s">
        <v>155</v>
      </c>
      <c r="B209" s="944" t="s">
        <v>1360</v>
      </c>
    </row>
    <row r="210" spans="1:2" x14ac:dyDescent="0.4">
      <c r="A210" s="944" t="s">
        <v>156</v>
      </c>
      <c r="B210" s="944" t="s">
        <v>1360</v>
      </c>
    </row>
    <row r="211" spans="1:2" x14ac:dyDescent="0.4">
      <c r="A211" s="944" t="s">
        <v>157</v>
      </c>
      <c r="B211" s="944" t="s">
        <v>1360</v>
      </c>
    </row>
    <row r="212" spans="1:2" x14ac:dyDescent="0.4">
      <c r="A212" s="947" t="s">
        <v>159</v>
      </c>
      <c r="B212" s="944" t="s">
        <v>1359</v>
      </c>
    </row>
    <row r="213" spans="1:2" x14ac:dyDescent="0.4">
      <c r="A213" s="947" t="s">
        <v>160</v>
      </c>
      <c r="B213" s="944" t="s">
        <v>1359</v>
      </c>
    </row>
    <row r="214" spans="1:2" x14ac:dyDescent="0.4">
      <c r="A214" s="947" t="s">
        <v>161</v>
      </c>
      <c r="B214" s="944" t="s">
        <v>1359</v>
      </c>
    </row>
    <row r="215" spans="1:2" x14ac:dyDescent="0.4">
      <c r="A215" s="947" t="s">
        <v>1227</v>
      </c>
      <c r="B215" s="944" t="s">
        <v>1359</v>
      </c>
    </row>
    <row r="216" spans="1:2" x14ac:dyDescent="0.4">
      <c r="A216" s="947" t="s">
        <v>109</v>
      </c>
      <c r="B216" s="944" t="s">
        <v>1359</v>
      </c>
    </row>
    <row r="217" spans="1:2" x14ac:dyDescent="0.4">
      <c r="A217" s="947" t="s">
        <v>162</v>
      </c>
      <c r="B217" s="944" t="s">
        <v>1359</v>
      </c>
    </row>
    <row r="218" spans="1:2" x14ac:dyDescent="0.4">
      <c r="A218" s="947" t="s">
        <v>163</v>
      </c>
      <c r="B218" s="944" t="s">
        <v>1359</v>
      </c>
    </row>
    <row r="219" spans="1:2" x14ac:dyDescent="0.4">
      <c r="A219" s="947" t="s">
        <v>165</v>
      </c>
      <c r="B219" s="944" t="s">
        <v>1359</v>
      </c>
    </row>
    <row r="220" spans="1:2" x14ac:dyDescent="0.4">
      <c r="A220" s="947" t="s">
        <v>166</v>
      </c>
      <c r="B220" s="944" t="s">
        <v>1359</v>
      </c>
    </row>
    <row r="221" spans="1:2" x14ac:dyDescent="0.4">
      <c r="A221" s="947" t="s">
        <v>167</v>
      </c>
      <c r="B221" s="944" t="s">
        <v>1359</v>
      </c>
    </row>
    <row r="222" spans="1:2" x14ac:dyDescent="0.4">
      <c r="A222" s="947" t="s">
        <v>168</v>
      </c>
      <c r="B222" s="944" t="s">
        <v>1359</v>
      </c>
    </row>
    <row r="223" spans="1:2" x14ac:dyDescent="0.4">
      <c r="A223" s="947" t="s">
        <v>169</v>
      </c>
      <c r="B223" s="944" t="s">
        <v>1359</v>
      </c>
    </row>
    <row r="224" spans="1:2" x14ac:dyDescent="0.4">
      <c r="A224" s="947" t="s">
        <v>170</v>
      </c>
      <c r="B224" s="944" t="s">
        <v>1359</v>
      </c>
    </row>
    <row r="225" spans="1:2" x14ac:dyDescent="0.4">
      <c r="A225" s="947" t="s">
        <v>102</v>
      </c>
      <c r="B225" s="944" t="s">
        <v>1359</v>
      </c>
    </row>
    <row r="226" spans="1:2" x14ac:dyDescent="0.4">
      <c r="A226" s="947" t="s">
        <v>171</v>
      </c>
      <c r="B226" s="944" t="s">
        <v>1360</v>
      </c>
    </row>
    <row r="227" spans="1:2" x14ac:dyDescent="0.4">
      <c r="A227" s="955" t="s">
        <v>173</v>
      </c>
      <c r="B227" s="944" t="s">
        <v>1359</v>
      </c>
    </row>
    <row r="228" spans="1:2" x14ac:dyDescent="0.4">
      <c r="A228" s="955" t="s">
        <v>174</v>
      </c>
      <c r="B228" s="944" t="s">
        <v>1359</v>
      </c>
    </row>
    <row r="229" spans="1:2" x14ac:dyDescent="0.4">
      <c r="A229" s="955" t="s">
        <v>175</v>
      </c>
      <c r="B229" s="944" t="s">
        <v>1359</v>
      </c>
    </row>
    <row r="230" spans="1:2" x14ac:dyDescent="0.4">
      <c r="A230" s="955" t="s">
        <v>176</v>
      </c>
      <c r="B230" s="944" t="s">
        <v>1359</v>
      </c>
    </row>
    <row r="231" spans="1:2" x14ac:dyDescent="0.4">
      <c r="A231" s="955" t="s">
        <v>177</v>
      </c>
      <c r="B231" s="944" t="s">
        <v>1359</v>
      </c>
    </row>
    <row r="232" spans="1:2" x14ac:dyDescent="0.4">
      <c r="A232" s="956" t="s">
        <v>179</v>
      </c>
      <c r="B232" s="944" t="s">
        <v>1359</v>
      </c>
    </row>
    <row r="233" spans="1:2" x14ac:dyDescent="0.4">
      <c r="A233" s="944" t="s">
        <v>180</v>
      </c>
      <c r="B233" s="944" t="s">
        <v>1361</v>
      </c>
    </row>
    <row r="234" spans="1:2" x14ac:dyDescent="0.4">
      <c r="A234" s="956" t="s">
        <v>1217</v>
      </c>
      <c r="B234" s="944" t="s">
        <v>1360</v>
      </c>
    </row>
    <row r="235" spans="1:2" x14ac:dyDescent="0.4">
      <c r="A235" s="957" t="s">
        <v>757</v>
      </c>
      <c r="B235" s="944" t="s">
        <v>1359</v>
      </c>
    </row>
    <row r="236" spans="1:2" x14ac:dyDescent="0.4">
      <c r="A236" s="957" t="s">
        <v>624</v>
      </c>
      <c r="B236" s="944" t="s">
        <v>1359</v>
      </c>
    </row>
    <row r="237" spans="1:2" x14ac:dyDescent="0.4">
      <c r="A237" s="957" t="s">
        <v>625</v>
      </c>
      <c r="B237" s="944" t="s">
        <v>1359</v>
      </c>
    </row>
    <row r="238" spans="1:2" x14ac:dyDescent="0.4">
      <c r="A238" s="957" t="s">
        <v>626</v>
      </c>
      <c r="B238" s="944" t="s">
        <v>1359</v>
      </c>
    </row>
    <row r="239" spans="1:2" x14ac:dyDescent="0.4">
      <c r="A239" s="957" t="s">
        <v>627</v>
      </c>
      <c r="B239" s="944" t="s">
        <v>1359</v>
      </c>
    </row>
    <row r="240" spans="1:2" x14ac:dyDescent="0.4">
      <c r="A240" s="957" t="s">
        <v>628</v>
      </c>
      <c r="B240" s="944" t="s">
        <v>1359</v>
      </c>
    </row>
    <row r="241" spans="1:2" x14ac:dyDescent="0.4">
      <c r="A241" s="957" t="s">
        <v>629</v>
      </c>
      <c r="B241" s="944" t="s">
        <v>1359</v>
      </c>
    </row>
    <row r="242" spans="1:2" x14ac:dyDescent="0.4">
      <c r="A242" s="957" t="s">
        <v>630</v>
      </c>
      <c r="B242" s="944" t="s">
        <v>1359</v>
      </c>
    </row>
    <row r="243" spans="1:2" x14ac:dyDescent="0.4">
      <c r="A243" s="957" t="s">
        <v>631</v>
      </c>
      <c r="B243" s="944" t="s">
        <v>1359</v>
      </c>
    </row>
    <row r="244" spans="1:2" x14ac:dyDescent="0.4">
      <c r="A244" s="957" t="s">
        <v>632</v>
      </c>
      <c r="B244" s="944" t="s">
        <v>1359</v>
      </c>
    </row>
    <row r="245" spans="1:2" x14ac:dyDescent="0.4">
      <c r="A245" s="957" t="s">
        <v>633</v>
      </c>
      <c r="B245" s="944" t="s">
        <v>1359</v>
      </c>
    </row>
    <row r="246" spans="1:2" x14ac:dyDescent="0.4">
      <c r="A246" s="957" t="s">
        <v>634</v>
      </c>
      <c r="B246" s="944" t="s">
        <v>1359</v>
      </c>
    </row>
    <row r="247" spans="1:2" x14ac:dyDescent="0.4">
      <c r="A247" s="957" t="s">
        <v>635</v>
      </c>
      <c r="B247" s="944" t="s">
        <v>1359</v>
      </c>
    </row>
    <row r="248" spans="1:2" x14ac:dyDescent="0.4">
      <c r="A248" s="957" t="s">
        <v>636</v>
      </c>
      <c r="B248" s="944" t="s">
        <v>1359</v>
      </c>
    </row>
    <row r="249" spans="1:2" x14ac:dyDescent="0.4">
      <c r="A249" s="957" t="s">
        <v>637</v>
      </c>
      <c r="B249" s="944" t="s">
        <v>1359</v>
      </c>
    </row>
    <row r="250" spans="1:2" x14ac:dyDescent="0.4">
      <c r="A250" s="957" t="s">
        <v>638</v>
      </c>
      <c r="B250" s="944" t="s">
        <v>1359</v>
      </c>
    </row>
    <row r="251" spans="1:2" x14ac:dyDescent="0.4">
      <c r="A251" s="957" t="s">
        <v>639</v>
      </c>
      <c r="B251" s="944" t="s">
        <v>1359</v>
      </c>
    </row>
    <row r="252" spans="1:2" x14ac:dyDescent="0.4">
      <c r="A252" s="957" t="s">
        <v>640</v>
      </c>
      <c r="B252" s="944" t="s">
        <v>1359</v>
      </c>
    </row>
    <row r="253" spans="1:2" x14ac:dyDescent="0.4">
      <c r="A253" s="957" t="s">
        <v>641</v>
      </c>
      <c r="B253" s="944" t="s">
        <v>1359</v>
      </c>
    </row>
    <row r="254" spans="1:2" x14ac:dyDescent="0.4">
      <c r="A254" s="957" t="s">
        <v>642</v>
      </c>
      <c r="B254" s="944" t="s">
        <v>1359</v>
      </c>
    </row>
    <row r="255" spans="1:2" x14ac:dyDescent="0.4">
      <c r="A255" s="957" t="s">
        <v>643</v>
      </c>
      <c r="B255" s="944" t="s">
        <v>1359</v>
      </c>
    </row>
    <row r="256" spans="1:2" x14ac:dyDescent="0.4">
      <c r="A256" s="957" t="s">
        <v>644</v>
      </c>
      <c r="B256" s="944" t="s">
        <v>1359</v>
      </c>
    </row>
    <row r="257" spans="1:2" x14ac:dyDescent="0.4">
      <c r="A257" s="957" t="s">
        <v>758</v>
      </c>
      <c r="B257" s="944" t="s">
        <v>1360</v>
      </c>
    </row>
    <row r="258" spans="1:2" x14ac:dyDescent="0.4">
      <c r="A258" s="957" t="s">
        <v>759</v>
      </c>
      <c r="B258" s="944" t="s">
        <v>1360</v>
      </c>
    </row>
    <row r="259" spans="1:2" x14ac:dyDescent="0.4">
      <c r="A259" s="958" t="s">
        <v>117</v>
      </c>
      <c r="B259" s="944" t="s">
        <v>1360</v>
      </c>
    </row>
    <row r="260" spans="1:2" x14ac:dyDescent="0.4">
      <c r="A260" s="957" t="s">
        <v>760</v>
      </c>
      <c r="B260" s="944" t="s">
        <v>1360</v>
      </c>
    </row>
    <row r="261" spans="1:2" x14ac:dyDescent="0.4">
      <c r="A261" s="957" t="s">
        <v>761</v>
      </c>
      <c r="B261" s="944" t="s">
        <v>1360</v>
      </c>
    </row>
    <row r="262" spans="1:2" x14ac:dyDescent="0.4">
      <c r="A262" s="957" t="s">
        <v>1242</v>
      </c>
      <c r="B262" s="944" t="s">
        <v>1360</v>
      </c>
    </row>
    <row r="263" spans="1:2" x14ac:dyDescent="0.4">
      <c r="A263" s="957" t="s">
        <v>762</v>
      </c>
      <c r="B263" s="944" t="s">
        <v>1360</v>
      </c>
    </row>
    <row r="264" spans="1:2" x14ac:dyDescent="0.4">
      <c r="A264" s="957" t="s">
        <v>763</v>
      </c>
      <c r="B264" s="944" t="s">
        <v>1360</v>
      </c>
    </row>
    <row r="265" spans="1:2" x14ac:dyDescent="0.4">
      <c r="A265" s="957" t="s">
        <v>764</v>
      </c>
      <c r="B265" s="944" t="s">
        <v>1360</v>
      </c>
    </row>
    <row r="266" spans="1:2" x14ac:dyDescent="0.4">
      <c r="A266" s="957" t="s">
        <v>765</v>
      </c>
      <c r="B266" s="944" t="s">
        <v>1360</v>
      </c>
    </row>
    <row r="267" spans="1:2" x14ac:dyDescent="0.4">
      <c r="A267" s="957" t="s">
        <v>766</v>
      </c>
      <c r="B267" s="944" t="s">
        <v>1360</v>
      </c>
    </row>
    <row r="268" spans="1:2" x14ac:dyDescent="0.4">
      <c r="A268" s="957" t="s">
        <v>767</v>
      </c>
      <c r="B268" s="944" t="s">
        <v>1360</v>
      </c>
    </row>
    <row r="269" spans="1:2" x14ac:dyDescent="0.4">
      <c r="A269" s="957" t="s">
        <v>768</v>
      </c>
      <c r="B269" s="944" t="s">
        <v>1360</v>
      </c>
    </row>
    <row r="270" spans="1:2" x14ac:dyDescent="0.4">
      <c r="A270" s="957" t="s">
        <v>769</v>
      </c>
      <c r="B270" s="944" t="s">
        <v>1360</v>
      </c>
    </row>
    <row r="271" spans="1:2" x14ac:dyDescent="0.4">
      <c r="A271" s="959" t="s">
        <v>648</v>
      </c>
      <c r="B271" s="944" t="s">
        <v>1360</v>
      </c>
    </row>
    <row r="272" spans="1:2" x14ac:dyDescent="0.4">
      <c r="A272" s="959" t="s">
        <v>649</v>
      </c>
      <c r="B272" s="944" t="s">
        <v>1360</v>
      </c>
    </row>
    <row r="273" spans="1:2" x14ac:dyDescent="0.4">
      <c r="A273" s="959" t="s">
        <v>650</v>
      </c>
      <c r="B273" s="944" t="s">
        <v>1360</v>
      </c>
    </row>
    <row r="274" spans="1:2" x14ac:dyDescent="0.4">
      <c r="A274" s="959" t="s">
        <v>651</v>
      </c>
      <c r="B274" s="944" t="s">
        <v>1360</v>
      </c>
    </row>
    <row r="275" spans="1:2" x14ac:dyDescent="0.4">
      <c r="A275" s="959" t="s">
        <v>652</v>
      </c>
      <c r="B275" s="944" t="s">
        <v>1360</v>
      </c>
    </row>
    <row r="276" spans="1:2" x14ac:dyDescent="0.4">
      <c r="A276" s="959" t="s">
        <v>653</v>
      </c>
      <c r="B276" s="944" t="s">
        <v>1360</v>
      </c>
    </row>
    <row r="277" spans="1:2" x14ac:dyDescent="0.4">
      <c r="A277" s="959" t="s">
        <v>654</v>
      </c>
      <c r="B277" s="944" t="s">
        <v>1360</v>
      </c>
    </row>
    <row r="278" spans="1:2" x14ac:dyDescent="0.4">
      <c r="A278" s="959" t="s">
        <v>1199</v>
      </c>
      <c r="B278" s="944" t="s">
        <v>1360</v>
      </c>
    </row>
    <row r="279" spans="1:2" x14ac:dyDescent="0.4">
      <c r="A279" s="959" t="s">
        <v>661</v>
      </c>
      <c r="B279" s="944" t="s">
        <v>1360</v>
      </c>
    </row>
    <row r="280" spans="1:2" x14ac:dyDescent="0.4">
      <c r="A280" s="959" t="s">
        <v>662</v>
      </c>
      <c r="B280" s="944" t="s">
        <v>1360</v>
      </c>
    </row>
    <row r="281" spans="1:2" x14ac:dyDescent="0.4">
      <c r="A281" s="959" t="s">
        <v>663</v>
      </c>
      <c r="B281" s="944" t="s">
        <v>1360</v>
      </c>
    </row>
    <row r="282" spans="1:2" x14ac:dyDescent="0.4">
      <c r="A282" s="959" t="s">
        <v>664</v>
      </c>
      <c r="B282" s="944" t="s">
        <v>1360</v>
      </c>
    </row>
    <row r="283" spans="1:2" x14ac:dyDescent="0.4">
      <c r="A283" s="959" t="s">
        <v>665</v>
      </c>
      <c r="B283" s="944" t="s">
        <v>1360</v>
      </c>
    </row>
    <row r="284" spans="1:2" x14ac:dyDescent="0.4">
      <c r="A284" s="959" t="s">
        <v>666</v>
      </c>
      <c r="B284" s="944" t="s">
        <v>1360</v>
      </c>
    </row>
    <row r="285" spans="1:2" x14ac:dyDescent="0.4">
      <c r="A285" s="959" t="s">
        <v>1252</v>
      </c>
      <c r="B285" s="944" t="s">
        <v>1360</v>
      </c>
    </row>
    <row r="286" spans="1:2" x14ac:dyDescent="0.4">
      <c r="A286" s="959" t="s">
        <v>1200</v>
      </c>
      <c r="B286" s="944" t="s">
        <v>1359</v>
      </c>
    </row>
    <row r="287" spans="1:2" x14ac:dyDescent="0.4">
      <c r="A287" s="959" t="s">
        <v>1211</v>
      </c>
      <c r="B287" s="944" t="s">
        <v>1359</v>
      </c>
    </row>
    <row r="288" spans="1:2" x14ac:dyDescent="0.4">
      <c r="A288" s="959" t="s">
        <v>1218</v>
      </c>
      <c r="B288" s="944" t="s">
        <v>1359</v>
      </c>
    </row>
    <row r="289" spans="1:2" x14ac:dyDescent="0.4">
      <c r="A289" s="959" t="s">
        <v>1228</v>
      </c>
      <c r="B289" s="944" t="s">
        <v>1359</v>
      </c>
    </row>
    <row r="290" spans="1:2" x14ac:dyDescent="0.4">
      <c r="A290" s="959" t="s">
        <v>1236</v>
      </c>
      <c r="B290" s="944" t="s">
        <v>1359</v>
      </c>
    </row>
    <row r="291" spans="1:2" x14ac:dyDescent="0.4">
      <c r="A291" s="959" t="s">
        <v>1243</v>
      </c>
      <c r="B291" s="944" t="s">
        <v>1359</v>
      </c>
    </row>
    <row r="292" spans="1:2" x14ac:dyDescent="0.4">
      <c r="A292" s="959" t="s">
        <v>667</v>
      </c>
      <c r="B292" s="944" t="s">
        <v>1360</v>
      </c>
    </row>
    <row r="293" spans="1:2" x14ac:dyDescent="0.4">
      <c r="A293" s="959" t="s">
        <v>668</v>
      </c>
      <c r="B293" s="944" t="s">
        <v>1360</v>
      </c>
    </row>
    <row r="294" spans="1:2" x14ac:dyDescent="0.4">
      <c r="A294" s="959" t="s">
        <v>669</v>
      </c>
      <c r="B294" s="944" t="s">
        <v>1360</v>
      </c>
    </row>
    <row r="295" spans="1:2" x14ac:dyDescent="0.4">
      <c r="A295" s="959" t="s">
        <v>1229</v>
      </c>
      <c r="B295" s="944" t="s">
        <v>1360</v>
      </c>
    </row>
    <row r="296" spans="1:2" x14ac:dyDescent="0.4">
      <c r="A296" s="960" t="s">
        <v>1201</v>
      </c>
      <c r="B296" s="944" t="s">
        <v>1360</v>
      </c>
    </row>
    <row r="297" spans="1:2" x14ac:dyDescent="0.4">
      <c r="A297" s="961" t="s">
        <v>670</v>
      </c>
      <c r="B297" s="944" t="s">
        <v>1360</v>
      </c>
    </row>
    <row r="298" spans="1:2" x14ac:dyDescent="0.4">
      <c r="A298" s="961" t="s">
        <v>671</v>
      </c>
      <c r="B298" s="944" t="s">
        <v>1360</v>
      </c>
    </row>
    <row r="299" spans="1:2" x14ac:dyDescent="0.4">
      <c r="A299" s="961" t="s">
        <v>672</v>
      </c>
      <c r="B299" s="944" t="s">
        <v>1360</v>
      </c>
    </row>
    <row r="300" spans="1:2" x14ac:dyDescent="0.4">
      <c r="A300" s="961" t="s">
        <v>673</v>
      </c>
      <c r="B300" s="944" t="s">
        <v>1360</v>
      </c>
    </row>
    <row r="301" spans="1:2" x14ac:dyDescent="0.4">
      <c r="A301" s="961" t="s">
        <v>674</v>
      </c>
      <c r="B301" s="944" t="s">
        <v>1360</v>
      </c>
    </row>
    <row r="302" spans="1:2" x14ac:dyDescent="0.4">
      <c r="A302" s="961" t="s">
        <v>675</v>
      </c>
      <c r="B302" s="944" t="s">
        <v>1360</v>
      </c>
    </row>
    <row r="303" spans="1:2" x14ac:dyDescent="0.4">
      <c r="A303" s="959" t="s">
        <v>1202</v>
      </c>
      <c r="B303" s="944" t="s">
        <v>1359</v>
      </c>
    </row>
    <row r="304" spans="1:2" x14ac:dyDescent="0.4">
      <c r="A304" s="959" t="s">
        <v>1212</v>
      </c>
      <c r="B304" s="944" t="s">
        <v>1359</v>
      </c>
    </row>
    <row r="305" spans="1:2" x14ac:dyDescent="0.4">
      <c r="A305" s="959" t="s">
        <v>1219</v>
      </c>
      <c r="B305" s="944" t="s">
        <v>1359</v>
      </c>
    </row>
    <row r="306" spans="1:2" x14ac:dyDescent="0.4">
      <c r="A306" s="959" t="s">
        <v>1230</v>
      </c>
      <c r="B306" s="944" t="s">
        <v>1359</v>
      </c>
    </row>
    <row r="307" spans="1:2" x14ac:dyDescent="0.4">
      <c r="A307" s="959" t="s">
        <v>1237</v>
      </c>
      <c r="B307" s="944" t="s">
        <v>1359</v>
      </c>
    </row>
    <row r="308" spans="1:2" x14ac:dyDescent="0.4">
      <c r="A308" s="959" t="s">
        <v>1244</v>
      </c>
      <c r="B308" s="944" t="s">
        <v>1359</v>
      </c>
    </row>
    <row r="309" spans="1:2" x14ac:dyDescent="0.4">
      <c r="A309" s="959" t="s">
        <v>1249</v>
      </c>
      <c r="B309" s="944" t="s">
        <v>1359</v>
      </c>
    </row>
    <row r="310" spans="1:2" x14ac:dyDescent="0.4">
      <c r="A310" s="959" t="s">
        <v>1253</v>
      </c>
      <c r="B310" s="944" t="s">
        <v>1359</v>
      </c>
    </row>
    <row r="311" spans="1:2" x14ac:dyDescent="0.4">
      <c r="A311" s="959" t="s">
        <v>676</v>
      </c>
      <c r="B311" s="944" t="s">
        <v>1360</v>
      </c>
    </row>
    <row r="312" spans="1:2" x14ac:dyDescent="0.4">
      <c r="A312" s="959" t="s">
        <v>677</v>
      </c>
      <c r="B312" s="944" t="s">
        <v>1360</v>
      </c>
    </row>
    <row r="313" spans="1:2" x14ac:dyDescent="0.4">
      <c r="A313" s="959" t="s">
        <v>678</v>
      </c>
      <c r="B313" s="944" t="s">
        <v>1360</v>
      </c>
    </row>
    <row r="314" spans="1:2" x14ac:dyDescent="0.4">
      <c r="A314" s="959" t="s">
        <v>679</v>
      </c>
      <c r="B314" s="944" t="s">
        <v>1360</v>
      </c>
    </row>
    <row r="315" spans="1:2" x14ac:dyDescent="0.4">
      <c r="A315" s="959" t="s">
        <v>680</v>
      </c>
      <c r="B315" s="944" t="s">
        <v>1360</v>
      </c>
    </row>
    <row r="316" spans="1:2" x14ac:dyDescent="0.4">
      <c r="A316" s="959" t="s">
        <v>681</v>
      </c>
      <c r="B316" s="944" t="s">
        <v>1360</v>
      </c>
    </row>
    <row r="317" spans="1:2" x14ac:dyDescent="0.4">
      <c r="A317" s="959" t="s">
        <v>682</v>
      </c>
      <c r="B317" s="944" t="s">
        <v>1360</v>
      </c>
    </row>
    <row r="318" spans="1:2" x14ac:dyDescent="0.4">
      <c r="A318" s="959" t="s">
        <v>1203</v>
      </c>
      <c r="B318" s="944" t="s">
        <v>1359</v>
      </c>
    </row>
    <row r="319" spans="1:2" x14ac:dyDescent="0.4">
      <c r="A319" s="959" t="s">
        <v>1213</v>
      </c>
      <c r="B319" s="944" t="s">
        <v>1359</v>
      </c>
    </row>
    <row r="320" spans="1:2" x14ac:dyDescent="0.4">
      <c r="A320" s="959" t="s">
        <v>1220</v>
      </c>
      <c r="B320" s="944" t="s">
        <v>1359</v>
      </c>
    </row>
    <row r="321" spans="1:2" x14ac:dyDescent="0.4">
      <c r="A321" s="959" t="s">
        <v>1231</v>
      </c>
      <c r="B321" s="944" t="s">
        <v>1359</v>
      </c>
    </row>
    <row r="322" spans="1:2" x14ac:dyDescent="0.4">
      <c r="A322" s="959" t="s">
        <v>1238</v>
      </c>
      <c r="B322" s="944" t="s">
        <v>1359</v>
      </c>
    </row>
    <row r="323" spans="1:2" x14ac:dyDescent="0.4">
      <c r="A323" s="959" t="s">
        <v>1245</v>
      </c>
      <c r="B323" s="944" t="s">
        <v>1359</v>
      </c>
    </row>
    <row r="324" spans="1:2" x14ac:dyDescent="0.4">
      <c r="A324" s="959" t="s">
        <v>683</v>
      </c>
      <c r="B324" s="944" t="s">
        <v>1360</v>
      </c>
    </row>
    <row r="325" spans="1:2" x14ac:dyDescent="0.4">
      <c r="A325" s="959" t="s">
        <v>684</v>
      </c>
      <c r="B325" s="944" t="s">
        <v>1360</v>
      </c>
    </row>
    <row r="326" spans="1:2" x14ac:dyDescent="0.4">
      <c r="A326" s="959" t="s">
        <v>685</v>
      </c>
      <c r="B326" s="944" t="s">
        <v>1360</v>
      </c>
    </row>
    <row r="327" spans="1:2" x14ac:dyDescent="0.4">
      <c r="A327" s="959" t="s">
        <v>686</v>
      </c>
      <c r="B327" s="944" t="s">
        <v>1360</v>
      </c>
    </row>
    <row r="328" spans="1:2" x14ac:dyDescent="0.4">
      <c r="A328" s="959" t="s">
        <v>687</v>
      </c>
      <c r="B328" s="944" t="s">
        <v>1360</v>
      </c>
    </row>
    <row r="329" spans="1:2" x14ac:dyDescent="0.4">
      <c r="A329" s="959" t="s">
        <v>1246</v>
      </c>
      <c r="B329" s="944" t="s">
        <v>1360</v>
      </c>
    </row>
    <row r="330" spans="1:2" x14ac:dyDescent="0.4">
      <c r="A330" s="959" t="s">
        <v>1204</v>
      </c>
      <c r="B330" s="944" t="s">
        <v>1360</v>
      </c>
    </row>
    <row r="331" spans="1:2" x14ac:dyDescent="0.4">
      <c r="A331" s="959" t="s">
        <v>1214</v>
      </c>
      <c r="B331" s="944" t="s">
        <v>1360</v>
      </c>
    </row>
    <row r="332" spans="1:2" x14ac:dyDescent="0.4">
      <c r="A332" s="959" t="s">
        <v>1221</v>
      </c>
      <c r="B332" s="944" t="s">
        <v>1360</v>
      </c>
    </row>
    <row r="333" spans="1:2" x14ac:dyDescent="0.4">
      <c r="A333" s="959" t="s">
        <v>1232</v>
      </c>
      <c r="B333" s="944" t="s">
        <v>1360</v>
      </c>
    </row>
    <row r="334" spans="1:2" x14ac:dyDescent="0.4">
      <c r="A334" s="959" t="s">
        <v>1239</v>
      </c>
      <c r="B334" s="944" t="s">
        <v>1360</v>
      </c>
    </row>
    <row r="335" spans="1:2" x14ac:dyDescent="0.4">
      <c r="A335" s="959" t="s">
        <v>1247</v>
      </c>
      <c r="B335" s="944" t="s">
        <v>1360</v>
      </c>
    </row>
    <row r="336" spans="1:2" x14ac:dyDescent="0.4">
      <c r="A336" s="959" t="s">
        <v>1250</v>
      </c>
      <c r="B336" s="944" t="s">
        <v>1360</v>
      </c>
    </row>
    <row r="337" spans="1:2" x14ac:dyDescent="0.4">
      <c r="A337" s="959" t="s">
        <v>1205</v>
      </c>
      <c r="B337" s="944" t="s">
        <v>1360</v>
      </c>
    </row>
    <row r="338" spans="1:2" x14ac:dyDescent="0.4">
      <c r="A338" s="959" t="s">
        <v>770</v>
      </c>
      <c r="B338" s="944" t="s">
        <v>1360</v>
      </c>
    </row>
    <row r="339" spans="1:2" x14ac:dyDescent="0.4">
      <c r="A339" s="959" t="s">
        <v>1222</v>
      </c>
      <c r="B339" s="944" t="s">
        <v>1360</v>
      </c>
    </row>
    <row r="340" spans="1:2" x14ac:dyDescent="0.4">
      <c r="A340" s="959" t="s">
        <v>1206</v>
      </c>
      <c r="B340" s="944" t="s">
        <v>1360</v>
      </c>
    </row>
    <row r="341" spans="1:2" x14ac:dyDescent="0.4">
      <c r="A341" s="959" t="s">
        <v>688</v>
      </c>
      <c r="B341" s="944" t="s">
        <v>1360</v>
      </c>
    </row>
    <row r="342" spans="1:2" x14ac:dyDescent="0.4">
      <c r="A342" s="959" t="s">
        <v>689</v>
      </c>
      <c r="B342" s="944" t="s">
        <v>1360</v>
      </c>
    </row>
    <row r="343" spans="1:2" x14ac:dyDescent="0.4">
      <c r="A343" s="959" t="s">
        <v>690</v>
      </c>
      <c r="B343" s="944" t="s">
        <v>1360</v>
      </c>
    </row>
    <row r="344" spans="1:2" x14ac:dyDescent="0.4">
      <c r="A344" s="959" t="s">
        <v>691</v>
      </c>
      <c r="B344" s="944" t="s">
        <v>1360</v>
      </c>
    </row>
    <row r="345" spans="1:2" x14ac:dyDescent="0.4">
      <c r="A345" s="962" t="s">
        <v>1207</v>
      </c>
      <c r="B345" s="944" t="s">
        <v>1359</v>
      </c>
    </row>
    <row r="346" spans="1:2" x14ac:dyDescent="0.4">
      <c r="A346" s="959" t="s">
        <v>454</v>
      </c>
      <c r="B346" s="944" t="s">
        <v>1359</v>
      </c>
    </row>
    <row r="347" spans="1:2" x14ac:dyDescent="0.4">
      <c r="A347" s="963" t="s">
        <v>1223</v>
      </c>
      <c r="B347" s="944" t="s">
        <v>1359</v>
      </c>
    </row>
    <row r="348" spans="1:2" x14ac:dyDescent="0.4">
      <c r="A348" s="959" t="s">
        <v>1233</v>
      </c>
      <c r="B348" s="944" t="s">
        <v>1359</v>
      </c>
    </row>
    <row r="349" spans="1:2" x14ac:dyDescent="0.4">
      <c r="A349" s="959" t="s">
        <v>1240</v>
      </c>
      <c r="B349" s="944" t="s">
        <v>1360</v>
      </c>
    </row>
    <row r="350" spans="1:2" x14ac:dyDescent="0.4">
      <c r="A350" s="959" t="s">
        <v>1208</v>
      </c>
      <c r="B350" s="944" t="s">
        <v>1360</v>
      </c>
    </row>
    <row r="351" spans="1:2" x14ac:dyDescent="0.4">
      <c r="A351" s="959" t="s">
        <v>1215</v>
      </c>
      <c r="B351" s="944" t="s">
        <v>1360</v>
      </c>
    </row>
    <row r="352" spans="1:2" x14ac:dyDescent="0.4">
      <c r="A352" s="959" t="s">
        <v>1224</v>
      </c>
      <c r="B352" s="944" t="s">
        <v>1360</v>
      </c>
    </row>
    <row r="353" spans="1:2" x14ac:dyDescent="0.4">
      <c r="A353" s="959" t="s">
        <v>1234</v>
      </c>
      <c r="B353" s="944" t="s">
        <v>1360</v>
      </c>
    </row>
    <row r="354" spans="1:2" x14ac:dyDescent="0.4">
      <c r="A354" s="959" t="s">
        <v>693</v>
      </c>
      <c r="B354" s="944" t="s">
        <v>1360</v>
      </c>
    </row>
    <row r="355" spans="1:2" x14ac:dyDescent="0.4">
      <c r="A355" s="959" t="s">
        <v>694</v>
      </c>
      <c r="B355" s="944" t="s">
        <v>1360</v>
      </c>
    </row>
    <row r="356" spans="1:2" x14ac:dyDescent="0.4">
      <c r="A356" s="959" t="s">
        <v>695</v>
      </c>
      <c r="B356" s="944" t="s">
        <v>1360</v>
      </c>
    </row>
    <row r="357" spans="1:2" x14ac:dyDescent="0.4">
      <c r="A357" s="959" t="s">
        <v>696</v>
      </c>
      <c r="B357" s="944" t="s">
        <v>1360</v>
      </c>
    </row>
    <row r="358" spans="1:2" x14ac:dyDescent="0.4">
      <c r="A358" s="959" t="s">
        <v>697</v>
      </c>
      <c r="B358" s="944" t="s">
        <v>1360</v>
      </c>
    </row>
    <row r="359" spans="1:2" x14ac:dyDescent="0.4">
      <c r="A359" s="959" t="s">
        <v>698</v>
      </c>
      <c r="B359" s="944" t="s">
        <v>1360</v>
      </c>
    </row>
    <row r="360" spans="1:2" x14ac:dyDescent="0.4">
      <c r="A360" s="959" t="s">
        <v>699</v>
      </c>
      <c r="B360" s="944" t="s">
        <v>1360</v>
      </c>
    </row>
    <row r="361" spans="1:2" x14ac:dyDescent="0.4">
      <c r="A361" s="959" t="s">
        <v>700</v>
      </c>
      <c r="B361" s="944" t="s">
        <v>1360</v>
      </c>
    </row>
    <row r="362" spans="1:2" x14ac:dyDescent="0.4">
      <c r="A362" s="959" t="s">
        <v>701</v>
      </c>
      <c r="B362" s="944" t="s">
        <v>1360</v>
      </c>
    </row>
    <row r="363" spans="1:2" x14ac:dyDescent="0.4">
      <c r="A363" s="959" t="s">
        <v>702</v>
      </c>
      <c r="B363" s="944" t="s">
        <v>1360</v>
      </c>
    </row>
    <row r="364" spans="1:2" x14ac:dyDescent="0.4">
      <c r="A364" s="959" t="s">
        <v>703</v>
      </c>
      <c r="B364" s="944" t="s">
        <v>1360</v>
      </c>
    </row>
    <row r="365" spans="1:2" x14ac:dyDescent="0.4">
      <c r="A365" s="959" t="s">
        <v>704</v>
      </c>
      <c r="B365" s="944" t="s">
        <v>1360</v>
      </c>
    </row>
    <row r="366" spans="1:2" x14ac:dyDescent="0.4">
      <c r="A366" s="959" t="s">
        <v>705</v>
      </c>
      <c r="B366" s="944" t="s">
        <v>1360</v>
      </c>
    </row>
    <row r="367" spans="1:2" x14ac:dyDescent="0.4">
      <c r="A367" s="959" t="s">
        <v>706</v>
      </c>
      <c r="B367" s="944" t="s">
        <v>1360</v>
      </c>
    </row>
    <row r="368" spans="1:2" x14ac:dyDescent="0.4">
      <c r="A368" s="959" t="s">
        <v>707</v>
      </c>
      <c r="B368" s="944" t="s">
        <v>1360</v>
      </c>
    </row>
    <row r="369" spans="1:2" x14ac:dyDescent="0.4">
      <c r="A369" s="959" t="s">
        <v>708</v>
      </c>
      <c r="B369" s="944" t="s">
        <v>1360</v>
      </c>
    </row>
    <row r="370" spans="1:2" x14ac:dyDescent="0.4">
      <c r="A370" s="959" t="s">
        <v>709</v>
      </c>
      <c r="B370" s="944" t="s">
        <v>1360</v>
      </c>
    </row>
    <row r="371" spans="1:2" x14ac:dyDescent="0.4">
      <c r="A371" s="959" t="s">
        <v>710</v>
      </c>
      <c r="B371" s="944" t="s">
        <v>1360</v>
      </c>
    </row>
    <row r="372" spans="1:2" x14ac:dyDescent="0.4">
      <c r="A372" s="959" t="s">
        <v>711</v>
      </c>
      <c r="B372" s="944" t="s">
        <v>1360</v>
      </c>
    </row>
    <row r="373" spans="1:2" x14ac:dyDescent="0.4">
      <c r="A373" s="959" t="s">
        <v>712</v>
      </c>
      <c r="B373" s="944" t="s">
        <v>1360</v>
      </c>
    </row>
    <row r="374" spans="1:2" x14ac:dyDescent="0.4">
      <c r="A374" s="959" t="s">
        <v>713</v>
      </c>
      <c r="B374" s="944" t="s">
        <v>1360</v>
      </c>
    </row>
    <row r="375" spans="1:2" x14ac:dyDescent="0.4">
      <c r="A375" s="959" t="s">
        <v>714</v>
      </c>
      <c r="B375" s="944" t="s">
        <v>1360</v>
      </c>
    </row>
    <row r="376" spans="1:2" x14ac:dyDescent="0.4">
      <c r="A376" s="959" t="s">
        <v>715</v>
      </c>
      <c r="B376" s="944" t="s">
        <v>1360</v>
      </c>
    </row>
    <row r="377" spans="1:2" x14ac:dyDescent="0.4">
      <c r="A377" s="959" t="s">
        <v>1296</v>
      </c>
      <c r="B377" s="959" t="s">
        <v>1362</v>
      </c>
    </row>
    <row r="378" spans="1:2" x14ac:dyDescent="0.4">
      <c r="A378" s="959" t="s">
        <v>1297</v>
      </c>
      <c r="B378" s="959" t="s">
        <v>1362</v>
      </c>
    </row>
    <row r="379" spans="1:2" x14ac:dyDescent="0.4">
      <c r="A379" s="959" t="s">
        <v>1298</v>
      </c>
      <c r="B379" s="959" t="s">
        <v>1362</v>
      </c>
    </row>
    <row r="380" spans="1:2" x14ac:dyDescent="0.4">
      <c r="A380" s="959" t="s">
        <v>1299</v>
      </c>
      <c r="B380" s="959" t="s">
        <v>1362</v>
      </c>
    </row>
    <row r="381" spans="1:2" x14ac:dyDescent="0.4">
      <c r="A381" s="959" t="s">
        <v>1300</v>
      </c>
      <c r="B381" s="959" t="s">
        <v>1362</v>
      </c>
    </row>
    <row r="382" spans="1:2" x14ac:dyDescent="0.4">
      <c r="A382" s="959" t="s">
        <v>1301</v>
      </c>
      <c r="B382" s="959" t="s">
        <v>1363</v>
      </c>
    </row>
    <row r="383" spans="1:2" x14ac:dyDescent="0.4">
      <c r="A383" s="959" t="s">
        <v>1302</v>
      </c>
      <c r="B383" s="959" t="s">
        <v>1363</v>
      </c>
    </row>
    <row r="384" spans="1:2" x14ac:dyDescent="0.4">
      <c r="A384" s="959" t="s">
        <v>1303</v>
      </c>
      <c r="B384" s="959" t="s">
        <v>1363</v>
      </c>
    </row>
    <row r="385" spans="1:2" x14ac:dyDescent="0.4">
      <c r="A385" s="959" t="s">
        <v>1304</v>
      </c>
      <c r="B385" s="959" t="s">
        <v>1363</v>
      </c>
    </row>
    <row r="386" spans="1:2" x14ac:dyDescent="0.4">
      <c r="A386" s="959" t="s">
        <v>1305</v>
      </c>
      <c r="B386" s="959" t="s">
        <v>457</v>
      </c>
    </row>
    <row r="387" spans="1:2" x14ac:dyDescent="0.4">
      <c r="A387" s="959" t="s">
        <v>1306</v>
      </c>
      <c r="B387" s="959" t="s">
        <v>457</v>
      </c>
    </row>
    <row r="388" spans="1:2" x14ac:dyDescent="0.4">
      <c r="A388" s="959" t="s">
        <v>1307</v>
      </c>
      <c r="B388" s="959" t="s">
        <v>457</v>
      </c>
    </row>
    <row r="389" spans="1:2" x14ac:dyDescent="0.4">
      <c r="A389" s="959" t="s">
        <v>1308</v>
      </c>
      <c r="B389" s="959" t="s">
        <v>457</v>
      </c>
    </row>
    <row r="390" spans="1:2" x14ac:dyDescent="0.4">
      <c r="A390" s="959" t="s">
        <v>1309</v>
      </c>
      <c r="B390" s="959" t="s">
        <v>1364</v>
      </c>
    </row>
    <row r="391" spans="1:2" x14ac:dyDescent="0.4">
      <c r="A391" s="959" t="s">
        <v>1310</v>
      </c>
      <c r="B391" s="959" t="s">
        <v>457</v>
      </c>
    </row>
    <row r="392" spans="1:2" x14ac:dyDescent="0.4">
      <c r="A392" s="959" t="s">
        <v>1311</v>
      </c>
      <c r="B392" s="959" t="s">
        <v>457</v>
      </c>
    </row>
    <row r="393" spans="1:2" x14ac:dyDescent="0.4">
      <c r="A393" s="959" t="s">
        <v>1312</v>
      </c>
      <c r="B393" s="959" t="s">
        <v>457</v>
      </c>
    </row>
    <row r="394" spans="1:2" x14ac:dyDescent="0.4">
      <c r="A394" s="959" t="s">
        <v>1313</v>
      </c>
      <c r="B394" s="959" t="s">
        <v>1365</v>
      </c>
    </row>
    <row r="395" spans="1:2" x14ac:dyDescent="0.4">
      <c r="A395" s="959" t="s">
        <v>1314</v>
      </c>
      <c r="B395" s="959" t="s">
        <v>457</v>
      </c>
    </row>
    <row r="396" spans="1:2" x14ac:dyDescent="0.4">
      <c r="A396" s="959" t="s">
        <v>1315</v>
      </c>
      <c r="B396" s="959" t="s">
        <v>1366</v>
      </c>
    </row>
    <row r="397" spans="1:2" x14ac:dyDescent="0.4">
      <c r="A397" s="959" t="s">
        <v>1316</v>
      </c>
      <c r="B397" s="959" t="s">
        <v>1367</v>
      </c>
    </row>
    <row r="398" spans="1:2" x14ac:dyDescent="0.4">
      <c r="A398" s="959" t="s">
        <v>1317</v>
      </c>
      <c r="B398" s="959" t="s">
        <v>1368</v>
      </c>
    </row>
    <row r="399" spans="1:2" x14ac:dyDescent="0.4">
      <c r="A399" s="959" t="s">
        <v>1318</v>
      </c>
      <c r="B399" s="959" t="s">
        <v>1368</v>
      </c>
    </row>
    <row r="400" spans="1:2" ht="14.25" x14ac:dyDescent="0.4">
      <c r="A400" s="1026" t="s">
        <v>1319</v>
      </c>
      <c r="B400" s="959" t="s">
        <v>457</v>
      </c>
    </row>
    <row r="401" spans="1:2" ht="14.25" x14ac:dyDescent="0.4">
      <c r="A401" s="1026" t="s">
        <v>1320</v>
      </c>
      <c r="B401" s="959" t="s">
        <v>1369</v>
      </c>
    </row>
    <row r="402" spans="1:2" ht="14.25" x14ac:dyDescent="0.4">
      <c r="A402" s="1026" t="s">
        <v>1321</v>
      </c>
      <c r="B402" s="959" t="s">
        <v>1368</v>
      </c>
    </row>
    <row r="403" spans="1:2" ht="14.25" x14ac:dyDescent="0.4">
      <c r="A403" s="1026" t="s">
        <v>1322</v>
      </c>
      <c r="B403" s="959" t="s">
        <v>1368</v>
      </c>
    </row>
    <row r="404" spans="1:2" ht="14.25" x14ac:dyDescent="0.4">
      <c r="A404" s="1026" t="s">
        <v>1323</v>
      </c>
      <c r="B404" s="959" t="s">
        <v>457</v>
      </c>
    </row>
    <row r="405" spans="1:2" ht="14.25" x14ac:dyDescent="0.4">
      <c r="A405" s="1026" t="s">
        <v>1324</v>
      </c>
      <c r="B405" s="959" t="s">
        <v>457</v>
      </c>
    </row>
    <row r="406" spans="1:2" ht="14.25" x14ac:dyDescent="0.4">
      <c r="A406" s="1026" t="s">
        <v>1325</v>
      </c>
      <c r="B406" s="959" t="s">
        <v>457</v>
      </c>
    </row>
    <row r="407" spans="1:2" ht="14.25" x14ac:dyDescent="0.4">
      <c r="A407" s="1026" t="s">
        <v>1326</v>
      </c>
      <c r="B407" s="959" t="s">
        <v>1368</v>
      </c>
    </row>
    <row r="408" spans="1:2" ht="14.25" x14ac:dyDescent="0.4">
      <c r="A408" s="1026" t="s">
        <v>1327</v>
      </c>
      <c r="B408" s="959" t="s">
        <v>457</v>
      </c>
    </row>
    <row r="409" spans="1:2" ht="14.25" x14ac:dyDescent="0.4">
      <c r="A409" s="1026" t="s">
        <v>1328</v>
      </c>
      <c r="B409" s="959" t="s">
        <v>1369</v>
      </c>
    </row>
    <row r="410" spans="1:2" ht="14.25" x14ac:dyDescent="0.4">
      <c r="A410" s="1026" t="s">
        <v>1329</v>
      </c>
      <c r="B410" s="169" t="s">
        <v>1374</v>
      </c>
    </row>
    <row r="411" spans="1:2" ht="14.25" x14ac:dyDescent="0.4">
      <c r="A411" s="1026" t="s">
        <v>1330</v>
      </c>
      <c r="B411" s="169" t="s">
        <v>1375</v>
      </c>
    </row>
    <row r="412" spans="1:2" ht="14.25" x14ac:dyDescent="0.4">
      <c r="A412" s="1026" t="s">
        <v>1331</v>
      </c>
      <c r="B412" s="959" t="s">
        <v>1376</v>
      </c>
    </row>
    <row r="413" spans="1:2" ht="14.25" x14ac:dyDescent="0.4">
      <c r="A413" s="1026" t="s">
        <v>1332</v>
      </c>
      <c r="B413" s="959" t="s">
        <v>1370</v>
      </c>
    </row>
    <row r="414" spans="1:2" ht="14.25" x14ac:dyDescent="0.4">
      <c r="A414" s="1026" t="s">
        <v>1333</v>
      </c>
      <c r="B414" s="959" t="s">
        <v>1371</v>
      </c>
    </row>
    <row r="415" spans="1:2" ht="14.25" x14ac:dyDescent="0.4">
      <c r="A415" s="1026" t="s">
        <v>1334</v>
      </c>
      <c r="B415" s="959" t="s">
        <v>1365</v>
      </c>
    </row>
    <row r="416" spans="1:2" ht="14.25" x14ac:dyDescent="0.4">
      <c r="A416" s="1026" t="s">
        <v>1335</v>
      </c>
      <c r="B416" s="959" t="s">
        <v>1364</v>
      </c>
    </row>
    <row r="417" spans="1:2" ht="14.25" x14ac:dyDescent="0.4">
      <c r="A417" s="1026" t="s">
        <v>1336</v>
      </c>
      <c r="B417" s="959" t="s">
        <v>457</v>
      </c>
    </row>
    <row r="418" spans="1:2" ht="14.25" x14ac:dyDescent="0.4">
      <c r="A418" s="1026" t="s">
        <v>1337</v>
      </c>
      <c r="B418" s="959" t="s">
        <v>1372</v>
      </c>
    </row>
    <row r="419" spans="1:2" ht="14.25" x14ac:dyDescent="0.4">
      <c r="A419" s="1026" t="s">
        <v>1338</v>
      </c>
      <c r="B419" s="959" t="s">
        <v>1370</v>
      </c>
    </row>
    <row r="420" spans="1:2" ht="14.25" x14ac:dyDescent="0.4">
      <c r="A420" s="1026" t="s">
        <v>1339</v>
      </c>
      <c r="B420" s="959" t="s">
        <v>457</v>
      </c>
    </row>
    <row r="421" spans="1:2" ht="14.25" x14ac:dyDescent="0.4">
      <c r="A421" s="1026" t="s">
        <v>1340</v>
      </c>
      <c r="B421" s="959" t="s">
        <v>1370</v>
      </c>
    </row>
    <row r="422" spans="1:2" ht="14.25" x14ac:dyDescent="0.4">
      <c r="A422" s="1026" t="s">
        <v>1341</v>
      </c>
      <c r="B422" s="959" t="s">
        <v>1373</v>
      </c>
    </row>
    <row r="423" spans="1:2" ht="14.25" x14ac:dyDescent="0.4">
      <c r="A423" s="1026" t="s">
        <v>1342</v>
      </c>
      <c r="B423" s="959" t="s">
        <v>1373</v>
      </c>
    </row>
    <row r="424" spans="1:2" ht="14.25" x14ac:dyDescent="0.4">
      <c r="A424" s="1026" t="s">
        <v>1343</v>
      </c>
      <c r="B424" s="959" t="s">
        <v>1370</v>
      </c>
    </row>
    <row r="425" spans="1:2" ht="14.65" thickBot="1" x14ac:dyDescent="0.45">
      <c r="A425" s="1027" t="s">
        <v>1344</v>
      </c>
      <c r="B425" s="959" t="s">
        <v>457</v>
      </c>
    </row>
    <row r="426" spans="1:2" x14ac:dyDescent="0.4">
      <c r="A426" s="1030" t="s">
        <v>1345</v>
      </c>
      <c r="B426" s="959" t="s">
        <v>457</v>
      </c>
    </row>
    <row r="427" spans="1:2" x14ac:dyDescent="0.4">
      <c r="A427" s="1030" t="s">
        <v>1346</v>
      </c>
      <c r="B427" s="959" t="s">
        <v>457</v>
      </c>
    </row>
  </sheetData>
  <phoneticPr fontId="4" type="noConversion"/>
  <conditionalFormatting sqref="A85:A91">
    <cfRule type="duplicateValues" dxfId="34" priority="33"/>
  </conditionalFormatting>
  <conditionalFormatting sqref="A92:A101">
    <cfRule type="duplicateValues" dxfId="33" priority="32"/>
  </conditionalFormatting>
  <conditionalFormatting sqref="A119:A134">
    <cfRule type="duplicateValues" dxfId="32" priority="31"/>
  </conditionalFormatting>
  <conditionalFormatting sqref="A135:A151">
    <cfRule type="duplicateValues" dxfId="31" priority="30"/>
  </conditionalFormatting>
  <conditionalFormatting sqref="A152:A167">
    <cfRule type="duplicateValues" dxfId="30" priority="29"/>
  </conditionalFormatting>
  <conditionalFormatting sqref="A168:A204">
    <cfRule type="duplicateValues" dxfId="29" priority="28"/>
  </conditionalFormatting>
  <conditionalFormatting sqref="A205:A211">
    <cfRule type="duplicateValues" dxfId="28" priority="27"/>
  </conditionalFormatting>
  <conditionalFormatting sqref="A212:A218">
    <cfRule type="duplicateValues" dxfId="27" priority="26"/>
  </conditionalFormatting>
  <conditionalFormatting sqref="A219:A226">
    <cfRule type="duplicateValues" dxfId="26" priority="25"/>
  </conditionalFormatting>
  <conditionalFormatting sqref="A227:A231">
    <cfRule type="duplicateValues" dxfId="25" priority="24"/>
  </conditionalFormatting>
  <conditionalFormatting sqref="A232:A233">
    <cfRule type="duplicateValues" dxfId="24" priority="23"/>
  </conditionalFormatting>
  <conditionalFormatting sqref="A234">
    <cfRule type="duplicateValues" dxfId="23" priority="22"/>
  </conditionalFormatting>
  <conditionalFormatting sqref="A235:A256">
    <cfRule type="duplicateValues" dxfId="22" priority="21"/>
  </conditionalFormatting>
  <conditionalFormatting sqref="A257:A270">
    <cfRule type="duplicateValues" dxfId="21" priority="20"/>
  </conditionalFormatting>
  <conditionalFormatting sqref="A271:A277">
    <cfRule type="duplicateValues" dxfId="20" priority="19"/>
  </conditionalFormatting>
  <conditionalFormatting sqref="A278:A285">
    <cfRule type="duplicateValues" dxfId="19" priority="18"/>
  </conditionalFormatting>
  <conditionalFormatting sqref="A286:A291">
    <cfRule type="duplicateValues" dxfId="18" priority="17"/>
  </conditionalFormatting>
  <conditionalFormatting sqref="A292:A295">
    <cfRule type="duplicateValues" dxfId="17" priority="16"/>
  </conditionalFormatting>
  <conditionalFormatting sqref="A296:A302">
    <cfRule type="duplicateValues" dxfId="16" priority="15"/>
  </conditionalFormatting>
  <conditionalFormatting sqref="A303:A310">
    <cfRule type="duplicateValues" dxfId="15" priority="14"/>
  </conditionalFormatting>
  <conditionalFormatting sqref="A311:A317">
    <cfRule type="duplicateValues" dxfId="14" priority="13"/>
  </conditionalFormatting>
  <conditionalFormatting sqref="A318:A323">
    <cfRule type="duplicateValues" dxfId="13" priority="12"/>
  </conditionalFormatting>
  <conditionalFormatting sqref="A324:A329">
    <cfRule type="duplicateValues" dxfId="12" priority="11"/>
  </conditionalFormatting>
  <conditionalFormatting sqref="A330:A336">
    <cfRule type="duplicateValues" dxfId="11" priority="10"/>
  </conditionalFormatting>
  <conditionalFormatting sqref="A337:A339">
    <cfRule type="duplicateValues" dxfId="10" priority="9"/>
  </conditionalFormatting>
  <conditionalFormatting sqref="A340:A344">
    <cfRule type="duplicateValues" dxfId="9" priority="8"/>
  </conditionalFormatting>
  <conditionalFormatting sqref="A345:A347">
    <cfRule type="duplicateValues" dxfId="8" priority="7"/>
  </conditionalFormatting>
  <conditionalFormatting sqref="A348:A349">
    <cfRule type="duplicateValues" dxfId="7" priority="6"/>
  </conditionalFormatting>
  <conditionalFormatting sqref="A350:A353">
    <cfRule type="duplicateValues" dxfId="6" priority="5"/>
  </conditionalFormatting>
  <conditionalFormatting sqref="A354:A376">
    <cfRule type="duplicateValues" dxfId="5" priority="4"/>
  </conditionalFormatting>
  <conditionalFormatting sqref="A426:A427">
    <cfRule type="duplicateValues" dxfId="4" priority="3"/>
  </conditionalFormatting>
  <conditionalFormatting sqref="A377:A399">
    <cfRule type="duplicateValues" dxfId="3" priority="2"/>
  </conditionalFormatting>
  <conditionalFormatting sqref="B377:B409 B412:B427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1028"/>
  <sheetViews>
    <sheetView showGridLines="0" topLeftCell="A330" workbookViewId="0">
      <selection activeCell="G354" sqref="G354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7" width="9.73046875" style="626" customWidth="1"/>
    <col min="8" max="8" width="12.59765625" style="626" customWidth="1"/>
    <col min="9" max="27" width="9.73046875" style="626" customWidth="1"/>
    <col min="28" max="28" width="14.3984375" style="626" bestFit="1" customWidth="1"/>
    <col min="29" max="31" width="9.73046875" style="626" customWidth="1"/>
    <col min="32" max="32" width="11.265625" style="626" customWidth="1"/>
    <col min="33" max="35" width="9.73046875" style="626" customWidth="1"/>
    <col min="36" max="36" width="11.265625" style="626" customWidth="1"/>
    <col min="37" max="39" width="9.73046875" style="626" customWidth="1"/>
    <col min="40" max="40" width="11.265625" style="626" customWidth="1"/>
    <col min="41" max="43" width="9.73046875" style="626" customWidth="1"/>
    <col min="44" max="44" width="14.1328125" style="626" customWidth="1"/>
    <col min="45" max="45" width="9.73046875" style="626" customWidth="1"/>
    <col min="46" max="46" width="14.3984375" style="626" bestFit="1" customWidth="1"/>
    <col min="47" max="47" width="9.19921875" style="183" bestFit="1" customWidth="1"/>
    <col min="48" max="255" width="9.06640625" style="183"/>
    <col min="256" max="256" width="0" style="183" hidden="1" customWidth="1"/>
    <col min="257" max="257" width="4.46484375" style="183" customWidth="1"/>
    <col min="258" max="258" width="26.73046875" style="183" customWidth="1"/>
    <col min="259" max="259" width="0.59765625" style="183" customWidth="1"/>
    <col min="260" max="285" width="9.73046875" style="183" customWidth="1"/>
    <col min="286" max="511" width="9.06640625" style="183"/>
    <col min="512" max="512" width="0" style="183" hidden="1" customWidth="1"/>
    <col min="513" max="513" width="4.46484375" style="183" customWidth="1"/>
    <col min="514" max="514" width="26.73046875" style="183" customWidth="1"/>
    <col min="515" max="515" width="0.59765625" style="183" customWidth="1"/>
    <col min="516" max="541" width="9.73046875" style="183" customWidth="1"/>
    <col min="542" max="767" width="9.06640625" style="183"/>
    <col min="768" max="768" width="0" style="183" hidden="1" customWidth="1"/>
    <col min="769" max="769" width="4.46484375" style="183" customWidth="1"/>
    <col min="770" max="770" width="26.73046875" style="183" customWidth="1"/>
    <col min="771" max="771" width="0.59765625" style="183" customWidth="1"/>
    <col min="772" max="797" width="9.73046875" style="183" customWidth="1"/>
    <col min="798" max="1023" width="9.06640625" style="183"/>
    <col min="1024" max="1024" width="0" style="183" hidden="1" customWidth="1"/>
    <col min="1025" max="1025" width="4.46484375" style="183" customWidth="1"/>
    <col min="1026" max="1026" width="26.73046875" style="183" customWidth="1"/>
    <col min="1027" max="1027" width="0.59765625" style="183" customWidth="1"/>
    <col min="1028" max="1053" width="9.73046875" style="183" customWidth="1"/>
    <col min="1054" max="1279" width="9.06640625" style="183"/>
    <col min="1280" max="1280" width="0" style="183" hidden="1" customWidth="1"/>
    <col min="1281" max="1281" width="4.46484375" style="183" customWidth="1"/>
    <col min="1282" max="1282" width="26.73046875" style="183" customWidth="1"/>
    <col min="1283" max="1283" width="0.59765625" style="183" customWidth="1"/>
    <col min="1284" max="1309" width="9.73046875" style="183" customWidth="1"/>
    <col min="1310" max="1535" width="9.06640625" style="183"/>
    <col min="1536" max="1536" width="0" style="183" hidden="1" customWidth="1"/>
    <col min="1537" max="1537" width="4.46484375" style="183" customWidth="1"/>
    <col min="1538" max="1538" width="26.73046875" style="183" customWidth="1"/>
    <col min="1539" max="1539" width="0.59765625" style="183" customWidth="1"/>
    <col min="1540" max="1565" width="9.73046875" style="183" customWidth="1"/>
    <col min="1566" max="1791" width="9.06640625" style="183"/>
    <col min="1792" max="1792" width="0" style="183" hidden="1" customWidth="1"/>
    <col min="1793" max="1793" width="4.46484375" style="183" customWidth="1"/>
    <col min="1794" max="1794" width="26.73046875" style="183" customWidth="1"/>
    <col min="1795" max="1795" width="0.59765625" style="183" customWidth="1"/>
    <col min="1796" max="1821" width="9.73046875" style="183" customWidth="1"/>
    <col min="1822" max="2047" width="9.06640625" style="183"/>
    <col min="2048" max="2048" width="0" style="183" hidden="1" customWidth="1"/>
    <col min="2049" max="2049" width="4.46484375" style="183" customWidth="1"/>
    <col min="2050" max="2050" width="26.73046875" style="183" customWidth="1"/>
    <col min="2051" max="2051" width="0.59765625" style="183" customWidth="1"/>
    <col min="2052" max="2077" width="9.73046875" style="183" customWidth="1"/>
    <col min="2078" max="2303" width="9.06640625" style="183"/>
    <col min="2304" max="2304" width="0" style="183" hidden="1" customWidth="1"/>
    <col min="2305" max="2305" width="4.46484375" style="183" customWidth="1"/>
    <col min="2306" max="2306" width="26.73046875" style="183" customWidth="1"/>
    <col min="2307" max="2307" width="0.59765625" style="183" customWidth="1"/>
    <col min="2308" max="2333" width="9.73046875" style="183" customWidth="1"/>
    <col min="2334" max="2559" width="9.06640625" style="183"/>
    <col min="2560" max="2560" width="0" style="183" hidden="1" customWidth="1"/>
    <col min="2561" max="2561" width="4.46484375" style="183" customWidth="1"/>
    <col min="2562" max="2562" width="26.73046875" style="183" customWidth="1"/>
    <col min="2563" max="2563" width="0.59765625" style="183" customWidth="1"/>
    <col min="2564" max="2589" width="9.73046875" style="183" customWidth="1"/>
    <col min="2590" max="2815" width="9.06640625" style="183"/>
    <col min="2816" max="2816" width="0" style="183" hidden="1" customWidth="1"/>
    <col min="2817" max="2817" width="4.46484375" style="183" customWidth="1"/>
    <col min="2818" max="2818" width="26.73046875" style="183" customWidth="1"/>
    <col min="2819" max="2819" width="0.59765625" style="183" customWidth="1"/>
    <col min="2820" max="2845" width="9.73046875" style="183" customWidth="1"/>
    <col min="2846" max="3071" width="9.06640625" style="183"/>
    <col min="3072" max="3072" width="0" style="183" hidden="1" customWidth="1"/>
    <col min="3073" max="3073" width="4.46484375" style="183" customWidth="1"/>
    <col min="3074" max="3074" width="26.73046875" style="183" customWidth="1"/>
    <col min="3075" max="3075" width="0.59765625" style="183" customWidth="1"/>
    <col min="3076" max="3101" width="9.73046875" style="183" customWidth="1"/>
    <col min="3102" max="3327" width="9.06640625" style="183"/>
    <col min="3328" max="3328" width="0" style="183" hidden="1" customWidth="1"/>
    <col min="3329" max="3329" width="4.46484375" style="183" customWidth="1"/>
    <col min="3330" max="3330" width="26.73046875" style="183" customWidth="1"/>
    <col min="3331" max="3331" width="0.59765625" style="183" customWidth="1"/>
    <col min="3332" max="3357" width="9.73046875" style="183" customWidth="1"/>
    <col min="3358" max="3583" width="9.06640625" style="183"/>
    <col min="3584" max="3584" width="0" style="183" hidden="1" customWidth="1"/>
    <col min="3585" max="3585" width="4.46484375" style="183" customWidth="1"/>
    <col min="3586" max="3586" width="26.73046875" style="183" customWidth="1"/>
    <col min="3587" max="3587" width="0.59765625" style="183" customWidth="1"/>
    <col min="3588" max="3613" width="9.73046875" style="183" customWidth="1"/>
    <col min="3614" max="3839" width="9.06640625" style="183"/>
    <col min="3840" max="3840" width="0" style="183" hidden="1" customWidth="1"/>
    <col min="3841" max="3841" width="4.46484375" style="183" customWidth="1"/>
    <col min="3842" max="3842" width="26.73046875" style="183" customWidth="1"/>
    <col min="3843" max="3843" width="0.59765625" style="183" customWidth="1"/>
    <col min="3844" max="3869" width="9.73046875" style="183" customWidth="1"/>
    <col min="3870" max="4095" width="9.06640625" style="183"/>
    <col min="4096" max="4096" width="0" style="183" hidden="1" customWidth="1"/>
    <col min="4097" max="4097" width="4.46484375" style="183" customWidth="1"/>
    <col min="4098" max="4098" width="26.73046875" style="183" customWidth="1"/>
    <col min="4099" max="4099" width="0.59765625" style="183" customWidth="1"/>
    <col min="4100" max="4125" width="9.73046875" style="183" customWidth="1"/>
    <col min="4126" max="4351" width="9.06640625" style="183"/>
    <col min="4352" max="4352" width="0" style="183" hidden="1" customWidth="1"/>
    <col min="4353" max="4353" width="4.46484375" style="183" customWidth="1"/>
    <col min="4354" max="4354" width="26.73046875" style="183" customWidth="1"/>
    <col min="4355" max="4355" width="0.59765625" style="183" customWidth="1"/>
    <col min="4356" max="4381" width="9.73046875" style="183" customWidth="1"/>
    <col min="4382" max="4607" width="9.06640625" style="183"/>
    <col min="4608" max="4608" width="0" style="183" hidden="1" customWidth="1"/>
    <col min="4609" max="4609" width="4.46484375" style="183" customWidth="1"/>
    <col min="4610" max="4610" width="26.73046875" style="183" customWidth="1"/>
    <col min="4611" max="4611" width="0.59765625" style="183" customWidth="1"/>
    <col min="4612" max="4637" width="9.73046875" style="183" customWidth="1"/>
    <col min="4638" max="4863" width="9.06640625" style="183"/>
    <col min="4864" max="4864" width="0" style="183" hidden="1" customWidth="1"/>
    <col min="4865" max="4865" width="4.46484375" style="183" customWidth="1"/>
    <col min="4866" max="4866" width="26.73046875" style="183" customWidth="1"/>
    <col min="4867" max="4867" width="0.59765625" style="183" customWidth="1"/>
    <col min="4868" max="4893" width="9.73046875" style="183" customWidth="1"/>
    <col min="4894" max="5119" width="9.06640625" style="183"/>
    <col min="5120" max="5120" width="0" style="183" hidden="1" customWidth="1"/>
    <col min="5121" max="5121" width="4.46484375" style="183" customWidth="1"/>
    <col min="5122" max="5122" width="26.73046875" style="183" customWidth="1"/>
    <col min="5123" max="5123" width="0.59765625" style="183" customWidth="1"/>
    <col min="5124" max="5149" width="9.73046875" style="183" customWidth="1"/>
    <col min="5150" max="5375" width="9.06640625" style="183"/>
    <col min="5376" max="5376" width="0" style="183" hidden="1" customWidth="1"/>
    <col min="5377" max="5377" width="4.46484375" style="183" customWidth="1"/>
    <col min="5378" max="5378" width="26.73046875" style="183" customWidth="1"/>
    <col min="5379" max="5379" width="0.59765625" style="183" customWidth="1"/>
    <col min="5380" max="5405" width="9.73046875" style="183" customWidth="1"/>
    <col min="5406" max="5631" width="9.06640625" style="183"/>
    <col min="5632" max="5632" width="0" style="183" hidden="1" customWidth="1"/>
    <col min="5633" max="5633" width="4.46484375" style="183" customWidth="1"/>
    <col min="5634" max="5634" width="26.73046875" style="183" customWidth="1"/>
    <col min="5635" max="5635" width="0.59765625" style="183" customWidth="1"/>
    <col min="5636" max="5661" width="9.73046875" style="183" customWidth="1"/>
    <col min="5662" max="5887" width="9.06640625" style="183"/>
    <col min="5888" max="5888" width="0" style="183" hidden="1" customWidth="1"/>
    <col min="5889" max="5889" width="4.46484375" style="183" customWidth="1"/>
    <col min="5890" max="5890" width="26.73046875" style="183" customWidth="1"/>
    <col min="5891" max="5891" width="0.59765625" style="183" customWidth="1"/>
    <col min="5892" max="5917" width="9.73046875" style="183" customWidth="1"/>
    <col min="5918" max="6143" width="9.06640625" style="183"/>
    <col min="6144" max="6144" width="0" style="183" hidden="1" customWidth="1"/>
    <col min="6145" max="6145" width="4.46484375" style="183" customWidth="1"/>
    <col min="6146" max="6146" width="26.73046875" style="183" customWidth="1"/>
    <col min="6147" max="6147" width="0.59765625" style="183" customWidth="1"/>
    <col min="6148" max="6173" width="9.73046875" style="183" customWidth="1"/>
    <col min="6174" max="6399" width="9.06640625" style="183"/>
    <col min="6400" max="6400" width="0" style="183" hidden="1" customWidth="1"/>
    <col min="6401" max="6401" width="4.46484375" style="183" customWidth="1"/>
    <col min="6402" max="6402" width="26.73046875" style="183" customWidth="1"/>
    <col min="6403" max="6403" width="0.59765625" style="183" customWidth="1"/>
    <col min="6404" max="6429" width="9.73046875" style="183" customWidth="1"/>
    <col min="6430" max="6655" width="9.06640625" style="183"/>
    <col min="6656" max="6656" width="0" style="183" hidden="1" customWidth="1"/>
    <col min="6657" max="6657" width="4.46484375" style="183" customWidth="1"/>
    <col min="6658" max="6658" width="26.73046875" style="183" customWidth="1"/>
    <col min="6659" max="6659" width="0.59765625" style="183" customWidth="1"/>
    <col min="6660" max="6685" width="9.73046875" style="183" customWidth="1"/>
    <col min="6686" max="6911" width="9.06640625" style="183"/>
    <col min="6912" max="6912" width="0" style="183" hidden="1" customWidth="1"/>
    <col min="6913" max="6913" width="4.46484375" style="183" customWidth="1"/>
    <col min="6914" max="6914" width="26.73046875" style="183" customWidth="1"/>
    <col min="6915" max="6915" width="0.59765625" style="183" customWidth="1"/>
    <col min="6916" max="6941" width="9.73046875" style="183" customWidth="1"/>
    <col min="6942" max="7167" width="9.06640625" style="183"/>
    <col min="7168" max="7168" width="0" style="183" hidden="1" customWidth="1"/>
    <col min="7169" max="7169" width="4.46484375" style="183" customWidth="1"/>
    <col min="7170" max="7170" width="26.73046875" style="183" customWidth="1"/>
    <col min="7171" max="7171" width="0.59765625" style="183" customWidth="1"/>
    <col min="7172" max="7197" width="9.73046875" style="183" customWidth="1"/>
    <col min="7198" max="7423" width="9.06640625" style="183"/>
    <col min="7424" max="7424" width="0" style="183" hidden="1" customWidth="1"/>
    <col min="7425" max="7425" width="4.46484375" style="183" customWidth="1"/>
    <col min="7426" max="7426" width="26.73046875" style="183" customWidth="1"/>
    <col min="7427" max="7427" width="0.59765625" style="183" customWidth="1"/>
    <col min="7428" max="7453" width="9.73046875" style="183" customWidth="1"/>
    <col min="7454" max="7679" width="9.06640625" style="183"/>
    <col min="7680" max="7680" width="0" style="183" hidden="1" customWidth="1"/>
    <col min="7681" max="7681" width="4.46484375" style="183" customWidth="1"/>
    <col min="7682" max="7682" width="26.73046875" style="183" customWidth="1"/>
    <col min="7683" max="7683" width="0.59765625" style="183" customWidth="1"/>
    <col min="7684" max="7709" width="9.73046875" style="183" customWidth="1"/>
    <col min="7710" max="7935" width="9.06640625" style="183"/>
    <col min="7936" max="7936" width="0" style="183" hidden="1" customWidth="1"/>
    <col min="7937" max="7937" width="4.46484375" style="183" customWidth="1"/>
    <col min="7938" max="7938" width="26.73046875" style="183" customWidth="1"/>
    <col min="7939" max="7939" width="0.59765625" style="183" customWidth="1"/>
    <col min="7940" max="7965" width="9.73046875" style="183" customWidth="1"/>
    <col min="7966" max="8191" width="9.06640625" style="183"/>
    <col min="8192" max="8192" width="0" style="183" hidden="1" customWidth="1"/>
    <col min="8193" max="8193" width="4.46484375" style="183" customWidth="1"/>
    <col min="8194" max="8194" width="26.73046875" style="183" customWidth="1"/>
    <col min="8195" max="8195" width="0.59765625" style="183" customWidth="1"/>
    <col min="8196" max="8221" width="9.73046875" style="183" customWidth="1"/>
    <col min="8222" max="8447" width="9.06640625" style="183"/>
    <col min="8448" max="8448" width="0" style="183" hidden="1" customWidth="1"/>
    <col min="8449" max="8449" width="4.46484375" style="183" customWidth="1"/>
    <col min="8450" max="8450" width="26.73046875" style="183" customWidth="1"/>
    <col min="8451" max="8451" width="0.59765625" style="183" customWidth="1"/>
    <col min="8452" max="8477" width="9.73046875" style="183" customWidth="1"/>
    <col min="8478" max="8703" width="9.06640625" style="183"/>
    <col min="8704" max="8704" width="0" style="183" hidden="1" customWidth="1"/>
    <col min="8705" max="8705" width="4.46484375" style="183" customWidth="1"/>
    <col min="8706" max="8706" width="26.73046875" style="183" customWidth="1"/>
    <col min="8707" max="8707" width="0.59765625" style="183" customWidth="1"/>
    <col min="8708" max="8733" width="9.73046875" style="183" customWidth="1"/>
    <col min="8734" max="8959" width="9.06640625" style="183"/>
    <col min="8960" max="8960" width="0" style="183" hidden="1" customWidth="1"/>
    <col min="8961" max="8961" width="4.46484375" style="183" customWidth="1"/>
    <col min="8962" max="8962" width="26.73046875" style="183" customWidth="1"/>
    <col min="8963" max="8963" width="0.59765625" style="183" customWidth="1"/>
    <col min="8964" max="8989" width="9.73046875" style="183" customWidth="1"/>
    <col min="8990" max="9215" width="9.06640625" style="183"/>
    <col min="9216" max="9216" width="0" style="183" hidden="1" customWidth="1"/>
    <col min="9217" max="9217" width="4.46484375" style="183" customWidth="1"/>
    <col min="9218" max="9218" width="26.73046875" style="183" customWidth="1"/>
    <col min="9219" max="9219" width="0.59765625" style="183" customWidth="1"/>
    <col min="9220" max="9245" width="9.73046875" style="183" customWidth="1"/>
    <col min="9246" max="9471" width="9.06640625" style="183"/>
    <col min="9472" max="9472" width="0" style="183" hidden="1" customWidth="1"/>
    <col min="9473" max="9473" width="4.46484375" style="183" customWidth="1"/>
    <col min="9474" max="9474" width="26.73046875" style="183" customWidth="1"/>
    <col min="9475" max="9475" width="0.59765625" style="183" customWidth="1"/>
    <col min="9476" max="9501" width="9.73046875" style="183" customWidth="1"/>
    <col min="9502" max="9727" width="9.06640625" style="183"/>
    <col min="9728" max="9728" width="0" style="183" hidden="1" customWidth="1"/>
    <col min="9729" max="9729" width="4.46484375" style="183" customWidth="1"/>
    <col min="9730" max="9730" width="26.73046875" style="183" customWidth="1"/>
    <col min="9731" max="9731" width="0.59765625" style="183" customWidth="1"/>
    <col min="9732" max="9757" width="9.73046875" style="183" customWidth="1"/>
    <col min="9758" max="9983" width="9.06640625" style="183"/>
    <col min="9984" max="9984" width="0" style="183" hidden="1" customWidth="1"/>
    <col min="9985" max="9985" width="4.46484375" style="183" customWidth="1"/>
    <col min="9986" max="9986" width="26.73046875" style="183" customWidth="1"/>
    <col min="9987" max="9987" width="0.59765625" style="183" customWidth="1"/>
    <col min="9988" max="10013" width="9.73046875" style="183" customWidth="1"/>
    <col min="10014" max="10239" width="9.06640625" style="183"/>
    <col min="10240" max="10240" width="0" style="183" hidden="1" customWidth="1"/>
    <col min="10241" max="10241" width="4.46484375" style="183" customWidth="1"/>
    <col min="10242" max="10242" width="26.73046875" style="183" customWidth="1"/>
    <col min="10243" max="10243" width="0.59765625" style="183" customWidth="1"/>
    <col min="10244" max="10269" width="9.73046875" style="183" customWidth="1"/>
    <col min="10270" max="10495" width="9.06640625" style="183"/>
    <col min="10496" max="10496" width="0" style="183" hidden="1" customWidth="1"/>
    <col min="10497" max="10497" width="4.46484375" style="183" customWidth="1"/>
    <col min="10498" max="10498" width="26.73046875" style="183" customWidth="1"/>
    <col min="10499" max="10499" width="0.59765625" style="183" customWidth="1"/>
    <col min="10500" max="10525" width="9.73046875" style="183" customWidth="1"/>
    <col min="10526" max="10751" width="9.06640625" style="183"/>
    <col min="10752" max="10752" width="0" style="183" hidden="1" customWidth="1"/>
    <col min="10753" max="10753" width="4.46484375" style="183" customWidth="1"/>
    <col min="10754" max="10754" width="26.73046875" style="183" customWidth="1"/>
    <col min="10755" max="10755" width="0.59765625" style="183" customWidth="1"/>
    <col min="10756" max="10781" width="9.73046875" style="183" customWidth="1"/>
    <col min="10782" max="11007" width="9.06640625" style="183"/>
    <col min="11008" max="11008" width="0" style="183" hidden="1" customWidth="1"/>
    <col min="11009" max="11009" width="4.46484375" style="183" customWidth="1"/>
    <col min="11010" max="11010" width="26.73046875" style="183" customWidth="1"/>
    <col min="11011" max="11011" width="0.59765625" style="183" customWidth="1"/>
    <col min="11012" max="11037" width="9.73046875" style="183" customWidth="1"/>
    <col min="11038" max="11263" width="9.06640625" style="183"/>
    <col min="11264" max="11264" width="0" style="183" hidden="1" customWidth="1"/>
    <col min="11265" max="11265" width="4.46484375" style="183" customWidth="1"/>
    <col min="11266" max="11266" width="26.73046875" style="183" customWidth="1"/>
    <col min="11267" max="11267" width="0.59765625" style="183" customWidth="1"/>
    <col min="11268" max="11293" width="9.73046875" style="183" customWidth="1"/>
    <col min="11294" max="11519" width="9.06640625" style="183"/>
    <col min="11520" max="11520" width="0" style="183" hidden="1" customWidth="1"/>
    <col min="11521" max="11521" width="4.46484375" style="183" customWidth="1"/>
    <col min="11522" max="11522" width="26.73046875" style="183" customWidth="1"/>
    <col min="11523" max="11523" width="0.59765625" style="183" customWidth="1"/>
    <col min="11524" max="11549" width="9.73046875" style="183" customWidth="1"/>
    <col min="11550" max="11775" width="9.06640625" style="183"/>
    <col min="11776" max="11776" width="0" style="183" hidden="1" customWidth="1"/>
    <col min="11777" max="11777" width="4.46484375" style="183" customWidth="1"/>
    <col min="11778" max="11778" width="26.73046875" style="183" customWidth="1"/>
    <col min="11779" max="11779" width="0.59765625" style="183" customWidth="1"/>
    <col min="11780" max="11805" width="9.73046875" style="183" customWidth="1"/>
    <col min="11806" max="12031" width="9.06640625" style="183"/>
    <col min="12032" max="12032" width="0" style="183" hidden="1" customWidth="1"/>
    <col min="12033" max="12033" width="4.46484375" style="183" customWidth="1"/>
    <col min="12034" max="12034" width="26.73046875" style="183" customWidth="1"/>
    <col min="12035" max="12035" width="0.59765625" style="183" customWidth="1"/>
    <col min="12036" max="12061" width="9.73046875" style="183" customWidth="1"/>
    <col min="12062" max="12287" width="9.06640625" style="183"/>
    <col min="12288" max="12288" width="0" style="183" hidden="1" customWidth="1"/>
    <col min="12289" max="12289" width="4.46484375" style="183" customWidth="1"/>
    <col min="12290" max="12290" width="26.73046875" style="183" customWidth="1"/>
    <col min="12291" max="12291" width="0.59765625" style="183" customWidth="1"/>
    <col min="12292" max="12317" width="9.73046875" style="183" customWidth="1"/>
    <col min="12318" max="12543" width="9.06640625" style="183"/>
    <col min="12544" max="12544" width="0" style="183" hidden="1" customWidth="1"/>
    <col min="12545" max="12545" width="4.46484375" style="183" customWidth="1"/>
    <col min="12546" max="12546" width="26.73046875" style="183" customWidth="1"/>
    <col min="12547" max="12547" width="0.59765625" style="183" customWidth="1"/>
    <col min="12548" max="12573" width="9.73046875" style="183" customWidth="1"/>
    <col min="12574" max="12799" width="9.06640625" style="183"/>
    <col min="12800" max="12800" width="0" style="183" hidden="1" customWidth="1"/>
    <col min="12801" max="12801" width="4.46484375" style="183" customWidth="1"/>
    <col min="12802" max="12802" width="26.73046875" style="183" customWidth="1"/>
    <col min="12803" max="12803" width="0.59765625" style="183" customWidth="1"/>
    <col min="12804" max="12829" width="9.73046875" style="183" customWidth="1"/>
    <col min="12830" max="13055" width="9.06640625" style="183"/>
    <col min="13056" max="13056" width="0" style="183" hidden="1" customWidth="1"/>
    <col min="13057" max="13057" width="4.46484375" style="183" customWidth="1"/>
    <col min="13058" max="13058" width="26.73046875" style="183" customWidth="1"/>
    <col min="13059" max="13059" width="0.59765625" style="183" customWidth="1"/>
    <col min="13060" max="13085" width="9.73046875" style="183" customWidth="1"/>
    <col min="13086" max="13311" width="9.06640625" style="183"/>
    <col min="13312" max="13312" width="0" style="183" hidden="1" customWidth="1"/>
    <col min="13313" max="13313" width="4.46484375" style="183" customWidth="1"/>
    <col min="13314" max="13314" width="26.73046875" style="183" customWidth="1"/>
    <col min="13315" max="13315" width="0.59765625" style="183" customWidth="1"/>
    <col min="13316" max="13341" width="9.73046875" style="183" customWidth="1"/>
    <col min="13342" max="13567" width="9.06640625" style="183"/>
    <col min="13568" max="13568" width="0" style="183" hidden="1" customWidth="1"/>
    <col min="13569" max="13569" width="4.46484375" style="183" customWidth="1"/>
    <col min="13570" max="13570" width="26.73046875" style="183" customWidth="1"/>
    <col min="13571" max="13571" width="0.59765625" style="183" customWidth="1"/>
    <col min="13572" max="13597" width="9.73046875" style="183" customWidth="1"/>
    <col min="13598" max="13823" width="9.06640625" style="183"/>
    <col min="13824" max="13824" width="0" style="183" hidden="1" customWidth="1"/>
    <col min="13825" max="13825" width="4.46484375" style="183" customWidth="1"/>
    <col min="13826" max="13826" width="26.73046875" style="183" customWidth="1"/>
    <col min="13827" max="13827" width="0.59765625" style="183" customWidth="1"/>
    <col min="13828" max="13853" width="9.73046875" style="183" customWidth="1"/>
    <col min="13854" max="14079" width="9.06640625" style="183"/>
    <col min="14080" max="14080" width="0" style="183" hidden="1" customWidth="1"/>
    <col min="14081" max="14081" width="4.46484375" style="183" customWidth="1"/>
    <col min="14082" max="14082" width="26.73046875" style="183" customWidth="1"/>
    <col min="14083" max="14083" width="0.59765625" style="183" customWidth="1"/>
    <col min="14084" max="14109" width="9.73046875" style="183" customWidth="1"/>
    <col min="14110" max="14335" width="9.06640625" style="183"/>
    <col min="14336" max="14336" width="0" style="183" hidden="1" customWidth="1"/>
    <col min="14337" max="14337" width="4.46484375" style="183" customWidth="1"/>
    <col min="14338" max="14338" width="26.73046875" style="183" customWidth="1"/>
    <col min="14339" max="14339" width="0.59765625" style="183" customWidth="1"/>
    <col min="14340" max="14365" width="9.73046875" style="183" customWidth="1"/>
    <col min="14366" max="14591" width="9.06640625" style="183"/>
    <col min="14592" max="14592" width="0" style="183" hidden="1" customWidth="1"/>
    <col min="14593" max="14593" width="4.46484375" style="183" customWidth="1"/>
    <col min="14594" max="14594" width="26.73046875" style="183" customWidth="1"/>
    <col min="14595" max="14595" width="0.59765625" style="183" customWidth="1"/>
    <col min="14596" max="14621" width="9.73046875" style="183" customWidth="1"/>
    <col min="14622" max="14847" width="9.06640625" style="183"/>
    <col min="14848" max="14848" width="0" style="183" hidden="1" customWidth="1"/>
    <col min="14849" max="14849" width="4.46484375" style="183" customWidth="1"/>
    <col min="14850" max="14850" width="26.73046875" style="183" customWidth="1"/>
    <col min="14851" max="14851" width="0.59765625" style="183" customWidth="1"/>
    <col min="14852" max="14877" width="9.73046875" style="183" customWidth="1"/>
    <col min="14878" max="15103" width="9.06640625" style="183"/>
    <col min="15104" max="15104" width="0" style="183" hidden="1" customWidth="1"/>
    <col min="15105" max="15105" width="4.46484375" style="183" customWidth="1"/>
    <col min="15106" max="15106" width="26.73046875" style="183" customWidth="1"/>
    <col min="15107" max="15107" width="0.59765625" style="183" customWidth="1"/>
    <col min="15108" max="15133" width="9.73046875" style="183" customWidth="1"/>
    <col min="15134" max="15359" width="9.06640625" style="183"/>
    <col min="15360" max="15360" width="0" style="183" hidden="1" customWidth="1"/>
    <col min="15361" max="15361" width="4.46484375" style="183" customWidth="1"/>
    <col min="15362" max="15362" width="26.73046875" style="183" customWidth="1"/>
    <col min="15363" max="15363" width="0.59765625" style="183" customWidth="1"/>
    <col min="15364" max="15389" width="9.73046875" style="183" customWidth="1"/>
    <col min="15390" max="15615" width="9.06640625" style="183"/>
    <col min="15616" max="15616" width="0" style="183" hidden="1" customWidth="1"/>
    <col min="15617" max="15617" width="4.46484375" style="183" customWidth="1"/>
    <col min="15618" max="15618" width="26.73046875" style="183" customWidth="1"/>
    <col min="15619" max="15619" width="0.59765625" style="183" customWidth="1"/>
    <col min="15620" max="15645" width="9.73046875" style="183" customWidth="1"/>
    <col min="15646" max="15871" width="9.06640625" style="183"/>
    <col min="15872" max="15872" width="0" style="183" hidden="1" customWidth="1"/>
    <col min="15873" max="15873" width="4.46484375" style="183" customWidth="1"/>
    <col min="15874" max="15874" width="26.73046875" style="183" customWidth="1"/>
    <col min="15875" max="15875" width="0.59765625" style="183" customWidth="1"/>
    <col min="15876" max="15901" width="9.73046875" style="183" customWidth="1"/>
    <col min="15902" max="16127" width="9.06640625" style="183"/>
    <col min="16128" max="16128" width="0" style="183" hidden="1" customWidth="1"/>
    <col min="16129" max="16129" width="4.46484375" style="183" customWidth="1"/>
    <col min="16130" max="16130" width="26.73046875" style="183" customWidth="1"/>
    <col min="16131" max="16131" width="0.59765625" style="183" customWidth="1"/>
    <col min="16132" max="16157" width="9.73046875" style="183" customWidth="1"/>
    <col min="16158" max="16384" width="9.06640625" style="183"/>
  </cols>
  <sheetData>
    <row r="1" spans="1:47" s="188" customFormat="1" x14ac:dyDescent="0.35">
      <c r="A1" s="187" t="s">
        <v>222</v>
      </c>
      <c r="C1" s="189" t="s">
        <v>771</v>
      </c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620"/>
      <c r="P1" s="620"/>
      <c r="Q1" s="620"/>
      <c r="R1" s="620"/>
      <c r="S1" s="620"/>
      <c r="T1" s="620"/>
      <c r="U1" s="620"/>
      <c r="V1" s="620"/>
      <c r="W1" s="620"/>
      <c r="X1" s="620"/>
      <c r="Y1" s="620"/>
      <c r="Z1" s="620"/>
      <c r="AA1" s="620"/>
      <c r="AB1" s="620"/>
      <c r="AC1" s="620"/>
      <c r="AD1" s="620"/>
      <c r="AE1" s="620"/>
      <c r="AF1" s="620"/>
      <c r="AG1" s="620"/>
      <c r="AH1" s="620"/>
      <c r="AI1" s="620"/>
      <c r="AJ1" s="620"/>
      <c r="AK1" s="620"/>
      <c r="AL1" s="620"/>
      <c r="AM1" s="620"/>
      <c r="AN1" s="620"/>
      <c r="AO1" s="620"/>
      <c r="AP1" s="620"/>
      <c r="AQ1" s="620"/>
      <c r="AR1" s="620"/>
      <c r="AS1" s="620"/>
      <c r="AT1" s="620"/>
    </row>
    <row r="2" spans="1:47" s="188" customFormat="1" x14ac:dyDescent="0.35">
      <c r="A2" s="187" t="s">
        <v>224</v>
      </c>
      <c r="C2" s="189" t="s">
        <v>772</v>
      </c>
      <c r="D2" s="620"/>
      <c r="E2" s="620"/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0"/>
      <c r="U2" s="620"/>
      <c r="V2" s="620"/>
      <c r="W2" s="620"/>
      <c r="X2" s="620"/>
      <c r="Y2" s="620"/>
      <c r="Z2" s="620"/>
      <c r="AA2" s="620"/>
      <c r="AB2" s="620"/>
      <c r="AC2" s="620"/>
      <c r="AD2" s="620"/>
      <c r="AE2" s="620"/>
      <c r="AF2" s="620"/>
      <c r="AG2" s="620"/>
      <c r="AH2" s="620"/>
      <c r="AI2" s="620"/>
      <c r="AJ2" s="620"/>
      <c r="AK2" s="620"/>
      <c r="AL2" s="620"/>
      <c r="AM2" s="620"/>
      <c r="AN2" s="620"/>
      <c r="AO2" s="620"/>
      <c r="AP2" s="620"/>
      <c r="AQ2" s="620"/>
      <c r="AR2" s="620"/>
      <c r="AS2" s="620"/>
      <c r="AT2" s="620"/>
    </row>
    <row r="3" spans="1:47" s="188" customFormat="1" x14ac:dyDescent="0.35">
      <c r="A3" s="187" t="s">
        <v>226</v>
      </c>
      <c r="C3" s="189" t="s">
        <v>227</v>
      </c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0"/>
      <c r="O3" s="620"/>
      <c r="P3" s="620"/>
      <c r="Q3" s="620"/>
      <c r="R3" s="620"/>
      <c r="S3" s="620"/>
      <c r="T3" s="620"/>
      <c r="U3" s="620"/>
      <c r="V3" s="620"/>
      <c r="W3" s="620"/>
      <c r="X3" s="620"/>
      <c r="Y3" s="620"/>
      <c r="Z3" s="620"/>
      <c r="AA3" s="620"/>
      <c r="AB3" s="620"/>
      <c r="AC3" s="620"/>
      <c r="AD3" s="620"/>
      <c r="AE3" s="620"/>
      <c r="AF3" s="620"/>
      <c r="AG3" s="620"/>
      <c r="AH3" s="620"/>
      <c r="AI3" s="620"/>
      <c r="AJ3" s="620"/>
      <c r="AK3" s="620"/>
      <c r="AL3" s="620"/>
      <c r="AM3" s="620"/>
      <c r="AN3" s="620"/>
      <c r="AO3" s="620"/>
      <c r="AP3" s="620"/>
      <c r="AQ3" s="620"/>
      <c r="AR3" s="620"/>
      <c r="AS3" s="620"/>
      <c r="AT3" s="620"/>
    </row>
    <row r="4" spans="1:47" s="188" customFormat="1" ht="12.75" hidden="1" customHeight="1" x14ac:dyDescent="0.35">
      <c r="B4" s="187"/>
      <c r="C4" s="19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/>
      <c r="O4" s="620"/>
      <c r="P4" s="620"/>
      <c r="Q4" s="620"/>
      <c r="R4" s="620"/>
      <c r="S4" s="620"/>
      <c r="T4" s="620"/>
      <c r="U4" s="620"/>
      <c r="V4" s="620"/>
      <c r="W4" s="620"/>
      <c r="X4" s="620"/>
      <c r="Y4" s="620"/>
      <c r="Z4" s="620"/>
      <c r="AA4" s="620"/>
      <c r="AB4" s="620"/>
      <c r="AC4" s="620"/>
      <c r="AD4" s="620"/>
      <c r="AE4" s="620"/>
      <c r="AF4" s="620"/>
      <c r="AG4" s="620"/>
      <c r="AH4" s="620"/>
      <c r="AI4" s="620"/>
      <c r="AJ4" s="620"/>
      <c r="AK4" s="620"/>
      <c r="AL4" s="620"/>
      <c r="AM4" s="620"/>
      <c r="AN4" s="620"/>
      <c r="AO4" s="620"/>
      <c r="AP4" s="620"/>
      <c r="AQ4" s="620"/>
      <c r="AR4" s="620"/>
      <c r="AS4" s="620"/>
      <c r="AT4" s="620"/>
    </row>
    <row r="5" spans="1:47" s="188" customFormat="1" ht="13.15" hidden="1" customHeight="1" x14ac:dyDescent="0.4">
      <c r="B5" s="187"/>
      <c r="C5" s="191"/>
      <c r="D5" s="620"/>
      <c r="E5" s="620"/>
      <c r="F5" s="620"/>
      <c r="G5" s="620"/>
      <c r="H5" s="620"/>
      <c r="I5" s="620"/>
      <c r="J5" s="620"/>
      <c r="K5" s="620"/>
      <c r="L5" s="620"/>
      <c r="M5" s="620"/>
      <c r="N5" s="620"/>
      <c r="O5" s="620"/>
      <c r="P5" s="620"/>
      <c r="Q5" s="620"/>
      <c r="R5" s="620"/>
      <c r="S5" s="620"/>
      <c r="T5" s="620"/>
      <c r="U5" s="620"/>
      <c r="V5" s="620"/>
      <c r="W5" s="620"/>
      <c r="X5" s="620"/>
      <c r="Y5" s="620"/>
      <c r="Z5" s="620"/>
      <c r="AA5" s="620"/>
      <c r="AB5" s="620"/>
      <c r="AC5" s="620"/>
      <c r="AD5" s="620"/>
      <c r="AE5" s="620"/>
      <c r="AF5" s="620"/>
      <c r="AG5" s="620"/>
      <c r="AH5" s="620"/>
      <c r="AI5" s="620"/>
      <c r="AJ5" s="620"/>
      <c r="AK5" s="620"/>
      <c r="AL5" s="620"/>
      <c r="AM5" s="620"/>
      <c r="AN5" s="620"/>
      <c r="AO5" s="620"/>
      <c r="AP5" s="620"/>
      <c r="AQ5" s="620"/>
      <c r="AR5" s="620"/>
      <c r="AS5" s="620"/>
      <c r="AT5" s="620"/>
    </row>
    <row r="6" spans="1:47" s="195" customFormat="1" x14ac:dyDescent="0.4">
      <c r="A6" s="192"/>
      <c r="B6" s="193"/>
      <c r="C6" s="194" t="str">
        <f>[1]!to_tradecode(C1)</f>
        <v>601398</v>
      </c>
      <c r="D6" s="621">
        <v>39082</v>
      </c>
      <c r="E6" s="621">
        <v>39172</v>
      </c>
      <c r="F6" s="621">
        <v>39263</v>
      </c>
      <c r="G6" s="621">
        <v>39355</v>
      </c>
      <c r="H6" s="621">
        <v>39447</v>
      </c>
      <c r="I6" s="621">
        <v>39538</v>
      </c>
      <c r="J6" s="621">
        <v>39629</v>
      </c>
      <c r="K6" s="621">
        <v>39721</v>
      </c>
      <c r="L6" s="621">
        <v>39813</v>
      </c>
      <c r="M6" s="621">
        <v>39903</v>
      </c>
      <c r="N6" s="621">
        <v>39994</v>
      </c>
      <c r="O6" s="621">
        <v>40086</v>
      </c>
      <c r="P6" s="621">
        <v>40178</v>
      </c>
      <c r="Q6" s="621">
        <v>40268</v>
      </c>
      <c r="R6" s="621">
        <v>40359</v>
      </c>
      <c r="S6" s="621">
        <v>40451</v>
      </c>
      <c r="T6" s="621">
        <v>40543</v>
      </c>
      <c r="U6" s="621">
        <v>40633</v>
      </c>
      <c r="V6" s="621">
        <v>40724</v>
      </c>
      <c r="W6" s="621">
        <v>40816</v>
      </c>
      <c r="X6" s="621">
        <v>40908</v>
      </c>
      <c r="Y6" s="621">
        <v>40999</v>
      </c>
      <c r="Z6" s="621">
        <v>41090</v>
      </c>
      <c r="AA6" s="621">
        <v>41182</v>
      </c>
      <c r="AB6" s="621">
        <v>41274</v>
      </c>
      <c r="AC6" s="621">
        <v>41364</v>
      </c>
      <c r="AD6" s="621">
        <v>41455</v>
      </c>
      <c r="AE6" s="621">
        <v>41547</v>
      </c>
      <c r="AF6" s="621">
        <v>41639</v>
      </c>
      <c r="AG6" s="621">
        <v>41729</v>
      </c>
      <c r="AH6" s="621">
        <v>41820</v>
      </c>
      <c r="AI6" s="621">
        <v>41912</v>
      </c>
      <c r="AJ6" s="621">
        <v>42004</v>
      </c>
      <c r="AK6" s="621">
        <v>42094</v>
      </c>
      <c r="AL6" s="621">
        <v>42185</v>
      </c>
      <c r="AM6" s="621">
        <v>42277</v>
      </c>
      <c r="AN6" s="621">
        <v>42369</v>
      </c>
      <c r="AO6" s="621">
        <v>42460</v>
      </c>
      <c r="AP6" s="621">
        <v>42551</v>
      </c>
      <c r="AQ6" s="621">
        <v>42643</v>
      </c>
      <c r="AR6" s="621">
        <v>42735</v>
      </c>
      <c r="AS6" s="621">
        <v>42825</v>
      </c>
      <c r="AT6" s="621">
        <v>42916</v>
      </c>
    </row>
    <row r="7" spans="1:47" s="571" customFormat="1" thickBot="1" x14ac:dyDescent="0.4">
      <c r="B7" s="572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/>
      <c r="AF7" s="623"/>
      <c r="AG7" s="623"/>
      <c r="AH7" s="623"/>
      <c r="AI7" s="623"/>
      <c r="AJ7" s="623"/>
      <c r="AK7" s="623"/>
      <c r="AL7" s="623"/>
      <c r="AM7" s="623"/>
      <c r="AN7" s="623"/>
      <c r="AO7" s="623"/>
      <c r="AP7" s="623"/>
      <c r="AQ7" s="623"/>
      <c r="AR7" s="623"/>
      <c r="AS7" s="623"/>
      <c r="AT7" s="622"/>
    </row>
    <row r="8" spans="1:47" s="196" customFormat="1" ht="13.5" thickTop="1" x14ac:dyDescent="0.35">
      <c r="B8" s="200" t="s">
        <v>228</v>
      </c>
      <c r="C8" s="198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M8" s="625"/>
      <c r="AN8" s="625"/>
      <c r="AO8" s="625"/>
      <c r="AP8" s="625"/>
      <c r="AQ8" s="625"/>
      <c r="AR8" s="625"/>
      <c r="AS8" s="625"/>
      <c r="AT8" s="624"/>
    </row>
    <row r="9" spans="1:47" ht="13.9" thickBot="1" x14ac:dyDescent="0.45">
      <c r="C9" s="201" t="s">
        <v>229</v>
      </c>
      <c r="D9" s="627">
        <v>2006</v>
      </c>
      <c r="E9" s="627" t="s">
        <v>720</v>
      </c>
      <c r="F9" s="627" t="s">
        <v>721</v>
      </c>
      <c r="G9" s="627" t="s">
        <v>722</v>
      </c>
      <c r="H9" s="627">
        <v>2007</v>
      </c>
      <c r="I9" s="627" t="s">
        <v>723</v>
      </c>
      <c r="J9" s="627" t="s">
        <v>724</v>
      </c>
      <c r="K9" s="627" t="s">
        <v>725</v>
      </c>
      <c r="L9" s="627">
        <v>2008</v>
      </c>
      <c r="M9" s="627" t="s">
        <v>726</v>
      </c>
      <c r="N9" s="627" t="s">
        <v>727</v>
      </c>
      <c r="O9" s="627" t="s">
        <v>728</v>
      </c>
      <c r="P9" s="627">
        <v>2009</v>
      </c>
      <c r="Q9" s="627" t="s">
        <v>729</v>
      </c>
      <c r="R9" s="627" t="s">
        <v>730</v>
      </c>
      <c r="S9" s="627" t="s">
        <v>731</v>
      </c>
      <c r="T9" s="627">
        <v>2010</v>
      </c>
      <c r="U9" s="627" t="s">
        <v>732</v>
      </c>
      <c r="V9" s="627" t="s">
        <v>6</v>
      </c>
      <c r="W9" s="627" t="s">
        <v>733</v>
      </c>
      <c r="X9" s="627">
        <v>2011</v>
      </c>
      <c r="Y9" s="627" t="s">
        <v>7</v>
      </c>
      <c r="Z9" s="627" t="s">
        <v>8</v>
      </c>
      <c r="AA9" s="627" t="s">
        <v>9</v>
      </c>
      <c r="AB9" s="627">
        <v>2012</v>
      </c>
      <c r="AC9" s="627" t="s">
        <v>734</v>
      </c>
      <c r="AD9" s="627" t="s">
        <v>735</v>
      </c>
      <c r="AE9" s="627" t="s">
        <v>736</v>
      </c>
      <c r="AF9" s="627">
        <v>2013</v>
      </c>
      <c r="AG9" s="627" t="s">
        <v>737</v>
      </c>
      <c r="AH9" s="627" t="s">
        <v>738</v>
      </c>
      <c r="AI9" s="627" t="s">
        <v>739</v>
      </c>
      <c r="AJ9" s="627">
        <v>2014</v>
      </c>
      <c r="AK9" s="627" t="s">
        <v>740</v>
      </c>
      <c r="AL9" s="627" t="s">
        <v>741</v>
      </c>
      <c r="AM9" s="627" t="s">
        <v>742</v>
      </c>
      <c r="AN9" s="627">
        <v>2015</v>
      </c>
      <c r="AO9" s="627" t="s">
        <v>743</v>
      </c>
      <c r="AP9" s="627" t="s">
        <v>744</v>
      </c>
      <c r="AQ9" s="627" t="s">
        <v>745</v>
      </c>
      <c r="AR9" s="203">
        <v>2016</v>
      </c>
      <c r="AS9" s="628" t="s">
        <v>185</v>
      </c>
      <c r="AT9" s="1031" t="s">
        <v>1347</v>
      </c>
    </row>
    <row r="10" spans="1:47" ht="13.5" x14ac:dyDescent="0.4">
      <c r="C10" s="205" t="s">
        <v>230</v>
      </c>
      <c r="D10" s="629">
        <v>703657</v>
      </c>
      <c r="E10" s="629">
        <v>787776</v>
      </c>
      <c r="F10" s="629">
        <v>923522</v>
      </c>
      <c r="G10" s="629">
        <v>1013306</v>
      </c>
      <c r="H10" s="629">
        <v>1142346</v>
      </c>
      <c r="I10" s="629">
        <v>1262206</v>
      </c>
      <c r="J10" s="629">
        <v>1484522</v>
      </c>
      <c r="K10" s="629">
        <v>1548019</v>
      </c>
      <c r="L10" s="629">
        <v>1693024</v>
      </c>
      <c r="M10" s="629">
        <v>1684779</v>
      </c>
      <c r="N10" s="629">
        <v>1648941</v>
      </c>
      <c r="O10" s="629">
        <v>1777512</v>
      </c>
      <c r="P10" s="629">
        <v>1693048</v>
      </c>
      <c r="Q10" s="629">
        <v>2017335</v>
      </c>
      <c r="R10" s="629">
        <v>2111745</v>
      </c>
      <c r="S10" s="629">
        <v>2266208</v>
      </c>
      <c r="T10" s="629">
        <v>2282999</v>
      </c>
      <c r="U10" s="629">
        <v>2628712</v>
      </c>
      <c r="V10" s="629">
        <v>2845902</v>
      </c>
      <c r="W10" s="629">
        <v>2916591</v>
      </c>
      <c r="X10" s="629">
        <v>2762156</v>
      </c>
      <c r="Y10" s="629">
        <v>2889096</v>
      </c>
      <c r="Z10" s="629">
        <v>3028038</v>
      </c>
      <c r="AA10" s="629">
        <v>3150519</v>
      </c>
      <c r="AB10" s="629">
        <v>3174943</v>
      </c>
      <c r="AC10" s="629">
        <v>3220108</v>
      </c>
      <c r="AD10" s="629">
        <v>3300991</v>
      </c>
      <c r="AE10" s="629">
        <v>3360532</v>
      </c>
      <c r="AF10" s="629">
        <v>3294007</v>
      </c>
      <c r="AG10" s="629">
        <v>3525830</v>
      </c>
      <c r="AH10" s="629">
        <v>3607404</v>
      </c>
      <c r="AI10" s="629">
        <v>3472425</v>
      </c>
      <c r="AJ10" s="629">
        <v>3523622</v>
      </c>
      <c r="AK10" s="629">
        <v>3537667</v>
      </c>
      <c r="AL10" s="629">
        <v>3615260</v>
      </c>
      <c r="AM10" s="629">
        <v>3273308</v>
      </c>
      <c r="AN10" s="629">
        <v>3059633</v>
      </c>
      <c r="AO10" s="629">
        <v>3323225</v>
      </c>
      <c r="AP10" s="629">
        <v>3331693</v>
      </c>
      <c r="AQ10" s="629">
        <v>3302564</v>
      </c>
      <c r="AR10" s="629">
        <v>3350788</v>
      </c>
      <c r="AS10" s="629">
        <v>3437830</v>
      </c>
      <c r="AT10" s="629">
        <v>3542773</v>
      </c>
      <c r="AU10" s="573">
        <f>AT10/34562</f>
        <v>102.50486082981308</v>
      </c>
    </row>
    <row r="11" spans="1:47" ht="13.5" x14ac:dyDescent="0.4">
      <c r="C11" s="207" t="s">
        <v>231</v>
      </c>
      <c r="D11" s="629">
        <v>15637</v>
      </c>
      <c r="E11" s="629">
        <v>15662</v>
      </c>
      <c r="F11" s="629">
        <v>21485</v>
      </c>
      <c r="G11" s="629">
        <v>28629</v>
      </c>
      <c r="H11" s="629">
        <v>29406</v>
      </c>
      <c r="I11" s="629">
        <v>30122</v>
      </c>
      <c r="J11" s="629">
        <v>37151</v>
      </c>
      <c r="K11" s="629">
        <v>43979</v>
      </c>
      <c r="L11" s="629">
        <v>41571</v>
      </c>
      <c r="M11" s="629">
        <v>35008</v>
      </c>
      <c r="N11" s="629">
        <v>88574</v>
      </c>
      <c r="O11" s="629">
        <v>141481</v>
      </c>
      <c r="P11" s="629">
        <v>157395</v>
      </c>
      <c r="Q11" s="629">
        <v>268896</v>
      </c>
      <c r="R11" s="629">
        <v>177731</v>
      </c>
      <c r="S11" s="629">
        <v>207984</v>
      </c>
      <c r="T11" s="629">
        <v>183942</v>
      </c>
      <c r="U11" s="629">
        <v>297343</v>
      </c>
      <c r="V11" s="629">
        <v>338904</v>
      </c>
      <c r="W11" s="629">
        <v>180438</v>
      </c>
      <c r="X11" s="629">
        <v>317486</v>
      </c>
      <c r="Y11" s="629">
        <v>504917</v>
      </c>
      <c r="Z11" s="629">
        <v>633014</v>
      </c>
      <c r="AA11" s="629">
        <v>539533</v>
      </c>
      <c r="AB11" s="629">
        <v>411937</v>
      </c>
      <c r="AC11" s="629">
        <v>448968</v>
      </c>
      <c r="AD11" s="629">
        <v>303064</v>
      </c>
      <c r="AE11" s="629">
        <v>304306</v>
      </c>
      <c r="AF11" s="629">
        <v>306366</v>
      </c>
      <c r="AG11" s="629">
        <v>253320</v>
      </c>
      <c r="AH11" s="629">
        <v>229789</v>
      </c>
      <c r="AI11" s="629">
        <v>333477</v>
      </c>
      <c r="AJ11" s="629">
        <v>304273</v>
      </c>
      <c r="AK11" s="629">
        <v>259471</v>
      </c>
      <c r="AL11" s="629">
        <v>280370</v>
      </c>
      <c r="AM11" s="629">
        <v>230745</v>
      </c>
      <c r="AN11" s="629">
        <v>211559</v>
      </c>
      <c r="AO11" s="629">
        <v>182270</v>
      </c>
      <c r="AP11" s="629">
        <v>188286</v>
      </c>
      <c r="AQ11" s="629">
        <v>244634</v>
      </c>
      <c r="AR11" s="629">
        <v>270058</v>
      </c>
      <c r="AS11" s="629">
        <v>440890</v>
      </c>
      <c r="AT11" s="629">
        <v>447448</v>
      </c>
      <c r="AU11" s="573">
        <f t="shared" ref="AU11:AU29" si="0">AT11/34562</f>
        <v>12.946241536948094</v>
      </c>
    </row>
    <row r="12" spans="1:47" ht="13.5" x14ac:dyDescent="0.4">
      <c r="C12" s="207" t="s">
        <v>232</v>
      </c>
      <c r="D12" s="629">
        <v>0</v>
      </c>
      <c r="E12" s="629">
        <v>0</v>
      </c>
      <c r="F12" s="629">
        <v>0</v>
      </c>
      <c r="G12" s="629">
        <v>0</v>
      </c>
      <c r="H12" s="629">
        <v>0</v>
      </c>
      <c r="I12" s="629">
        <v>0</v>
      </c>
      <c r="J12" s="629">
        <v>2924</v>
      </c>
      <c r="K12" s="629">
        <v>2542</v>
      </c>
      <c r="L12" s="629">
        <v>2819</v>
      </c>
      <c r="M12" s="629">
        <v>2953</v>
      </c>
      <c r="N12" s="629">
        <v>2723</v>
      </c>
      <c r="O12" s="629">
        <v>2662</v>
      </c>
      <c r="P12" s="629">
        <v>2699</v>
      </c>
      <c r="Q12" s="629">
        <v>5203</v>
      </c>
      <c r="R12" s="629">
        <v>6226</v>
      </c>
      <c r="S12" s="629">
        <v>6711</v>
      </c>
      <c r="T12" s="629">
        <v>10226</v>
      </c>
      <c r="U12" s="629">
        <v>13461</v>
      </c>
      <c r="V12" s="629">
        <v>17927</v>
      </c>
      <c r="W12" s="629">
        <v>24912</v>
      </c>
      <c r="X12" s="629">
        <v>38971</v>
      </c>
      <c r="Y12" s="629">
        <v>38379</v>
      </c>
      <c r="Z12" s="629">
        <v>34780</v>
      </c>
      <c r="AA12" s="629">
        <v>39171</v>
      </c>
      <c r="AB12" s="629">
        <v>55358</v>
      </c>
      <c r="AC12" s="629">
        <v>44049</v>
      </c>
      <c r="AD12" s="629">
        <v>38532</v>
      </c>
      <c r="AE12" s="629">
        <v>50752</v>
      </c>
      <c r="AF12" s="629">
        <v>61821</v>
      </c>
      <c r="AG12" s="629">
        <v>81946</v>
      </c>
      <c r="AH12" s="629">
        <v>90911</v>
      </c>
      <c r="AI12" s="629">
        <v>82717</v>
      </c>
      <c r="AJ12" s="629">
        <v>95950</v>
      </c>
      <c r="AK12" s="629">
        <v>116166</v>
      </c>
      <c r="AL12" s="629">
        <v>115198</v>
      </c>
      <c r="AM12" s="629">
        <v>114584</v>
      </c>
      <c r="AN12" s="629">
        <v>114619</v>
      </c>
      <c r="AO12" s="629">
        <v>150156</v>
      </c>
      <c r="AP12" s="629">
        <v>193530</v>
      </c>
      <c r="AQ12" s="629">
        <v>209094</v>
      </c>
      <c r="AR12" s="629">
        <v>220091</v>
      </c>
      <c r="AS12" s="629">
        <v>204805</v>
      </c>
      <c r="AT12" s="629">
        <v>225726</v>
      </c>
      <c r="AU12" s="573">
        <f t="shared" si="0"/>
        <v>6.5310456570800302</v>
      </c>
    </row>
    <row r="13" spans="1:47" ht="13.5" x14ac:dyDescent="0.4">
      <c r="C13" s="207" t="s">
        <v>773</v>
      </c>
      <c r="D13" s="629">
        <v>190869</v>
      </c>
      <c r="E13" s="629">
        <v>123125</v>
      </c>
      <c r="F13" s="629">
        <v>163813</v>
      </c>
      <c r="G13" s="629">
        <v>212282</v>
      </c>
      <c r="H13" s="629">
        <v>170352</v>
      </c>
      <c r="I13" s="629">
        <v>145998</v>
      </c>
      <c r="J13" s="629">
        <v>127487</v>
      </c>
      <c r="K13" s="629">
        <v>164162</v>
      </c>
      <c r="L13" s="629">
        <v>126792</v>
      </c>
      <c r="M13" s="629">
        <v>151416</v>
      </c>
      <c r="N13" s="629">
        <v>88298</v>
      </c>
      <c r="O13" s="629">
        <v>114737</v>
      </c>
      <c r="P13" s="629">
        <v>77906</v>
      </c>
      <c r="Q13" s="629">
        <v>103561</v>
      </c>
      <c r="R13" s="629">
        <v>171532</v>
      </c>
      <c r="S13" s="629">
        <v>96437</v>
      </c>
      <c r="T13" s="629">
        <v>64918</v>
      </c>
      <c r="U13" s="629">
        <v>98458</v>
      </c>
      <c r="V13" s="629">
        <v>122782</v>
      </c>
      <c r="W13" s="629">
        <v>115583</v>
      </c>
      <c r="X13" s="629">
        <v>160516</v>
      </c>
      <c r="Y13" s="629">
        <v>162649</v>
      </c>
      <c r="Z13" s="629">
        <v>252403</v>
      </c>
      <c r="AA13" s="629">
        <v>245655</v>
      </c>
      <c r="AB13" s="629">
        <v>224513</v>
      </c>
      <c r="AC13" s="629">
        <v>241121</v>
      </c>
      <c r="AD13" s="629">
        <v>338009</v>
      </c>
      <c r="AE13" s="629">
        <v>332439</v>
      </c>
      <c r="AF13" s="629">
        <v>411618</v>
      </c>
      <c r="AG13" s="629">
        <v>316793</v>
      </c>
      <c r="AH13" s="629">
        <v>412298</v>
      </c>
      <c r="AI13" s="629">
        <v>249264</v>
      </c>
      <c r="AJ13" s="629">
        <v>478503</v>
      </c>
      <c r="AK13" s="629">
        <v>524736</v>
      </c>
      <c r="AL13" s="629">
        <v>502982</v>
      </c>
      <c r="AM13" s="629">
        <v>537363</v>
      </c>
      <c r="AN13" s="629">
        <v>472234</v>
      </c>
      <c r="AO13" s="629">
        <v>454134</v>
      </c>
      <c r="AP13" s="629">
        <v>440468</v>
      </c>
      <c r="AQ13" s="629">
        <v>479421</v>
      </c>
      <c r="AR13" s="629">
        <v>527415</v>
      </c>
      <c r="AS13" s="629">
        <v>555019</v>
      </c>
      <c r="AT13" s="629">
        <v>509791</v>
      </c>
      <c r="AU13" s="573">
        <f t="shared" si="0"/>
        <v>14.750043400266188</v>
      </c>
    </row>
    <row r="14" spans="1:47" ht="13.5" x14ac:dyDescent="0.4">
      <c r="C14" s="207" t="s">
        <v>234</v>
      </c>
      <c r="D14" s="629">
        <v>0</v>
      </c>
      <c r="E14" s="629">
        <v>42520</v>
      </c>
      <c r="F14" s="629">
        <v>36791</v>
      </c>
      <c r="G14" s="629">
        <v>39880</v>
      </c>
      <c r="H14" s="629">
        <v>34321</v>
      </c>
      <c r="I14" s="629">
        <v>45239</v>
      </c>
      <c r="J14" s="629">
        <v>43739</v>
      </c>
      <c r="K14" s="629">
        <v>31200</v>
      </c>
      <c r="L14" s="629">
        <v>33641</v>
      </c>
      <c r="M14" s="629">
        <v>28477</v>
      </c>
      <c r="N14" s="629">
        <v>31653</v>
      </c>
      <c r="O14" s="629">
        <v>24977</v>
      </c>
      <c r="P14" s="629">
        <v>20147</v>
      </c>
      <c r="Q14" s="629">
        <v>11574</v>
      </c>
      <c r="R14" s="629">
        <v>15704</v>
      </c>
      <c r="S14" s="629">
        <v>17173</v>
      </c>
      <c r="T14" s="629">
        <v>12986</v>
      </c>
      <c r="U14" s="629">
        <v>137472</v>
      </c>
      <c r="V14" s="629">
        <v>131496</v>
      </c>
      <c r="W14" s="629">
        <v>179216</v>
      </c>
      <c r="X14" s="629">
        <v>152208</v>
      </c>
      <c r="Y14" s="629">
        <v>188488</v>
      </c>
      <c r="Z14" s="629">
        <v>131837</v>
      </c>
      <c r="AA14" s="629">
        <v>165545</v>
      </c>
      <c r="AB14" s="629">
        <v>221671</v>
      </c>
      <c r="AC14" s="629">
        <v>172381</v>
      </c>
      <c r="AD14" s="629">
        <v>312151</v>
      </c>
      <c r="AE14" s="629">
        <v>371823</v>
      </c>
      <c r="AF14" s="629">
        <v>372556</v>
      </c>
      <c r="AG14" s="629">
        <v>357130</v>
      </c>
      <c r="AH14" s="629">
        <v>386592</v>
      </c>
      <c r="AI14" s="629">
        <v>346948</v>
      </c>
      <c r="AJ14" s="629">
        <v>346828</v>
      </c>
      <c r="AK14" s="629">
        <v>430159</v>
      </c>
      <c r="AL14" s="629">
        <v>422960</v>
      </c>
      <c r="AM14" s="629">
        <v>465734</v>
      </c>
      <c r="AN14" s="629">
        <v>343272</v>
      </c>
      <c r="AO14" s="629">
        <v>428620</v>
      </c>
      <c r="AP14" s="629">
        <v>439093</v>
      </c>
      <c r="AQ14" s="629">
        <v>492992</v>
      </c>
      <c r="AR14" s="629">
        <v>474475</v>
      </c>
      <c r="AS14" s="629">
        <v>508943</v>
      </c>
      <c r="AT14" s="629">
        <v>503544</v>
      </c>
      <c r="AU14" s="573">
        <f t="shared" si="0"/>
        <v>14.569295758347318</v>
      </c>
    </row>
    <row r="15" spans="1:47" ht="13.5" x14ac:dyDescent="0.4">
      <c r="C15" s="207" t="s">
        <v>235</v>
      </c>
      <c r="D15" s="629">
        <v>10539</v>
      </c>
      <c r="E15" s="629">
        <v>11690</v>
      </c>
      <c r="F15" s="629">
        <v>14305</v>
      </c>
      <c r="G15" s="629">
        <v>17292</v>
      </c>
      <c r="H15" s="629">
        <v>22769</v>
      </c>
      <c r="I15" s="629">
        <v>28366</v>
      </c>
      <c r="J15" s="629">
        <v>25354</v>
      </c>
      <c r="K15" s="629">
        <v>19013</v>
      </c>
      <c r="L15" s="629">
        <v>15721</v>
      </c>
      <c r="M15" s="629">
        <v>9697</v>
      </c>
      <c r="N15" s="629">
        <v>6867</v>
      </c>
      <c r="O15" s="629">
        <v>7468</v>
      </c>
      <c r="P15" s="629">
        <v>5758</v>
      </c>
      <c r="Q15" s="629">
        <v>5172</v>
      </c>
      <c r="R15" s="629">
        <v>8735</v>
      </c>
      <c r="S15" s="629">
        <v>10254</v>
      </c>
      <c r="T15" s="629">
        <v>13332</v>
      </c>
      <c r="U15" s="629">
        <v>12966</v>
      </c>
      <c r="V15" s="629">
        <v>13803</v>
      </c>
      <c r="W15" s="629">
        <v>15596</v>
      </c>
      <c r="X15" s="629">
        <v>17460</v>
      </c>
      <c r="Y15" s="629">
        <v>11163</v>
      </c>
      <c r="Z15" s="629">
        <v>14484</v>
      </c>
      <c r="AA15" s="629">
        <v>14942</v>
      </c>
      <c r="AB15" s="629">
        <v>14756</v>
      </c>
      <c r="AC15" s="629">
        <v>17941</v>
      </c>
      <c r="AD15" s="629">
        <v>26949</v>
      </c>
      <c r="AE15" s="629">
        <v>19600</v>
      </c>
      <c r="AF15" s="629">
        <v>25020</v>
      </c>
      <c r="AG15" s="629">
        <v>26427</v>
      </c>
      <c r="AH15" s="629">
        <v>25943</v>
      </c>
      <c r="AI15" s="629">
        <v>37277</v>
      </c>
      <c r="AJ15" s="629">
        <v>24048</v>
      </c>
      <c r="AK15" s="629">
        <v>81494</v>
      </c>
      <c r="AL15" s="629">
        <v>69657</v>
      </c>
      <c r="AM15" s="629">
        <v>71478</v>
      </c>
      <c r="AN15" s="629">
        <v>78870</v>
      </c>
      <c r="AO15" s="629">
        <v>96446</v>
      </c>
      <c r="AP15" s="629">
        <v>71180</v>
      </c>
      <c r="AQ15" s="629">
        <v>69860</v>
      </c>
      <c r="AR15" s="629">
        <v>94452</v>
      </c>
      <c r="AS15" s="629">
        <v>71997</v>
      </c>
      <c r="AT15" s="629">
        <v>57569</v>
      </c>
      <c r="AU15" s="573">
        <f t="shared" si="0"/>
        <v>1.6656732827961345</v>
      </c>
    </row>
    <row r="16" spans="1:47" ht="13.5" x14ac:dyDescent="0.4">
      <c r="C16" s="207" t="s">
        <v>236</v>
      </c>
      <c r="D16" s="629">
        <v>39218</v>
      </c>
      <c r="E16" s="629">
        <v>73636</v>
      </c>
      <c r="F16" s="629">
        <v>84110</v>
      </c>
      <c r="G16" s="629">
        <v>96798</v>
      </c>
      <c r="H16" s="629">
        <v>75880</v>
      </c>
      <c r="I16" s="629">
        <v>88885</v>
      </c>
      <c r="J16" s="629">
        <v>59182</v>
      </c>
      <c r="K16" s="629">
        <v>66419</v>
      </c>
      <c r="L16" s="629">
        <v>163493</v>
      </c>
      <c r="M16" s="629">
        <v>764461</v>
      </c>
      <c r="N16" s="629">
        <v>943284</v>
      </c>
      <c r="O16" s="629">
        <v>564082</v>
      </c>
      <c r="P16" s="629">
        <v>408826</v>
      </c>
      <c r="Q16" s="629">
        <v>452383</v>
      </c>
      <c r="R16" s="629">
        <v>279136</v>
      </c>
      <c r="S16" s="629">
        <v>366015</v>
      </c>
      <c r="T16" s="629">
        <v>262227</v>
      </c>
      <c r="U16" s="629">
        <v>380660</v>
      </c>
      <c r="V16" s="629">
        <v>357829</v>
      </c>
      <c r="W16" s="629">
        <v>263273</v>
      </c>
      <c r="X16" s="629">
        <v>349437</v>
      </c>
      <c r="Y16" s="629">
        <v>496211</v>
      </c>
      <c r="Z16" s="629">
        <v>532764</v>
      </c>
      <c r="AA16" s="629">
        <v>499342</v>
      </c>
      <c r="AB16" s="629">
        <v>544579</v>
      </c>
      <c r="AC16" s="629">
        <v>672004</v>
      </c>
      <c r="AD16" s="629">
        <v>462000</v>
      </c>
      <c r="AE16" s="629">
        <v>406661</v>
      </c>
      <c r="AF16" s="629">
        <v>331903</v>
      </c>
      <c r="AG16" s="629">
        <v>515635</v>
      </c>
      <c r="AH16" s="629">
        <v>540645</v>
      </c>
      <c r="AI16" s="629">
        <v>432604</v>
      </c>
      <c r="AJ16" s="629">
        <v>468462</v>
      </c>
      <c r="AK16" s="629">
        <v>659421</v>
      </c>
      <c r="AL16" s="629">
        <v>1040068</v>
      </c>
      <c r="AM16" s="629">
        <v>652266</v>
      </c>
      <c r="AN16" s="629">
        <v>996333</v>
      </c>
      <c r="AO16" s="629">
        <v>687354</v>
      </c>
      <c r="AP16" s="629">
        <v>723379</v>
      </c>
      <c r="AQ16" s="629">
        <v>554690</v>
      </c>
      <c r="AR16" s="629">
        <v>755627</v>
      </c>
      <c r="AS16" s="629">
        <v>558602</v>
      </c>
      <c r="AT16" s="629">
        <v>840658</v>
      </c>
      <c r="AU16" s="573">
        <f t="shared" si="0"/>
        <v>24.323187315548868</v>
      </c>
    </row>
    <row r="17" spans="3:47" ht="13.5" x14ac:dyDescent="0.4">
      <c r="C17" s="207" t="s">
        <v>237</v>
      </c>
      <c r="D17" s="629">
        <v>0</v>
      </c>
      <c r="E17" s="629">
        <v>0</v>
      </c>
      <c r="F17" s="629">
        <v>0</v>
      </c>
      <c r="G17" s="629">
        <v>0</v>
      </c>
      <c r="H17" s="629">
        <v>0</v>
      </c>
      <c r="I17" s="629">
        <v>0</v>
      </c>
      <c r="J17" s="629">
        <v>0</v>
      </c>
      <c r="K17" s="629">
        <v>0</v>
      </c>
      <c r="L17" s="629">
        <v>0</v>
      </c>
      <c r="M17" s="629">
        <v>0</v>
      </c>
      <c r="N17" s="629">
        <v>0</v>
      </c>
      <c r="O17" s="629">
        <v>0</v>
      </c>
      <c r="P17" s="629">
        <v>0</v>
      </c>
      <c r="Q17" s="629">
        <v>0</v>
      </c>
      <c r="R17" s="629">
        <v>0</v>
      </c>
      <c r="S17" s="629">
        <v>0</v>
      </c>
      <c r="T17" s="629">
        <v>0</v>
      </c>
      <c r="U17" s="629">
        <v>0</v>
      </c>
      <c r="V17" s="629">
        <v>0</v>
      </c>
      <c r="W17" s="629">
        <v>0</v>
      </c>
      <c r="X17" s="629">
        <v>0</v>
      </c>
      <c r="Y17" s="629">
        <v>0</v>
      </c>
      <c r="Z17" s="629">
        <v>0</v>
      </c>
      <c r="AA17" s="629">
        <v>0</v>
      </c>
      <c r="AB17" s="629">
        <v>0</v>
      </c>
      <c r="AC17" s="629">
        <v>0</v>
      </c>
      <c r="AD17" s="629">
        <v>0</v>
      </c>
      <c r="AE17" s="629">
        <v>0</v>
      </c>
      <c r="AF17" s="629">
        <v>0</v>
      </c>
      <c r="AG17" s="629">
        <v>0</v>
      </c>
      <c r="AH17" s="629">
        <v>0</v>
      </c>
      <c r="AI17" s="629">
        <v>0</v>
      </c>
      <c r="AJ17" s="629">
        <v>0</v>
      </c>
      <c r="AK17" s="629">
        <v>0</v>
      </c>
      <c r="AL17" s="629">
        <v>0</v>
      </c>
      <c r="AM17" s="629">
        <v>0</v>
      </c>
      <c r="AN17" s="629">
        <v>0</v>
      </c>
      <c r="AO17" s="629">
        <v>0</v>
      </c>
      <c r="AP17" s="629">
        <v>0</v>
      </c>
      <c r="AQ17" s="629">
        <v>0</v>
      </c>
      <c r="AR17" s="629">
        <v>0</v>
      </c>
      <c r="AS17" s="629">
        <v>0</v>
      </c>
      <c r="AT17" s="629">
        <v>0</v>
      </c>
      <c r="AU17" s="573">
        <f t="shared" si="0"/>
        <v>0</v>
      </c>
    </row>
    <row r="18" spans="3:47" ht="13.5" x14ac:dyDescent="0.4">
      <c r="C18" s="207" t="s">
        <v>238</v>
      </c>
      <c r="D18" s="629">
        <v>3533978</v>
      </c>
      <c r="E18" s="629">
        <v>3696433</v>
      </c>
      <c r="F18" s="629">
        <v>3811067</v>
      </c>
      <c r="G18" s="629">
        <v>3935917</v>
      </c>
      <c r="H18" s="629">
        <v>3957542</v>
      </c>
      <c r="I18" s="629">
        <v>4133824</v>
      </c>
      <c r="J18" s="629">
        <v>4233318</v>
      </c>
      <c r="K18" s="629">
        <v>4292991</v>
      </c>
      <c r="L18" s="629">
        <v>4436011</v>
      </c>
      <c r="M18" s="629">
        <v>5072907</v>
      </c>
      <c r="N18" s="629">
        <v>5300116</v>
      </c>
      <c r="O18" s="629">
        <v>5441698</v>
      </c>
      <c r="P18" s="629">
        <v>5583174</v>
      </c>
      <c r="Q18" s="629">
        <v>5916094</v>
      </c>
      <c r="R18" s="629">
        <v>6202394</v>
      </c>
      <c r="S18" s="629">
        <v>6412354</v>
      </c>
      <c r="T18" s="629">
        <v>6623372</v>
      </c>
      <c r="U18" s="629">
        <v>6888873</v>
      </c>
      <c r="V18" s="629">
        <v>7152587</v>
      </c>
      <c r="W18" s="629">
        <v>7410387</v>
      </c>
      <c r="X18" s="629">
        <v>7594019</v>
      </c>
      <c r="Y18" s="629">
        <v>7953554</v>
      </c>
      <c r="Z18" s="629">
        <v>8212636</v>
      </c>
      <c r="AA18" s="629">
        <v>8422283</v>
      </c>
      <c r="AB18" s="629">
        <v>8583289</v>
      </c>
      <c r="AC18" s="629">
        <v>9033777</v>
      </c>
      <c r="AD18" s="629">
        <v>9202023</v>
      </c>
      <c r="AE18" s="629">
        <v>9409635</v>
      </c>
      <c r="AF18" s="629">
        <v>9681415</v>
      </c>
      <c r="AG18" s="629">
        <v>10125436</v>
      </c>
      <c r="AH18" s="629">
        <v>10394435</v>
      </c>
      <c r="AI18" s="629">
        <v>10603544</v>
      </c>
      <c r="AJ18" s="629">
        <v>10768750</v>
      </c>
      <c r="AK18" s="629">
        <v>11057257</v>
      </c>
      <c r="AL18" s="629">
        <v>11374947</v>
      </c>
      <c r="AM18" s="629">
        <v>11610463</v>
      </c>
      <c r="AN18" s="629">
        <v>11652812</v>
      </c>
      <c r="AO18" s="629">
        <v>12056705</v>
      </c>
      <c r="AP18" s="629">
        <v>12396561</v>
      </c>
      <c r="AQ18" s="629">
        <v>12629838</v>
      </c>
      <c r="AR18" s="629">
        <v>12767334</v>
      </c>
      <c r="AS18" s="629">
        <v>13267798</v>
      </c>
      <c r="AT18" s="629">
        <v>13549396</v>
      </c>
      <c r="AU18" s="573">
        <f t="shared" si="0"/>
        <v>392.0315953937851</v>
      </c>
    </row>
    <row r="19" spans="3:47" ht="13.5" x14ac:dyDescent="0.4">
      <c r="C19" s="207" t="s">
        <v>239</v>
      </c>
      <c r="D19" s="629">
        <v>0</v>
      </c>
      <c r="E19" s="629">
        <v>448420</v>
      </c>
      <c r="F19" s="629">
        <v>517669</v>
      </c>
      <c r="G19" s="629">
        <v>509383</v>
      </c>
      <c r="H19" s="629">
        <v>531241</v>
      </c>
      <c r="I19" s="629">
        <v>582927</v>
      </c>
      <c r="J19" s="629">
        <v>589512</v>
      </c>
      <c r="K19" s="629">
        <v>487003</v>
      </c>
      <c r="L19" s="629">
        <v>537600</v>
      </c>
      <c r="M19" s="629">
        <v>553175</v>
      </c>
      <c r="N19" s="629">
        <v>648498</v>
      </c>
      <c r="O19" s="629">
        <v>793669</v>
      </c>
      <c r="P19" s="629">
        <v>949909</v>
      </c>
      <c r="Q19" s="629">
        <v>987291</v>
      </c>
      <c r="R19" s="629">
        <v>1027881</v>
      </c>
      <c r="S19" s="629">
        <v>955466</v>
      </c>
      <c r="T19" s="629">
        <v>904795</v>
      </c>
      <c r="U19" s="629">
        <v>824339</v>
      </c>
      <c r="V19" s="629">
        <v>829832</v>
      </c>
      <c r="W19" s="629">
        <v>824069</v>
      </c>
      <c r="X19" s="629">
        <v>840105</v>
      </c>
      <c r="Y19" s="629">
        <v>875768</v>
      </c>
      <c r="Z19" s="629">
        <v>869836</v>
      </c>
      <c r="AA19" s="629">
        <v>903829</v>
      </c>
      <c r="AB19" s="629">
        <v>920939</v>
      </c>
      <c r="AC19" s="629">
        <v>986866</v>
      </c>
      <c r="AD19" s="629">
        <v>1026407</v>
      </c>
      <c r="AE19" s="629">
        <v>999922</v>
      </c>
      <c r="AF19" s="629">
        <v>1000800</v>
      </c>
      <c r="AG19" s="629">
        <v>1062402</v>
      </c>
      <c r="AH19" s="629">
        <v>1128582</v>
      </c>
      <c r="AI19" s="629">
        <v>1157309</v>
      </c>
      <c r="AJ19" s="629">
        <v>1188288</v>
      </c>
      <c r="AK19" s="629">
        <v>1260509</v>
      </c>
      <c r="AL19" s="629">
        <v>1438093</v>
      </c>
      <c r="AM19" s="629">
        <v>1388838</v>
      </c>
      <c r="AN19" s="629">
        <v>1444195</v>
      </c>
      <c r="AO19" s="629">
        <v>1558482</v>
      </c>
      <c r="AP19" s="629">
        <v>1607498</v>
      </c>
      <c r="AQ19" s="629">
        <v>1712001</v>
      </c>
      <c r="AR19" s="629">
        <v>1742287</v>
      </c>
      <c r="AS19" s="629">
        <v>1761001</v>
      </c>
      <c r="AT19" s="629">
        <v>1632329</v>
      </c>
      <c r="AU19" s="573">
        <f t="shared" si="0"/>
        <v>47.22900873792026</v>
      </c>
    </row>
    <row r="20" spans="3:47" ht="13.5" x14ac:dyDescent="0.4">
      <c r="C20" s="207" t="s">
        <v>240</v>
      </c>
      <c r="D20" s="629">
        <v>0</v>
      </c>
      <c r="E20" s="629">
        <v>1384261</v>
      </c>
      <c r="F20" s="629">
        <v>1406324</v>
      </c>
      <c r="G20" s="629">
        <v>1346107</v>
      </c>
      <c r="H20" s="629">
        <v>1330085</v>
      </c>
      <c r="I20" s="629">
        <v>1343519</v>
      </c>
      <c r="J20" s="629">
        <v>1348421</v>
      </c>
      <c r="K20" s="629">
        <v>1328673</v>
      </c>
      <c r="L20" s="629">
        <v>1314320</v>
      </c>
      <c r="M20" s="629">
        <v>1278510</v>
      </c>
      <c r="N20" s="629">
        <v>1273141</v>
      </c>
      <c r="O20" s="629">
        <v>1410205</v>
      </c>
      <c r="P20" s="629">
        <v>1496738</v>
      </c>
      <c r="Q20" s="629">
        <v>1460853</v>
      </c>
      <c r="R20" s="629">
        <v>2075392</v>
      </c>
      <c r="S20" s="629">
        <v>2279470</v>
      </c>
      <c r="T20" s="629">
        <v>2312781</v>
      </c>
      <c r="U20" s="629">
        <v>2286856</v>
      </c>
      <c r="V20" s="629">
        <v>2274928</v>
      </c>
      <c r="W20" s="629">
        <v>2399262</v>
      </c>
      <c r="X20" s="629">
        <v>2424785</v>
      </c>
      <c r="Y20" s="629">
        <v>2500723</v>
      </c>
      <c r="Z20" s="629">
        <v>2525686</v>
      </c>
      <c r="AA20" s="629">
        <v>2560186</v>
      </c>
      <c r="AB20" s="629">
        <v>2576562</v>
      </c>
      <c r="AC20" s="629">
        <v>2638793</v>
      </c>
      <c r="AD20" s="629">
        <v>2674164</v>
      </c>
      <c r="AE20" s="629">
        <v>2658787</v>
      </c>
      <c r="AF20" s="629">
        <v>2624400</v>
      </c>
      <c r="AG20" s="629">
        <v>2599485</v>
      </c>
      <c r="AH20" s="629">
        <v>2621864</v>
      </c>
      <c r="AI20" s="629">
        <v>2593886</v>
      </c>
      <c r="AJ20" s="629">
        <v>2566390</v>
      </c>
      <c r="AK20" s="629">
        <v>2544829</v>
      </c>
      <c r="AL20" s="629">
        <v>2646489</v>
      </c>
      <c r="AM20" s="629">
        <v>2815399</v>
      </c>
      <c r="AN20" s="629">
        <v>2870353</v>
      </c>
      <c r="AO20" s="629">
        <v>2945719</v>
      </c>
      <c r="AP20" s="629">
        <v>3133551</v>
      </c>
      <c r="AQ20" s="629">
        <v>2937066</v>
      </c>
      <c r="AR20" s="629">
        <v>2973042</v>
      </c>
      <c r="AS20" s="629">
        <v>2985395</v>
      </c>
      <c r="AT20" s="629">
        <v>3090298</v>
      </c>
      <c r="AU20" s="573">
        <f t="shared" si="0"/>
        <v>89.413170534112609</v>
      </c>
    </row>
    <row r="21" spans="3:47" ht="13.5" x14ac:dyDescent="0.4">
      <c r="C21" s="207" t="s">
        <v>241</v>
      </c>
      <c r="D21" s="629">
        <v>0</v>
      </c>
      <c r="E21" s="629">
        <v>1116034</v>
      </c>
      <c r="F21" s="629">
        <v>1141038</v>
      </c>
      <c r="G21" s="629">
        <v>1215258</v>
      </c>
      <c r="H21" s="629">
        <v>1211767</v>
      </c>
      <c r="I21" s="629">
        <v>1213273</v>
      </c>
      <c r="J21" s="629">
        <v>1212167</v>
      </c>
      <c r="K21" s="629">
        <v>1165408</v>
      </c>
      <c r="L21" s="629">
        <v>1162769</v>
      </c>
      <c r="M21" s="629">
        <v>1162769</v>
      </c>
      <c r="N21" s="629">
        <v>1163169</v>
      </c>
      <c r="O21" s="629">
        <v>1134031</v>
      </c>
      <c r="P21" s="629">
        <v>1132379</v>
      </c>
      <c r="Q21" s="629">
        <v>1049052</v>
      </c>
      <c r="R21" s="629">
        <v>610276</v>
      </c>
      <c r="S21" s="629">
        <v>498529</v>
      </c>
      <c r="T21" s="629">
        <v>501706</v>
      </c>
      <c r="U21" s="629">
        <v>503087</v>
      </c>
      <c r="V21" s="629">
        <v>493341</v>
      </c>
      <c r="W21" s="629">
        <v>477634</v>
      </c>
      <c r="X21" s="629">
        <v>498804</v>
      </c>
      <c r="Y21" s="629">
        <v>449092</v>
      </c>
      <c r="Z21" s="629">
        <v>461022</v>
      </c>
      <c r="AA21" s="629">
        <v>447435</v>
      </c>
      <c r="AB21" s="629">
        <v>364715</v>
      </c>
      <c r="AC21" s="629">
        <v>369685</v>
      </c>
      <c r="AD21" s="629">
        <v>369542</v>
      </c>
      <c r="AE21" s="629">
        <v>349056</v>
      </c>
      <c r="AF21" s="629">
        <v>324488</v>
      </c>
      <c r="AG21" s="629">
        <v>330080</v>
      </c>
      <c r="AH21" s="629">
        <v>339002</v>
      </c>
      <c r="AI21" s="629">
        <v>343417</v>
      </c>
      <c r="AJ21" s="629">
        <v>331731</v>
      </c>
      <c r="AK21" s="629">
        <v>367442</v>
      </c>
      <c r="AL21" s="629">
        <v>375282</v>
      </c>
      <c r="AM21" s="629">
        <v>369843</v>
      </c>
      <c r="AN21" s="629">
        <v>352143</v>
      </c>
      <c r="AO21" s="629">
        <v>342623</v>
      </c>
      <c r="AP21" s="629">
        <v>335503</v>
      </c>
      <c r="AQ21" s="629">
        <v>327071</v>
      </c>
      <c r="AR21" s="629">
        <v>291370</v>
      </c>
      <c r="AS21" s="629">
        <v>409635</v>
      </c>
      <c r="AT21" s="629">
        <v>343822</v>
      </c>
      <c r="AU21" s="573">
        <f t="shared" si="0"/>
        <v>9.9479775475956256</v>
      </c>
    </row>
    <row r="22" spans="3:47" ht="13.5" x14ac:dyDescent="0.4">
      <c r="C22" s="207" t="s">
        <v>242</v>
      </c>
      <c r="D22" s="629"/>
      <c r="E22" s="629"/>
      <c r="F22" s="629"/>
      <c r="G22" s="629"/>
      <c r="H22" s="629"/>
      <c r="I22" s="629"/>
      <c r="J22" s="629"/>
      <c r="K22" s="629"/>
      <c r="L22" s="629"/>
      <c r="M22" s="629"/>
      <c r="N22" s="629"/>
      <c r="O22" s="629"/>
      <c r="P22" s="629"/>
      <c r="Q22" s="629"/>
      <c r="R22" s="629"/>
      <c r="S22" s="629"/>
      <c r="T22" s="629"/>
      <c r="U22" s="629"/>
      <c r="V22" s="629"/>
      <c r="W22" s="629"/>
      <c r="X22" s="629"/>
      <c r="Y22" s="629"/>
      <c r="Z22" s="629"/>
      <c r="AA22" s="629"/>
      <c r="AB22" s="629"/>
      <c r="AC22" s="629"/>
      <c r="AD22" s="629"/>
      <c r="AE22" s="629"/>
      <c r="AF22" s="629"/>
      <c r="AG22" s="629"/>
      <c r="AH22" s="629"/>
      <c r="AI22" s="629"/>
      <c r="AJ22" s="629"/>
      <c r="AK22" s="629"/>
      <c r="AL22" s="629"/>
      <c r="AM22" s="629"/>
      <c r="AN22" s="629"/>
      <c r="AO22" s="629"/>
      <c r="AP22" s="629"/>
      <c r="AQ22" s="629"/>
      <c r="AR22" s="629"/>
      <c r="AS22" s="629"/>
      <c r="AT22" s="629"/>
      <c r="AU22" s="573">
        <f t="shared" si="0"/>
        <v>0</v>
      </c>
    </row>
    <row r="23" spans="3:47" ht="13.5" x14ac:dyDescent="0.4">
      <c r="C23" s="207" t="s">
        <v>243</v>
      </c>
      <c r="D23" s="629">
        <v>6866</v>
      </c>
      <c r="E23" s="629">
        <v>121</v>
      </c>
      <c r="F23" s="629">
        <v>125</v>
      </c>
      <c r="G23" s="629">
        <v>41</v>
      </c>
      <c r="H23" s="629">
        <v>172</v>
      </c>
      <c r="I23" s="629">
        <v>33133</v>
      </c>
      <c r="J23" s="629">
        <v>32995</v>
      </c>
      <c r="K23" s="629">
        <v>32066</v>
      </c>
      <c r="L23" s="629">
        <v>28421</v>
      </c>
      <c r="M23" s="629">
        <v>27408</v>
      </c>
      <c r="N23" s="629">
        <v>33880</v>
      </c>
      <c r="O23" s="629">
        <v>35670</v>
      </c>
      <c r="P23" s="629">
        <v>36278</v>
      </c>
      <c r="Q23" s="629">
        <v>35900</v>
      </c>
      <c r="R23" s="629">
        <v>36220</v>
      </c>
      <c r="S23" s="629">
        <v>38880</v>
      </c>
      <c r="T23" s="629">
        <v>40325</v>
      </c>
      <c r="U23" s="629">
        <v>38643</v>
      </c>
      <c r="V23" s="629">
        <v>38530</v>
      </c>
      <c r="W23" s="629">
        <v>33180</v>
      </c>
      <c r="X23" s="629">
        <v>32750</v>
      </c>
      <c r="Y23" s="629">
        <v>34409</v>
      </c>
      <c r="Z23" s="629">
        <v>32313</v>
      </c>
      <c r="AA23" s="629">
        <v>33246</v>
      </c>
      <c r="AB23" s="629">
        <v>33284</v>
      </c>
      <c r="AC23" s="629">
        <v>31074</v>
      </c>
      <c r="AD23" s="629">
        <v>28983</v>
      </c>
      <c r="AE23" s="629">
        <v>28534</v>
      </c>
      <c r="AF23" s="629">
        <v>28515</v>
      </c>
      <c r="AG23" s="629">
        <v>29899</v>
      </c>
      <c r="AH23" s="629">
        <v>30291</v>
      </c>
      <c r="AI23" s="629">
        <v>28860</v>
      </c>
      <c r="AJ23" s="629">
        <v>28919</v>
      </c>
      <c r="AK23" s="629">
        <v>27408</v>
      </c>
      <c r="AL23" s="629">
        <v>27577</v>
      </c>
      <c r="AM23" s="629">
        <v>25590</v>
      </c>
      <c r="AN23" s="629">
        <v>24185</v>
      </c>
      <c r="AO23" s="629">
        <v>25213</v>
      </c>
      <c r="AP23" s="629">
        <v>26096</v>
      </c>
      <c r="AQ23" s="629">
        <v>28101</v>
      </c>
      <c r="AR23" s="629">
        <v>30077</v>
      </c>
      <c r="AS23" s="629">
        <v>30830</v>
      </c>
      <c r="AT23" s="629">
        <v>32220</v>
      </c>
      <c r="AU23" s="573">
        <f t="shared" si="0"/>
        <v>0.93223771772466868</v>
      </c>
    </row>
    <row r="24" spans="3:47" ht="13.5" x14ac:dyDescent="0.4">
      <c r="C24" s="207" t="s">
        <v>244</v>
      </c>
      <c r="D24" s="629">
        <v>106768</v>
      </c>
      <c r="E24" s="629">
        <v>81104</v>
      </c>
      <c r="F24" s="629">
        <v>77713</v>
      </c>
      <c r="G24" s="629">
        <v>76946</v>
      </c>
      <c r="H24" s="629">
        <v>79146</v>
      </c>
      <c r="I24" s="629">
        <v>78019</v>
      </c>
      <c r="J24" s="629">
        <v>77292</v>
      </c>
      <c r="K24" s="629">
        <v>77695</v>
      </c>
      <c r="L24" s="629">
        <v>84948</v>
      </c>
      <c r="M24" s="629">
        <v>83384</v>
      </c>
      <c r="N24" s="629">
        <v>82467</v>
      </c>
      <c r="O24" s="629">
        <v>82971</v>
      </c>
      <c r="P24" s="629">
        <v>93319</v>
      </c>
      <c r="Q24" s="629">
        <v>92995</v>
      </c>
      <c r="R24" s="629">
        <v>92044</v>
      </c>
      <c r="S24" s="629">
        <v>92632</v>
      </c>
      <c r="T24" s="629">
        <v>100839</v>
      </c>
      <c r="U24" s="629">
        <v>98754</v>
      </c>
      <c r="V24" s="629">
        <v>101408</v>
      </c>
      <c r="W24" s="629">
        <v>106041</v>
      </c>
      <c r="X24" s="629">
        <v>116300</v>
      </c>
      <c r="Y24" s="629">
        <v>115844</v>
      </c>
      <c r="Z24" s="629">
        <v>117969</v>
      </c>
      <c r="AA24" s="629">
        <v>121011</v>
      </c>
      <c r="AB24" s="629">
        <v>132879</v>
      </c>
      <c r="AC24" s="629">
        <v>135092</v>
      </c>
      <c r="AD24" s="629">
        <v>139977</v>
      </c>
      <c r="AE24" s="629">
        <v>144973</v>
      </c>
      <c r="AF24" s="629">
        <v>160704</v>
      </c>
      <c r="AG24" s="629">
        <v>164405</v>
      </c>
      <c r="AH24" s="629">
        <v>171910</v>
      </c>
      <c r="AI24" s="629">
        <v>175857</v>
      </c>
      <c r="AJ24" s="629">
        <v>196238</v>
      </c>
      <c r="AK24" s="629">
        <v>194651</v>
      </c>
      <c r="AL24" s="629">
        <v>204713</v>
      </c>
      <c r="AM24" s="629">
        <v>211160</v>
      </c>
      <c r="AN24" s="629">
        <v>221502</v>
      </c>
      <c r="AO24" s="629">
        <v>221087</v>
      </c>
      <c r="AP24" s="629">
        <v>224447</v>
      </c>
      <c r="AQ24" s="629">
        <v>230550</v>
      </c>
      <c r="AR24" s="629">
        <v>243619</v>
      </c>
      <c r="AS24" s="629">
        <v>243603</v>
      </c>
      <c r="AT24" s="629">
        <v>243468</v>
      </c>
      <c r="AU24" s="573">
        <f t="shared" si="0"/>
        <v>7.0443840055552345</v>
      </c>
    </row>
    <row r="25" spans="3:47" ht="13.5" x14ac:dyDescent="0.4">
      <c r="C25" s="183" t="s">
        <v>543</v>
      </c>
      <c r="D25" s="629">
        <v>2855321</v>
      </c>
      <c r="F25" s="629"/>
      <c r="G25" s="629"/>
      <c r="H25" s="629"/>
      <c r="I25" s="629"/>
      <c r="J25" s="629"/>
      <c r="K25" s="629"/>
      <c r="L25" s="629"/>
      <c r="M25" s="629"/>
      <c r="N25" s="629"/>
      <c r="O25" s="629"/>
      <c r="P25" s="629"/>
      <c r="Q25" s="629"/>
      <c r="R25" s="629"/>
      <c r="S25" s="629"/>
      <c r="T25" s="629"/>
      <c r="U25" s="629"/>
      <c r="V25" s="629"/>
      <c r="W25" s="629"/>
      <c r="X25" s="629"/>
      <c r="Y25" s="629"/>
      <c r="Z25" s="629"/>
      <c r="AA25" s="629"/>
      <c r="AB25" s="629"/>
      <c r="AC25" s="629"/>
      <c r="AD25" s="629"/>
      <c r="AE25" s="629"/>
      <c r="AF25" s="629"/>
      <c r="AG25" s="629"/>
      <c r="AH25" s="629"/>
      <c r="AI25" s="629"/>
      <c r="AJ25" s="629"/>
      <c r="AK25" s="629"/>
      <c r="AL25" s="629"/>
      <c r="AM25" s="629"/>
      <c r="AN25" s="629"/>
      <c r="AO25" s="629"/>
      <c r="AP25" s="629"/>
      <c r="AQ25" s="629"/>
      <c r="AR25" s="629"/>
      <c r="AS25" s="629"/>
      <c r="AT25" s="629"/>
      <c r="AU25" s="573">
        <f t="shared" si="0"/>
        <v>0</v>
      </c>
    </row>
    <row r="26" spans="3:47" ht="13.5" x14ac:dyDescent="0.4">
      <c r="C26" s="183" t="s">
        <v>246</v>
      </c>
      <c r="D26" s="629">
        <v>0</v>
      </c>
      <c r="E26" s="629">
        <v>0</v>
      </c>
      <c r="F26" s="629">
        <v>0</v>
      </c>
      <c r="G26" s="629">
        <v>0</v>
      </c>
      <c r="H26" s="629">
        <v>0</v>
      </c>
      <c r="I26" s="629">
        <v>0</v>
      </c>
      <c r="J26" s="629">
        <v>0</v>
      </c>
      <c r="K26" s="629">
        <v>0</v>
      </c>
      <c r="L26" s="629">
        <v>0</v>
      </c>
      <c r="M26" s="629">
        <v>0</v>
      </c>
      <c r="N26" s="629">
        <v>0</v>
      </c>
      <c r="O26" s="629">
        <v>0</v>
      </c>
      <c r="P26" s="629">
        <v>0</v>
      </c>
      <c r="Q26" s="629">
        <v>0</v>
      </c>
      <c r="R26" s="629">
        <v>0</v>
      </c>
      <c r="S26" s="629">
        <v>0</v>
      </c>
      <c r="T26" s="629">
        <v>0</v>
      </c>
      <c r="U26" s="629">
        <v>0</v>
      </c>
      <c r="V26" s="629">
        <v>0</v>
      </c>
      <c r="W26" s="629">
        <v>0</v>
      </c>
      <c r="X26" s="629">
        <v>0</v>
      </c>
      <c r="Y26" s="629">
        <v>0</v>
      </c>
      <c r="Z26" s="629">
        <v>0</v>
      </c>
      <c r="AA26" s="629">
        <v>0</v>
      </c>
      <c r="AB26" s="629">
        <v>0</v>
      </c>
      <c r="AC26" s="629">
        <v>0</v>
      </c>
      <c r="AD26" s="629">
        <v>0</v>
      </c>
      <c r="AE26" s="629">
        <v>0</v>
      </c>
      <c r="AF26" s="629">
        <v>0</v>
      </c>
      <c r="AG26" s="629">
        <v>0</v>
      </c>
      <c r="AH26" s="629">
        <v>0</v>
      </c>
      <c r="AI26" s="629">
        <v>0</v>
      </c>
      <c r="AJ26" s="629">
        <v>0</v>
      </c>
      <c r="AK26" s="629">
        <v>0</v>
      </c>
      <c r="AL26" s="629">
        <v>0</v>
      </c>
      <c r="AM26" s="629">
        <v>0</v>
      </c>
      <c r="AN26" s="629">
        <v>0</v>
      </c>
      <c r="AO26" s="629">
        <v>0</v>
      </c>
      <c r="AP26" s="629">
        <v>0</v>
      </c>
      <c r="AQ26" s="629">
        <v>0</v>
      </c>
      <c r="AR26" s="629">
        <v>0</v>
      </c>
      <c r="AS26" s="629">
        <v>0</v>
      </c>
      <c r="AT26" s="629">
        <v>0</v>
      </c>
      <c r="AU26" s="573">
        <f t="shared" si="0"/>
        <v>0</v>
      </c>
    </row>
    <row r="27" spans="3:47" ht="13.5" x14ac:dyDescent="0.4">
      <c r="C27" s="183" t="s">
        <v>247</v>
      </c>
      <c r="D27" s="629">
        <v>0</v>
      </c>
      <c r="E27" s="629">
        <v>0</v>
      </c>
      <c r="F27" s="629">
        <v>0</v>
      </c>
      <c r="G27" s="629">
        <v>0</v>
      </c>
      <c r="H27" s="629">
        <v>0</v>
      </c>
      <c r="I27" s="629">
        <v>0</v>
      </c>
      <c r="J27" s="629">
        <v>0</v>
      </c>
      <c r="K27" s="629">
        <v>0</v>
      </c>
      <c r="L27" s="629">
        <v>0</v>
      </c>
      <c r="M27" s="629">
        <v>0</v>
      </c>
      <c r="N27" s="629">
        <v>0</v>
      </c>
      <c r="O27" s="629">
        <v>0</v>
      </c>
      <c r="P27" s="629">
        <v>0</v>
      </c>
      <c r="Q27" s="629">
        <v>0</v>
      </c>
      <c r="R27" s="629">
        <v>0</v>
      </c>
      <c r="S27" s="629">
        <v>0</v>
      </c>
      <c r="T27" s="629">
        <v>0</v>
      </c>
      <c r="U27" s="629">
        <v>0</v>
      </c>
      <c r="V27" s="629">
        <v>0</v>
      </c>
      <c r="W27" s="629">
        <v>0</v>
      </c>
      <c r="X27" s="629">
        <v>0</v>
      </c>
      <c r="Y27" s="629">
        <v>0</v>
      </c>
      <c r="Z27" s="629">
        <v>0</v>
      </c>
      <c r="AA27" s="629">
        <v>0</v>
      </c>
      <c r="AB27" s="629">
        <v>0</v>
      </c>
      <c r="AC27" s="629">
        <v>0</v>
      </c>
      <c r="AD27" s="629">
        <v>0</v>
      </c>
      <c r="AE27" s="629">
        <v>0</v>
      </c>
      <c r="AF27" s="629">
        <v>0</v>
      </c>
      <c r="AG27" s="629">
        <v>0</v>
      </c>
      <c r="AH27" s="629">
        <v>0</v>
      </c>
      <c r="AI27" s="629">
        <v>0</v>
      </c>
      <c r="AJ27" s="629">
        <v>0</v>
      </c>
      <c r="AK27" s="629">
        <v>0</v>
      </c>
      <c r="AL27" s="629">
        <v>0</v>
      </c>
      <c r="AM27" s="629">
        <v>0</v>
      </c>
      <c r="AN27" s="629">
        <v>0</v>
      </c>
      <c r="AO27" s="629">
        <v>0</v>
      </c>
      <c r="AP27" s="629">
        <v>0</v>
      </c>
      <c r="AQ27" s="629">
        <v>0</v>
      </c>
      <c r="AR27" s="629">
        <v>0</v>
      </c>
      <c r="AS27" s="629">
        <v>0</v>
      </c>
      <c r="AT27" s="629">
        <v>0</v>
      </c>
      <c r="AU27" s="573">
        <f t="shared" si="0"/>
        <v>0</v>
      </c>
    </row>
    <row r="28" spans="3:47" ht="13.5" x14ac:dyDescent="0.4">
      <c r="C28" s="183" t="s">
        <v>248</v>
      </c>
      <c r="D28" s="629">
        <v>0</v>
      </c>
      <c r="E28" s="629">
        <v>1349</v>
      </c>
      <c r="F28" s="629">
        <v>2424</v>
      </c>
      <c r="G28" s="629">
        <v>2363</v>
      </c>
      <c r="H28" s="629">
        <v>5865</v>
      </c>
      <c r="I28" s="629">
        <v>5782</v>
      </c>
      <c r="J28" s="629">
        <v>7150</v>
      </c>
      <c r="K28" s="629">
        <v>9081</v>
      </c>
      <c r="L28" s="629">
        <v>10775</v>
      </c>
      <c r="M28" s="629">
        <v>8634</v>
      </c>
      <c r="N28" s="629">
        <v>11390</v>
      </c>
      <c r="O28" s="629">
        <v>20786</v>
      </c>
      <c r="P28" s="629">
        <v>18696</v>
      </c>
      <c r="Q28" s="629">
        <v>15944</v>
      </c>
      <c r="R28" s="629">
        <v>17276</v>
      </c>
      <c r="S28" s="629">
        <v>17535</v>
      </c>
      <c r="T28" s="629">
        <v>21712</v>
      </c>
      <c r="U28" s="629">
        <v>22708</v>
      </c>
      <c r="V28" s="629">
        <v>20949</v>
      </c>
      <c r="W28" s="629">
        <v>23386</v>
      </c>
      <c r="X28" s="629">
        <v>21938</v>
      </c>
      <c r="Y28" s="629">
        <v>22003</v>
      </c>
      <c r="Z28" s="629">
        <v>21348</v>
      </c>
      <c r="AA28" s="629">
        <v>19587</v>
      </c>
      <c r="AB28" s="629">
        <v>22789</v>
      </c>
      <c r="AC28" s="629">
        <v>20860</v>
      </c>
      <c r="AD28" s="629">
        <v>21877</v>
      </c>
      <c r="AE28" s="629">
        <v>24401</v>
      </c>
      <c r="AF28" s="629">
        <v>28860</v>
      </c>
      <c r="AG28" s="629">
        <v>25805</v>
      </c>
      <c r="AH28" s="629">
        <v>21480</v>
      </c>
      <c r="AI28" s="629">
        <v>19553</v>
      </c>
      <c r="AJ28" s="629">
        <v>24758</v>
      </c>
      <c r="AK28" s="629">
        <v>24665</v>
      </c>
      <c r="AL28" s="629">
        <v>22037</v>
      </c>
      <c r="AM28" s="629">
        <v>19288</v>
      </c>
      <c r="AN28" s="629">
        <v>21066</v>
      </c>
      <c r="AO28" s="629">
        <v>18619</v>
      </c>
      <c r="AP28" s="629">
        <v>17265</v>
      </c>
      <c r="AQ28" s="629">
        <v>15158</v>
      </c>
      <c r="AR28" s="629">
        <v>28398</v>
      </c>
      <c r="AS28" s="629">
        <v>31109</v>
      </c>
      <c r="AT28" s="629">
        <v>34839</v>
      </c>
      <c r="AU28" s="573">
        <f t="shared" si="0"/>
        <v>1.0080145824894393</v>
      </c>
    </row>
    <row r="29" spans="3:47" ht="13.5" x14ac:dyDescent="0.4">
      <c r="C29" s="183" t="s">
        <v>249</v>
      </c>
      <c r="D29" s="469">
        <v>46265</v>
      </c>
      <c r="E29" s="469">
        <v>98675</v>
      </c>
      <c r="F29" s="469">
        <v>103602</v>
      </c>
      <c r="G29" s="469">
        <v>103554</v>
      </c>
      <c r="H29" s="469">
        <v>93396</v>
      </c>
      <c r="I29" s="469">
        <v>150094</v>
      </c>
      <c r="J29" s="469">
        <v>118746</v>
      </c>
      <c r="K29" s="469">
        <v>116096</v>
      </c>
      <c r="L29" s="469">
        <v>105749</v>
      </c>
      <c r="M29" s="469">
        <v>115388</v>
      </c>
      <c r="N29" s="469">
        <v>112085</v>
      </c>
      <c r="O29" s="469">
        <v>118185</v>
      </c>
      <c r="P29" s="469">
        <v>108781</v>
      </c>
      <c r="Q29" s="469">
        <v>131132</v>
      </c>
      <c r="R29" s="469">
        <v>128089</v>
      </c>
      <c r="S29" s="469">
        <v>152239</v>
      </c>
      <c r="T29" s="469">
        <v>122462</v>
      </c>
      <c r="U29" s="469">
        <v>157664</v>
      </c>
      <c r="V29" s="469">
        <v>155830</v>
      </c>
      <c r="W29" s="469">
        <v>157434</v>
      </c>
      <c r="X29" s="469">
        <v>149933</v>
      </c>
      <c r="Y29" s="469">
        <v>188900</v>
      </c>
      <c r="Z29" s="469">
        <v>204920</v>
      </c>
      <c r="AA29" s="469">
        <v>208866</v>
      </c>
      <c r="AB29" s="469">
        <v>260003</v>
      </c>
      <c r="AC29" s="469">
        <v>324559</v>
      </c>
      <c r="AD29" s="469">
        <v>478684</v>
      </c>
      <c r="AE29" s="469">
        <v>281127</v>
      </c>
      <c r="AF29" s="469">
        <v>265279</v>
      </c>
      <c r="AG29" s="469">
        <v>320090</v>
      </c>
      <c r="AH29" s="469">
        <v>302531</v>
      </c>
      <c r="AI29" s="469">
        <v>273818</v>
      </c>
      <c r="AJ29" s="469">
        <v>263193</v>
      </c>
      <c r="AK29" s="469">
        <v>310758</v>
      </c>
      <c r="AL29" s="469">
        <v>281662</v>
      </c>
      <c r="AM29" s="469">
        <v>318858</v>
      </c>
      <c r="AN29" s="469">
        <v>347004</v>
      </c>
      <c r="AO29" s="469">
        <v>392672</v>
      </c>
      <c r="AP29" s="469">
        <v>395777</v>
      </c>
      <c r="AQ29" s="469">
        <v>413432</v>
      </c>
      <c r="AR29" s="469">
        <v>368232</v>
      </c>
      <c r="AS29" s="469">
        <v>397479</v>
      </c>
      <c r="AT29" s="469">
        <v>460165</v>
      </c>
      <c r="AU29" s="573">
        <f t="shared" si="0"/>
        <v>13.314188993692495</v>
      </c>
    </row>
    <row r="30" spans="3:47" ht="13.9" thickBot="1" x14ac:dyDescent="0.45">
      <c r="C30" s="209" t="s">
        <v>250</v>
      </c>
      <c r="D30" s="631">
        <v>7509118</v>
      </c>
      <c r="E30" s="631">
        <v>7880806</v>
      </c>
      <c r="F30" s="631">
        <v>8303988</v>
      </c>
      <c r="G30" s="631">
        <v>8597756</v>
      </c>
      <c r="H30" s="631">
        <v>8684288</v>
      </c>
      <c r="I30" s="631">
        <v>9141387</v>
      </c>
      <c r="J30" s="631">
        <v>9399960</v>
      </c>
      <c r="K30" s="631">
        <v>9384347</v>
      </c>
      <c r="L30" s="631">
        <v>9757654</v>
      </c>
      <c r="M30" s="631">
        <v>10978966</v>
      </c>
      <c r="N30" s="631">
        <v>11435086</v>
      </c>
      <c r="O30" s="631">
        <v>11670134</v>
      </c>
      <c r="P30" s="631">
        <v>11785053</v>
      </c>
      <c r="Q30" s="631">
        <v>12553385</v>
      </c>
      <c r="R30" s="631">
        <v>12960381</v>
      </c>
      <c r="S30" s="631">
        <v>13417887</v>
      </c>
      <c r="T30" s="631">
        <v>13458622</v>
      </c>
      <c r="U30" s="631">
        <v>14389996</v>
      </c>
      <c r="V30" s="631">
        <v>14896048</v>
      </c>
      <c r="W30" s="631">
        <v>15127002</v>
      </c>
      <c r="X30" s="631">
        <v>15476868</v>
      </c>
      <c r="Y30" s="631">
        <v>16431196</v>
      </c>
      <c r="Z30" s="631">
        <v>17073050</v>
      </c>
      <c r="AA30" s="631">
        <v>17371150</v>
      </c>
      <c r="AB30" s="631">
        <v>17542217</v>
      </c>
      <c r="AC30" s="631">
        <v>18357278</v>
      </c>
      <c r="AD30" s="631">
        <v>18723353</v>
      </c>
      <c r="AE30" s="631">
        <v>18742548</v>
      </c>
      <c r="AF30" s="631">
        <v>18917752</v>
      </c>
      <c r="AG30" s="631">
        <v>19734683</v>
      </c>
      <c r="AH30" s="631">
        <v>20303677</v>
      </c>
      <c r="AI30" s="631">
        <v>20150956</v>
      </c>
      <c r="AJ30" s="631">
        <v>20609953</v>
      </c>
      <c r="AK30" s="631">
        <v>21396633</v>
      </c>
      <c r="AL30" s="631">
        <v>22417295</v>
      </c>
      <c r="AM30" s="631">
        <v>22104917</v>
      </c>
      <c r="AN30" s="631">
        <v>22209780</v>
      </c>
      <c r="AO30" s="631">
        <v>22883325</v>
      </c>
      <c r="AP30" s="631">
        <v>23524327</v>
      </c>
      <c r="AQ30" s="631">
        <v>23646472</v>
      </c>
      <c r="AR30" s="631">
        <v>24137265</v>
      </c>
      <c r="AS30" s="631">
        <v>24904936</v>
      </c>
      <c r="AT30" s="631">
        <v>25514046</v>
      </c>
      <c r="AU30" s="573"/>
    </row>
    <row r="31" spans="3:47" x14ac:dyDescent="0.4">
      <c r="D31" s="1032">
        <v>0</v>
      </c>
      <c r="E31" s="1032">
        <v>-2718</v>
      </c>
      <c r="F31" s="1032">
        <v>0</v>
      </c>
      <c r="G31" s="1032">
        <v>0</v>
      </c>
      <c r="H31" s="1032">
        <v>0</v>
      </c>
      <c r="I31" s="1032">
        <v>0</v>
      </c>
      <c r="J31" s="1032">
        <v>0</v>
      </c>
      <c r="K31" s="1032">
        <v>0</v>
      </c>
      <c r="L31" s="1032">
        <v>0</v>
      </c>
      <c r="M31" s="1032">
        <v>0</v>
      </c>
      <c r="N31" s="1032">
        <v>0</v>
      </c>
      <c r="O31" s="1032">
        <v>0</v>
      </c>
      <c r="P31" s="1032">
        <v>0</v>
      </c>
      <c r="Q31" s="1032">
        <v>0</v>
      </c>
      <c r="R31" s="1032">
        <v>0</v>
      </c>
      <c r="S31" s="1032">
        <v>0</v>
      </c>
      <c r="T31" s="1032">
        <v>0</v>
      </c>
      <c r="U31" s="1032">
        <v>0</v>
      </c>
      <c r="V31" s="1032">
        <v>0</v>
      </c>
      <c r="W31" s="1032">
        <v>0</v>
      </c>
      <c r="X31" s="1032">
        <v>0</v>
      </c>
      <c r="Y31" s="1032">
        <v>0</v>
      </c>
      <c r="Z31" s="1032">
        <v>0</v>
      </c>
      <c r="AA31" s="1032">
        <v>0</v>
      </c>
      <c r="AB31" s="1032">
        <v>0</v>
      </c>
      <c r="AC31" s="1032">
        <v>0</v>
      </c>
      <c r="AD31" s="1032">
        <v>0</v>
      </c>
      <c r="AE31" s="1032">
        <v>0</v>
      </c>
      <c r="AF31" s="1032">
        <v>0</v>
      </c>
      <c r="AG31" s="1032">
        <v>0</v>
      </c>
      <c r="AH31" s="1032">
        <v>0</v>
      </c>
      <c r="AI31" s="1032">
        <v>0</v>
      </c>
      <c r="AJ31" s="1032">
        <v>0</v>
      </c>
      <c r="AK31" s="1032">
        <v>0</v>
      </c>
      <c r="AL31" s="1032">
        <v>0</v>
      </c>
      <c r="AM31" s="1032">
        <v>0</v>
      </c>
      <c r="AN31" s="1032">
        <v>0</v>
      </c>
      <c r="AO31" s="1032">
        <v>0</v>
      </c>
      <c r="AP31" s="1032">
        <v>0</v>
      </c>
      <c r="AQ31" s="1032">
        <v>0</v>
      </c>
      <c r="AR31" s="1032">
        <v>0</v>
      </c>
      <c r="AS31" s="1032">
        <v>0</v>
      </c>
      <c r="AT31" s="1032">
        <v>0</v>
      </c>
    </row>
    <row r="32" spans="3:47" ht="13.9" thickBot="1" x14ac:dyDescent="0.45">
      <c r="C32" s="212" t="s">
        <v>251</v>
      </c>
      <c r="AF32" s="630"/>
      <c r="AG32" s="630"/>
      <c r="AJ32" s="630"/>
      <c r="AK32" s="630"/>
      <c r="AN32" s="634"/>
      <c r="AO32" s="634"/>
      <c r="AR32" s="634"/>
      <c r="AS32" s="634"/>
      <c r="AT32" s="630">
        <v>0</v>
      </c>
    </row>
    <row r="33" spans="3:47" ht="13.5" x14ac:dyDescent="0.4">
      <c r="C33" s="205" t="s">
        <v>252</v>
      </c>
      <c r="D33" s="635">
        <v>0</v>
      </c>
      <c r="E33" s="635">
        <v>0</v>
      </c>
      <c r="F33" s="635">
        <v>0</v>
      </c>
      <c r="G33" s="635">
        <v>0</v>
      </c>
      <c r="H33" s="635">
        <v>0</v>
      </c>
      <c r="I33" s="635">
        <v>0</v>
      </c>
      <c r="J33" s="635">
        <v>0</v>
      </c>
      <c r="K33" s="635">
        <v>0</v>
      </c>
      <c r="L33" s="635">
        <v>0</v>
      </c>
      <c r="M33" s="635">
        <v>0</v>
      </c>
      <c r="N33" s="635">
        <v>0</v>
      </c>
      <c r="O33" s="635">
        <v>0</v>
      </c>
      <c r="P33" s="635">
        <v>0</v>
      </c>
      <c r="Q33" s="635">
        <v>0</v>
      </c>
      <c r="R33" s="635">
        <v>0</v>
      </c>
      <c r="S33" s="635">
        <v>0</v>
      </c>
      <c r="T33" s="635">
        <v>51</v>
      </c>
      <c r="U33" s="635">
        <v>81</v>
      </c>
      <c r="V33" s="635">
        <v>100</v>
      </c>
      <c r="W33" s="635">
        <v>100</v>
      </c>
      <c r="X33" s="635">
        <v>100</v>
      </c>
      <c r="Y33" s="635">
        <v>70</v>
      </c>
      <c r="Z33" s="635">
        <v>437</v>
      </c>
      <c r="AA33" s="635">
        <v>237</v>
      </c>
      <c r="AB33" s="635">
        <v>1133</v>
      </c>
      <c r="AC33" s="635">
        <v>680</v>
      </c>
      <c r="AD33" s="635">
        <v>717</v>
      </c>
      <c r="AE33" s="635">
        <v>792</v>
      </c>
      <c r="AF33" s="635">
        <v>724</v>
      </c>
      <c r="AG33" s="635">
        <v>686</v>
      </c>
      <c r="AH33" s="635">
        <v>745</v>
      </c>
      <c r="AI33" s="635">
        <v>699</v>
      </c>
      <c r="AJ33" s="635">
        <v>631</v>
      </c>
      <c r="AK33" s="635">
        <v>333</v>
      </c>
      <c r="AL33" s="635">
        <v>332</v>
      </c>
      <c r="AM33" s="635">
        <v>338</v>
      </c>
      <c r="AN33" s="635">
        <v>210</v>
      </c>
      <c r="AO33" s="635">
        <v>182</v>
      </c>
      <c r="AP33" s="635">
        <v>380</v>
      </c>
      <c r="AQ33" s="635">
        <v>178</v>
      </c>
      <c r="AR33" s="635">
        <v>545</v>
      </c>
      <c r="AS33" s="635">
        <v>534</v>
      </c>
      <c r="AT33" s="635">
        <v>511</v>
      </c>
      <c r="AU33" s="573">
        <f>AT33/33240</f>
        <v>1.5373044524669073E-2</v>
      </c>
    </row>
    <row r="34" spans="3:47" ht="13.5" x14ac:dyDescent="0.4">
      <c r="C34" s="207" t="s">
        <v>253</v>
      </c>
      <c r="D34" s="629">
        <v>367494</v>
      </c>
      <c r="E34" s="629">
        <v>535501</v>
      </c>
      <c r="F34" s="629">
        <v>751193</v>
      </c>
      <c r="G34" s="629">
        <v>875239</v>
      </c>
      <c r="H34" s="629">
        <v>727609</v>
      </c>
      <c r="I34" s="629">
        <v>783982</v>
      </c>
      <c r="J34" s="629">
        <v>802408</v>
      </c>
      <c r="K34" s="629">
        <v>532660</v>
      </c>
      <c r="L34" s="629">
        <v>592607</v>
      </c>
      <c r="M34" s="629">
        <v>879103</v>
      </c>
      <c r="N34" s="629">
        <v>971328</v>
      </c>
      <c r="O34" s="629">
        <v>914626</v>
      </c>
      <c r="P34" s="629">
        <v>931010</v>
      </c>
      <c r="Q34" s="629">
        <v>1075489</v>
      </c>
      <c r="R34" s="629">
        <v>995529</v>
      </c>
      <c r="S34" s="629">
        <v>893172</v>
      </c>
      <c r="T34" s="629">
        <v>922369</v>
      </c>
      <c r="U34" s="629">
        <v>985810</v>
      </c>
      <c r="V34" s="629">
        <v>1073383</v>
      </c>
      <c r="W34" s="629">
        <v>1041527</v>
      </c>
      <c r="X34" s="629">
        <v>1091494</v>
      </c>
      <c r="Y34" s="629">
        <v>1332901</v>
      </c>
      <c r="Z34" s="629">
        <v>1335534</v>
      </c>
      <c r="AA34" s="629">
        <v>1340243</v>
      </c>
      <c r="AB34" s="629">
        <v>1232623</v>
      </c>
      <c r="AC34" s="629">
        <v>1014118</v>
      </c>
      <c r="AD34" s="629">
        <v>906201</v>
      </c>
      <c r="AE34" s="629">
        <v>885275</v>
      </c>
      <c r="AF34" s="629">
        <v>867094</v>
      </c>
      <c r="AG34" s="629">
        <v>967370</v>
      </c>
      <c r="AH34" s="629">
        <v>943814</v>
      </c>
      <c r="AI34" s="629">
        <v>984026</v>
      </c>
      <c r="AJ34" s="629">
        <v>1106776</v>
      </c>
      <c r="AK34" s="629">
        <v>1351631</v>
      </c>
      <c r="AL34" s="629">
        <v>2123898</v>
      </c>
      <c r="AM34" s="629">
        <v>1591301</v>
      </c>
      <c r="AN34" s="629">
        <v>1788267</v>
      </c>
      <c r="AO34" s="629">
        <v>1511547</v>
      </c>
      <c r="AP34" s="629">
        <v>1724732</v>
      </c>
      <c r="AQ34" s="629">
        <v>1299723</v>
      </c>
      <c r="AR34" s="629">
        <v>1516692</v>
      </c>
      <c r="AS34" s="629">
        <v>1216132</v>
      </c>
      <c r="AT34" s="629">
        <v>1319406</v>
      </c>
      <c r="AU34" s="573">
        <f t="shared" ref="AU34:AU47" si="1">AT34/33240</f>
        <v>39.693321299638988</v>
      </c>
    </row>
    <row r="35" spans="3:47" ht="13.5" x14ac:dyDescent="0.4">
      <c r="C35" s="207" t="s">
        <v>774</v>
      </c>
      <c r="D35" s="629">
        <v>32824</v>
      </c>
      <c r="E35" s="629">
        <v>45842</v>
      </c>
      <c r="F35" s="629">
        <v>39008</v>
      </c>
      <c r="G35" s="629">
        <v>51809</v>
      </c>
      <c r="H35" s="629">
        <v>77565</v>
      </c>
      <c r="I35" s="629">
        <v>99770</v>
      </c>
      <c r="J35" s="629">
        <v>64884</v>
      </c>
      <c r="K35" s="629">
        <v>61056</v>
      </c>
      <c r="L35" s="629">
        <v>53647</v>
      </c>
      <c r="M35" s="629">
        <v>51964</v>
      </c>
      <c r="N35" s="629">
        <v>39930</v>
      </c>
      <c r="O35" s="629">
        <v>49510</v>
      </c>
      <c r="P35" s="629">
        <v>70624</v>
      </c>
      <c r="Q35" s="629">
        <v>92125</v>
      </c>
      <c r="R35" s="629">
        <v>105426</v>
      </c>
      <c r="S35" s="629">
        <v>116266</v>
      </c>
      <c r="T35" s="629">
        <v>125633</v>
      </c>
      <c r="U35" s="629">
        <v>172661</v>
      </c>
      <c r="V35" s="629">
        <v>210625</v>
      </c>
      <c r="W35" s="629">
        <v>262883</v>
      </c>
      <c r="X35" s="629">
        <v>249796</v>
      </c>
      <c r="Y35" s="629">
        <v>287438</v>
      </c>
      <c r="Z35" s="629">
        <v>268561</v>
      </c>
      <c r="AA35" s="629">
        <v>238376</v>
      </c>
      <c r="AB35" s="629">
        <v>254182</v>
      </c>
      <c r="AC35" s="629">
        <v>387793</v>
      </c>
      <c r="AD35" s="629">
        <v>365242</v>
      </c>
      <c r="AE35" s="629">
        <v>334360</v>
      </c>
      <c r="AF35" s="629">
        <v>402161</v>
      </c>
      <c r="AG35" s="629">
        <v>488112</v>
      </c>
      <c r="AH35" s="629">
        <v>474385</v>
      </c>
      <c r="AI35" s="629">
        <v>445843</v>
      </c>
      <c r="AJ35" s="629">
        <v>432463</v>
      </c>
      <c r="AK35" s="629">
        <v>440830</v>
      </c>
      <c r="AL35" s="629">
        <v>438877</v>
      </c>
      <c r="AM35" s="629">
        <v>470335</v>
      </c>
      <c r="AN35" s="629">
        <v>477593</v>
      </c>
      <c r="AO35" s="629">
        <v>537987</v>
      </c>
      <c r="AP35" s="629">
        <v>520531</v>
      </c>
      <c r="AQ35" s="629">
        <v>577756</v>
      </c>
      <c r="AR35" s="629">
        <v>500107</v>
      </c>
      <c r="AS35" s="629">
        <v>559996</v>
      </c>
      <c r="AT35" s="629">
        <v>495639</v>
      </c>
      <c r="AU35" s="573">
        <f t="shared" si="1"/>
        <v>14.910920577617329</v>
      </c>
    </row>
    <row r="36" spans="3:47" ht="13.5" x14ac:dyDescent="0.4">
      <c r="C36" s="207" t="s">
        <v>255</v>
      </c>
      <c r="D36" s="629">
        <v>0</v>
      </c>
      <c r="E36" s="629">
        <v>0</v>
      </c>
      <c r="F36" s="629">
        <v>26106</v>
      </c>
      <c r="G36" s="629">
        <v>23401</v>
      </c>
      <c r="H36" s="629">
        <v>15590</v>
      </c>
      <c r="I36" s="629">
        <v>8455</v>
      </c>
      <c r="J36" s="629">
        <v>9122</v>
      </c>
      <c r="K36" s="629">
        <v>11742</v>
      </c>
      <c r="L36" s="629">
        <v>11834</v>
      </c>
      <c r="M36" s="629">
        <v>10997</v>
      </c>
      <c r="N36" s="629">
        <v>15288</v>
      </c>
      <c r="O36" s="629">
        <v>16769</v>
      </c>
      <c r="P36" s="629">
        <v>15831</v>
      </c>
      <c r="Q36" s="629">
        <v>20314</v>
      </c>
      <c r="R36" s="629">
        <v>8628</v>
      </c>
      <c r="S36" s="629">
        <v>8340</v>
      </c>
      <c r="T36" s="629">
        <v>6670</v>
      </c>
      <c r="U36" s="629">
        <v>123672</v>
      </c>
      <c r="V36" s="629">
        <v>130876</v>
      </c>
      <c r="W36" s="629">
        <v>174833</v>
      </c>
      <c r="X36" s="629">
        <v>171973</v>
      </c>
      <c r="Y36" s="629">
        <v>354185</v>
      </c>
      <c r="Z36" s="629">
        <v>394471</v>
      </c>
      <c r="AA36" s="629">
        <v>246946</v>
      </c>
      <c r="AB36" s="629">
        <v>319742</v>
      </c>
      <c r="AC36" s="629">
        <v>258841</v>
      </c>
      <c r="AD36" s="629">
        <v>389503</v>
      </c>
      <c r="AE36" s="629">
        <v>451565</v>
      </c>
      <c r="AF36" s="629">
        <v>553607</v>
      </c>
      <c r="AG36" s="629">
        <v>562171</v>
      </c>
      <c r="AH36" s="629">
        <v>642497</v>
      </c>
      <c r="AI36" s="629">
        <v>615708</v>
      </c>
      <c r="AJ36" s="629">
        <v>589385</v>
      </c>
      <c r="AK36" s="629">
        <v>653230</v>
      </c>
      <c r="AL36" s="629">
        <v>499095</v>
      </c>
      <c r="AM36" s="629">
        <v>465857</v>
      </c>
      <c r="AN36" s="629">
        <v>303927</v>
      </c>
      <c r="AO36" s="629">
        <v>353508</v>
      </c>
      <c r="AP36" s="629">
        <v>346986</v>
      </c>
      <c r="AQ36" s="629">
        <v>339693</v>
      </c>
      <c r="AR36" s="629">
        <v>366752</v>
      </c>
      <c r="AS36" s="629">
        <v>395859</v>
      </c>
      <c r="AT36" s="629">
        <v>455303</v>
      </c>
      <c r="AU36" s="573">
        <f t="shared" si="1"/>
        <v>13.697442839951865</v>
      </c>
    </row>
    <row r="37" spans="3:47" ht="13.5" x14ac:dyDescent="0.4">
      <c r="C37" s="207" t="s">
        <v>256</v>
      </c>
      <c r="D37" s="629">
        <v>2613</v>
      </c>
      <c r="E37" s="629">
        <v>3000</v>
      </c>
      <c r="F37" s="629">
        <v>3489</v>
      </c>
      <c r="G37" s="629">
        <v>4533</v>
      </c>
      <c r="H37" s="629">
        <v>7127</v>
      </c>
      <c r="I37" s="629">
        <v>12243</v>
      </c>
      <c r="J37" s="629">
        <v>8841</v>
      </c>
      <c r="K37" s="629">
        <v>8242</v>
      </c>
      <c r="L37" s="629">
        <v>13612</v>
      </c>
      <c r="M37" s="629">
        <v>9452</v>
      </c>
      <c r="N37" s="629">
        <v>7697</v>
      </c>
      <c r="O37" s="629">
        <v>9484</v>
      </c>
      <c r="P37" s="629">
        <v>7773</v>
      </c>
      <c r="Q37" s="629">
        <v>7151</v>
      </c>
      <c r="R37" s="629">
        <v>10248</v>
      </c>
      <c r="S37" s="629">
        <v>10416</v>
      </c>
      <c r="T37" s="629">
        <v>10564</v>
      </c>
      <c r="U37" s="629">
        <v>10286</v>
      </c>
      <c r="V37" s="629">
        <v>11025</v>
      </c>
      <c r="W37" s="629">
        <v>13808</v>
      </c>
      <c r="X37" s="629">
        <v>12617</v>
      </c>
      <c r="Y37" s="629">
        <v>9828</v>
      </c>
      <c r="Z37" s="629">
        <v>13387</v>
      </c>
      <c r="AA37" s="629">
        <v>12832</v>
      </c>
      <c r="AB37" s="629">
        <v>13261</v>
      </c>
      <c r="AC37" s="629">
        <v>15611</v>
      </c>
      <c r="AD37" s="629">
        <v>23851</v>
      </c>
      <c r="AE37" s="629">
        <v>15932</v>
      </c>
      <c r="AF37" s="629">
        <v>19168</v>
      </c>
      <c r="AG37" s="629">
        <v>25918</v>
      </c>
      <c r="AH37" s="629">
        <v>23579</v>
      </c>
      <c r="AI37" s="629">
        <v>39064</v>
      </c>
      <c r="AJ37" s="629">
        <v>24191</v>
      </c>
      <c r="AK37" s="629">
        <v>80685</v>
      </c>
      <c r="AL37" s="629">
        <v>66790</v>
      </c>
      <c r="AM37" s="629">
        <v>67375</v>
      </c>
      <c r="AN37" s="629">
        <v>76826</v>
      </c>
      <c r="AO37" s="629">
        <v>97339</v>
      </c>
      <c r="AP37" s="629">
        <v>79431</v>
      </c>
      <c r="AQ37" s="629">
        <v>74278</v>
      </c>
      <c r="AR37" s="629">
        <v>89960</v>
      </c>
      <c r="AS37" s="629">
        <v>71726</v>
      </c>
      <c r="AT37" s="629">
        <v>52436</v>
      </c>
      <c r="AU37" s="573">
        <f t="shared" si="1"/>
        <v>1.5774969915764139</v>
      </c>
    </row>
    <row r="38" spans="3:47" ht="13.5" x14ac:dyDescent="0.4">
      <c r="C38" s="207" t="s">
        <v>257</v>
      </c>
      <c r="D38" s="629">
        <v>48610</v>
      </c>
      <c r="E38" s="629">
        <v>24984</v>
      </c>
      <c r="F38" s="629">
        <v>85571</v>
      </c>
      <c r="G38" s="629">
        <v>59900</v>
      </c>
      <c r="H38" s="629">
        <v>193508</v>
      </c>
      <c r="I38" s="629">
        <v>188976</v>
      </c>
      <c r="J38" s="629">
        <v>186636</v>
      </c>
      <c r="K38" s="629">
        <v>43633</v>
      </c>
      <c r="L38" s="629">
        <v>4648</v>
      </c>
      <c r="M38" s="629">
        <v>4957</v>
      </c>
      <c r="N38" s="629">
        <v>6877</v>
      </c>
      <c r="O38" s="629">
        <v>6046</v>
      </c>
      <c r="P38" s="629">
        <v>36060</v>
      </c>
      <c r="Q38" s="629">
        <v>617</v>
      </c>
      <c r="R38" s="629">
        <v>9100</v>
      </c>
      <c r="S38" s="629">
        <v>2999</v>
      </c>
      <c r="T38" s="629">
        <v>84888</v>
      </c>
      <c r="U38" s="629">
        <v>81746</v>
      </c>
      <c r="V38" s="629">
        <v>61901</v>
      </c>
      <c r="W38" s="629">
        <v>136069</v>
      </c>
      <c r="X38" s="629">
        <v>206254</v>
      </c>
      <c r="Y38" s="629">
        <v>241058</v>
      </c>
      <c r="Z38" s="629">
        <v>176975</v>
      </c>
      <c r="AA38" s="629">
        <v>222649</v>
      </c>
      <c r="AB38" s="629">
        <v>237764</v>
      </c>
      <c r="AC38" s="629">
        <v>314698</v>
      </c>
      <c r="AD38" s="629">
        <v>337871</v>
      </c>
      <c r="AE38" s="629">
        <v>335071</v>
      </c>
      <c r="AF38" s="629">
        <v>299304</v>
      </c>
      <c r="AG38" s="629">
        <v>233208</v>
      </c>
      <c r="AH38" s="629">
        <v>193858</v>
      </c>
      <c r="AI38" s="629">
        <v>310136</v>
      </c>
      <c r="AJ38" s="629">
        <v>380957</v>
      </c>
      <c r="AK38" s="629">
        <v>421854</v>
      </c>
      <c r="AL38" s="629">
        <v>330933</v>
      </c>
      <c r="AM38" s="629">
        <v>318231</v>
      </c>
      <c r="AN38" s="629">
        <v>337191</v>
      </c>
      <c r="AO38" s="629">
        <v>328210</v>
      </c>
      <c r="AP38" s="629">
        <v>345029</v>
      </c>
      <c r="AQ38" s="629">
        <v>446604</v>
      </c>
      <c r="AR38" s="629">
        <v>589306</v>
      </c>
      <c r="AS38" s="629">
        <v>769022</v>
      </c>
      <c r="AT38" s="629">
        <v>681925</v>
      </c>
      <c r="AU38" s="573">
        <f t="shared" si="1"/>
        <v>20.515192539109506</v>
      </c>
    </row>
    <row r="39" spans="3:47" ht="13.5" x14ac:dyDescent="0.4">
      <c r="C39" s="183" t="s">
        <v>544</v>
      </c>
      <c r="D39" s="1033"/>
      <c r="E39" s="1033"/>
      <c r="F39" s="1033"/>
      <c r="G39" s="1033"/>
      <c r="H39" s="1033"/>
      <c r="I39" s="1033"/>
      <c r="J39" s="1033"/>
      <c r="K39" s="1033"/>
      <c r="L39" s="1033"/>
      <c r="M39" s="1033"/>
      <c r="N39" s="1033"/>
      <c r="O39" s="1033"/>
      <c r="P39" s="1033">
        <v>1472</v>
      </c>
      <c r="Q39" s="1033">
        <v>2007</v>
      </c>
      <c r="R39" s="1033">
        <v>4505</v>
      </c>
      <c r="S39" s="1033">
        <v>8406</v>
      </c>
      <c r="T39" s="1033">
        <v>11168</v>
      </c>
      <c r="U39" s="1033">
        <v>25842</v>
      </c>
      <c r="V39" s="1033">
        <v>27645</v>
      </c>
      <c r="W39" s="1033">
        <v>28311</v>
      </c>
      <c r="X39" s="1033">
        <v>41426</v>
      </c>
      <c r="Y39" s="1033">
        <v>42556</v>
      </c>
      <c r="Z39" s="1033">
        <v>57309</v>
      </c>
      <c r="AA39" s="1033">
        <v>45137</v>
      </c>
      <c r="AB39" s="1033">
        <v>38009</v>
      </c>
      <c r="AC39" s="1033">
        <v>41033</v>
      </c>
      <c r="AD39" s="1033">
        <v>56020</v>
      </c>
      <c r="AE39" s="1033">
        <v>88648</v>
      </c>
      <c r="AF39" s="1033">
        <v>130558</v>
      </c>
      <c r="AG39" s="1033">
        <v>167190</v>
      </c>
      <c r="AH39" s="1033">
        <v>176265</v>
      </c>
      <c r="AI39" s="1033">
        <v>181401</v>
      </c>
      <c r="AJ39" s="1033">
        <v>176248</v>
      </c>
      <c r="AK39" s="1033">
        <v>150025</v>
      </c>
      <c r="AL39" s="1033">
        <v>145450</v>
      </c>
      <c r="AM39" s="1033">
        <v>149641</v>
      </c>
      <c r="AN39" s="1033">
        <v>183352</v>
      </c>
      <c r="AO39" s="1033">
        <v>168636</v>
      </c>
      <c r="AP39" s="1033">
        <v>199802</v>
      </c>
      <c r="AQ39" s="1033">
        <v>198881</v>
      </c>
      <c r="AR39" s="1033">
        <v>218427</v>
      </c>
      <c r="AS39" s="1033">
        <v>229593</v>
      </c>
      <c r="AT39" s="1033">
        <v>228097</v>
      </c>
      <c r="AU39" s="573">
        <f t="shared" si="1"/>
        <v>6.862123947051745</v>
      </c>
    </row>
    <row r="40" spans="3:47" ht="13.5" x14ac:dyDescent="0.4">
      <c r="C40" s="207" t="s">
        <v>259</v>
      </c>
      <c r="D40" s="629">
        <v>6351423</v>
      </c>
      <c r="E40" s="629">
        <v>6560019</v>
      </c>
      <c r="F40" s="629">
        <v>6692270</v>
      </c>
      <c r="G40" s="629">
        <v>6823165</v>
      </c>
      <c r="H40" s="629">
        <v>6898413</v>
      </c>
      <c r="I40" s="629">
        <v>7228839</v>
      </c>
      <c r="J40" s="629">
        <v>7538748</v>
      </c>
      <c r="K40" s="629">
        <v>7898299</v>
      </c>
      <c r="L40" s="629">
        <v>8223446</v>
      </c>
      <c r="M40" s="629">
        <v>9113767</v>
      </c>
      <c r="N40" s="629">
        <v>9533117</v>
      </c>
      <c r="O40" s="629">
        <v>9750836</v>
      </c>
      <c r="P40" s="629">
        <v>9771277</v>
      </c>
      <c r="Q40" s="629">
        <v>10332616</v>
      </c>
      <c r="R40" s="629">
        <v>10832789</v>
      </c>
      <c r="S40" s="629">
        <v>11282590</v>
      </c>
      <c r="T40" s="629">
        <v>11145557</v>
      </c>
      <c r="U40" s="629">
        <v>11764424</v>
      </c>
      <c r="V40" s="629">
        <v>12047138</v>
      </c>
      <c r="W40" s="629">
        <v>12144232</v>
      </c>
      <c r="X40" s="629">
        <v>12261219</v>
      </c>
      <c r="Y40" s="629">
        <v>12615281</v>
      </c>
      <c r="Z40" s="629">
        <v>13180597</v>
      </c>
      <c r="AA40" s="629">
        <v>13633502</v>
      </c>
      <c r="AB40" s="629">
        <v>13642910</v>
      </c>
      <c r="AC40" s="629">
        <v>14384273</v>
      </c>
      <c r="AD40" s="629">
        <v>14508402</v>
      </c>
      <c r="AE40" s="629">
        <v>14692718</v>
      </c>
      <c r="AF40" s="629">
        <v>14620825</v>
      </c>
      <c r="AG40" s="629">
        <v>15160980</v>
      </c>
      <c r="AH40" s="629">
        <v>15728332</v>
      </c>
      <c r="AI40" s="629">
        <v>15339964</v>
      </c>
      <c r="AJ40" s="629">
        <v>15556601</v>
      </c>
      <c r="AK40" s="629">
        <v>15848171</v>
      </c>
      <c r="AL40" s="629">
        <v>16287768</v>
      </c>
      <c r="AM40" s="629">
        <v>16521828</v>
      </c>
      <c r="AN40" s="629">
        <v>16281939</v>
      </c>
      <c r="AO40" s="629">
        <v>17038081</v>
      </c>
      <c r="AP40" s="629">
        <v>17369524</v>
      </c>
      <c r="AQ40" s="629">
        <v>17754418</v>
      </c>
      <c r="AR40" s="629">
        <v>17825302</v>
      </c>
      <c r="AS40" s="629">
        <v>18565009</v>
      </c>
      <c r="AT40" s="629">
        <v>19021171</v>
      </c>
      <c r="AU40" s="573">
        <f t="shared" si="1"/>
        <v>572.23739470517444</v>
      </c>
    </row>
    <row r="41" spans="3:47" ht="13.5" x14ac:dyDescent="0.4">
      <c r="C41" s="207" t="s">
        <v>260</v>
      </c>
      <c r="D41" s="629">
        <v>6677</v>
      </c>
      <c r="E41" s="629">
        <v>7603</v>
      </c>
      <c r="F41" s="629">
        <v>10640</v>
      </c>
      <c r="G41" s="629">
        <v>14012</v>
      </c>
      <c r="H41" s="629">
        <v>19206</v>
      </c>
      <c r="I41" s="629">
        <v>19574</v>
      </c>
      <c r="J41" s="629">
        <v>24222</v>
      </c>
      <c r="K41" s="629">
        <v>23491</v>
      </c>
      <c r="L41" s="629">
        <v>19942</v>
      </c>
      <c r="M41" s="629">
        <v>16121</v>
      </c>
      <c r="N41" s="629">
        <v>19021</v>
      </c>
      <c r="O41" s="629">
        <v>20408</v>
      </c>
      <c r="P41" s="629">
        <v>20772</v>
      </c>
      <c r="Q41" s="629">
        <v>18468</v>
      </c>
      <c r="R41" s="629">
        <v>20575</v>
      </c>
      <c r="S41" s="629">
        <v>21042</v>
      </c>
      <c r="T41" s="629">
        <v>20305</v>
      </c>
      <c r="U41" s="629">
        <v>18549</v>
      </c>
      <c r="V41" s="629">
        <v>20183</v>
      </c>
      <c r="W41" s="629">
        <v>21324</v>
      </c>
      <c r="X41" s="629">
        <v>23819</v>
      </c>
      <c r="Y41" s="629">
        <v>19761</v>
      </c>
      <c r="Z41" s="629">
        <v>22877</v>
      </c>
      <c r="AA41" s="629">
        <v>22546</v>
      </c>
      <c r="AB41" s="629">
        <v>25013</v>
      </c>
      <c r="AC41" s="629">
        <v>20172</v>
      </c>
      <c r="AD41" s="629">
        <v>21187</v>
      </c>
      <c r="AE41" s="629">
        <v>20412</v>
      </c>
      <c r="AF41" s="629">
        <v>24529</v>
      </c>
      <c r="AG41" s="629">
        <v>18656</v>
      </c>
      <c r="AH41" s="629">
        <v>20747</v>
      </c>
      <c r="AI41" s="629">
        <v>20441</v>
      </c>
      <c r="AJ41" s="629">
        <v>28148</v>
      </c>
      <c r="AK41" s="629">
        <v>21898</v>
      </c>
      <c r="AL41" s="629">
        <v>23486</v>
      </c>
      <c r="AM41" s="629">
        <v>22765</v>
      </c>
      <c r="AN41" s="629">
        <v>31717</v>
      </c>
      <c r="AO41" s="629">
        <v>25023</v>
      </c>
      <c r="AP41" s="629">
        <v>26904</v>
      </c>
      <c r="AQ41" s="629">
        <v>26277</v>
      </c>
      <c r="AR41" s="629">
        <v>32864</v>
      </c>
      <c r="AS41" s="629">
        <v>24441</v>
      </c>
      <c r="AT41" s="629">
        <v>25364</v>
      </c>
      <c r="AU41" s="573">
        <f t="shared" si="1"/>
        <v>0.76305655836341757</v>
      </c>
    </row>
    <row r="42" spans="3:47" ht="13.5" x14ac:dyDescent="0.4">
      <c r="C42" s="207" t="s">
        <v>261</v>
      </c>
      <c r="D42" s="629">
        <v>22004</v>
      </c>
      <c r="E42" s="629">
        <v>29220</v>
      </c>
      <c r="F42" s="629">
        <v>22062</v>
      </c>
      <c r="G42" s="629">
        <v>30499</v>
      </c>
      <c r="H42" s="629">
        <v>40867</v>
      </c>
      <c r="I42" s="629">
        <v>49973</v>
      </c>
      <c r="J42" s="629">
        <v>26034</v>
      </c>
      <c r="K42" s="629">
        <v>34891</v>
      </c>
      <c r="L42" s="629">
        <v>44979</v>
      </c>
      <c r="M42" s="629">
        <v>47626</v>
      </c>
      <c r="N42" s="629">
        <v>19834</v>
      </c>
      <c r="O42" s="629">
        <v>18303</v>
      </c>
      <c r="P42" s="629">
        <v>28626</v>
      </c>
      <c r="Q42" s="629">
        <v>34855</v>
      </c>
      <c r="R42" s="629">
        <v>23175</v>
      </c>
      <c r="S42" s="629">
        <v>33140</v>
      </c>
      <c r="T42" s="629">
        <v>40917</v>
      </c>
      <c r="U42" s="629">
        <v>53197</v>
      </c>
      <c r="V42" s="629">
        <v>29103</v>
      </c>
      <c r="W42" s="629">
        <v>43091</v>
      </c>
      <c r="X42" s="629">
        <v>61046</v>
      </c>
      <c r="Y42" s="629">
        <v>74493</v>
      </c>
      <c r="Z42" s="629">
        <v>39307</v>
      </c>
      <c r="AA42" s="629">
        <v>48683</v>
      </c>
      <c r="AB42" s="629">
        <v>68162</v>
      </c>
      <c r="AC42" s="629">
        <v>81230</v>
      </c>
      <c r="AD42" s="629">
        <v>43369</v>
      </c>
      <c r="AE42" s="629">
        <v>55468</v>
      </c>
      <c r="AF42" s="629">
        <v>67051</v>
      </c>
      <c r="AG42" s="629">
        <v>82825</v>
      </c>
      <c r="AH42" s="629">
        <v>45653</v>
      </c>
      <c r="AI42" s="629">
        <v>60234</v>
      </c>
      <c r="AJ42" s="629">
        <v>72278</v>
      </c>
      <c r="AK42" s="629">
        <v>84930</v>
      </c>
      <c r="AL42" s="629">
        <v>50178</v>
      </c>
      <c r="AM42" s="629">
        <v>66897</v>
      </c>
      <c r="AN42" s="629">
        <v>75234</v>
      </c>
      <c r="AO42" s="629">
        <v>85318</v>
      </c>
      <c r="AP42" s="629">
        <v>39068</v>
      </c>
      <c r="AQ42" s="629">
        <v>52474</v>
      </c>
      <c r="AR42" s="629">
        <v>63557</v>
      </c>
      <c r="AS42" s="629">
        <v>78086</v>
      </c>
      <c r="AT42" s="629">
        <v>52077</v>
      </c>
      <c r="AU42" s="573">
        <f t="shared" si="1"/>
        <v>1.5666967509025271</v>
      </c>
    </row>
    <row r="43" spans="3:47" ht="13.5" x14ac:dyDescent="0.4">
      <c r="C43" s="207" t="s">
        <v>262</v>
      </c>
      <c r="D43" s="629">
        <v>0</v>
      </c>
      <c r="E43" s="629">
        <v>0</v>
      </c>
      <c r="F43" s="629">
        <v>0</v>
      </c>
      <c r="G43" s="629">
        <v>0</v>
      </c>
      <c r="H43" s="629">
        <v>0</v>
      </c>
      <c r="I43" s="629">
        <v>0</v>
      </c>
      <c r="J43" s="629">
        <v>0</v>
      </c>
      <c r="K43" s="629">
        <v>0</v>
      </c>
      <c r="L43" s="629">
        <v>0</v>
      </c>
      <c r="M43" s="629">
        <v>0</v>
      </c>
      <c r="N43" s="629">
        <v>0</v>
      </c>
      <c r="O43" s="629">
        <v>0</v>
      </c>
      <c r="P43" s="629">
        <v>0</v>
      </c>
      <c r="Q43" s="629">
        <v>0</v>
      </c>
      <c r="R43" s="629">
        <v>0</v>
      </c>
      <c r="S43" s="629">
        <v>0</v>
      </c>
      <c r="T43" s="629">
        <v>0</v>
      </c>
      <c r="U43" s="629">
        <v>0</v>
      </c>
      <c r="V43" s="629">
        <v>0</v>
      </c>
      <c r="W43" s="629">
        <v>0</v>
      </c>
      <c r="X43" s="629">
        <v>0</v>
      </c>
      <c r="Y43" s="629">
        <v>0</v>
      </c>
      <c r="Z43" s="629">
        <v>0</v>
      </c>
      <c r="AA43" s="629">
        <v>0</v>
      </c>
      <c r="AB43" s="629">
        <v>0</v>
      </c>
      <c r="AC43" s="629">
        <v>0</v>
      </c>
      <c r="AD43" s="629">
        <v>0</v>
      </c>
      <c r="AE43" s="629">
        <v>0</v>
      </c>
      <c r="AF43" s="629">
        <v>0</v>
      </c>
      <c r="AG43" s="629">
        <v>0</v>
      </c>
      <c r="AH43" s="629">
        <v>0</v>
      </c>
      <c r="AI43" s="629">
        <v>0</v>
      </c>
      <c r="AJ43" s="629">
        <v>0</v>
      </c>
      <c r="AK43" s="629">
        <v>0</v>
      </c>
      <c r="AL43" s="629">
        <v>0</v>
      </c>
      <c r="AM43" s="629">
        <v>0</v>
      </c>
      <c r="AN43" s="629">
        <v>0</v>
      </c>
      <c r="AO43" s="629">
        <v>0</v>
      </c>
      <c r="AP43" s="629">
        <v>0</v>
      </c>
      <c r="AQ43" s="629">
        <v>0</v>
      </c>
      <c r="AR43" s="629">
        <v>0</v>
      </c>
      <c r="AS43" s="629">
        <v>0</v>
      </c>
      <c r="AT43" s="629">
        <v>0</v>
      </c>
      <c r="AU43" s="573">
        <f t="shared" si="1"/>
        <v>0</v>
      </c>
    </row>
    <row r="44" spans="3:47" ht="13.5" x14ac:dyDescent="0.4">
      <c r="C44" s="207" t="s">
        <v>263</v>
      </c>
      <c r="D44" s="1034"/>
      <c r="E44" s="1034"/>
      <c r="F44" s="1034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  <c r="AO44" s="1034"/>
      <c r="AP44" s="1034"/>
      <c r="AQ44" s="1034"/>
      <c r="AR44" s="1034"/>
      <c r="AS44" s="1034"/>
      <c r="AT44" s="1034"/>
      <c r="AU44" s="574">
        <f t="shared" si="1"/>
        <v>0</v>
      </c>
    </row>
    <row r="45" spans="3:47" ht="13.5" x14ac:dyDescent="0.4">
      <c r="C45" s="207" t="s">
        <v>264</v>
      </c>
      <c r="D45" s="629">
        <v>44405</v>
      </c>
      <c r="E45" s="629">
        <v>43847</v>
      </c>
      <c r="F45" s="629">
        <v>39714</v>
      </c>
      <c r="G45" s="629">
        <v>38501</v>
      </c>
      <c r="H45" s="629">
        <v>35562</v>
      </c>
      <c r="I45" s="629">
        <v>36063</v>
      </c>
      <c r="J45" s="629">
        <v>35528</v>
      </c>
      <c r="K45" s="629">
        <v>35923</v>
      </c>
      <c r="L45" s="629">
        <v>35726</v>
      </c>
      <c r="M45" s="629">
        <v>35417</v>
      </c>
      <c r="N45" s="629">
        <v>35285</v>
      </c>
      <c r="O45" s="629">
        <v>75965</v>
      </c>
      <c r="P45" s="629">
        <v>75000</v>
      </c>
      <c r="Q45" s="629">
        <v>75000</v>
      </c>
      <c r="R45" s="629">
        <v>75000</v>
      </c>
      <c r="S45" s="629">
        <v>96949</v>
      </c>
      <c r="T45" s="629">
        <v>100410</v>
      </c>
      <c r="U45" s="629">
        <v>100558</v>
      </c>
      <c r="V45" s="629">
        <v>145248</v>
      </c>
      <c r="W45" s="629">
        <v>149834</v>
      </c>
      <c r="X45" s="629">
        <v>204161</v>
      </c>
      <c r="Y45" s="629">
        <v>209900</v>
      </c>
      <c r="Z45" s="629">
        <v>231731</v>
      </c>
      <c r="AA45" s="629">
        <v>235320</v>
      </c>
      <c r="AB45" s="629">
        <v>232186</v>
      </c>
      <c r="AC45" s="629">
        <v>244165</v>
      </c>
      <c r="AD45" s="629">
        <v>250203</v>
      </c>
      <c r="AE45" s="629">
        <v>246881</v>
      </c>
      <c r="AF45" s="629">
        <v>253018</v>
      </c>
      <c r="AG45" s="629">
        <v>248644</v>
      </c>
      <c r="AH45" s="629">
        <v>255640</v>
      </c>
      <c r="AI45" s="629">
        <v>268726</v>
      </c>
      <c r="AJ45" s="629">
        <v>279590</v>
      </c>
      <c r="AK45" s="629">
        <v>280771</v>
      </c>
      <c r="AL45" s="629">
        <v>284903</v>
      </c>
      <c r="AM45" s="629">
        <v>278277</v>
      </c>
      <c r="AN45" s="629">
        <v>306622</v>
      </c>
      <c r="AO45" s="629">
        <v>311938</v>
      </c>
      <c r="AP45" s="629">
        <v>320772</v>
      </c>
      <c r="AQ45" s="629">
        <v>338651</v>
      </c>
      <c r="AR45" s="629">
        <v>357937</v>
      </c>
      <c r="AS45" s="629">
        <v>374569</v>
      </c>
      <c r="AT45" s="629">
        <v>413016</v>
      </c>
      <c r="AU45" s="573">
        <f t="shared" si="1"/>
        <v>12.425270758122744</v>
      </c>
    </row>
    <row r="46" spans="3:47" ht="13.5" x14ac:dyDescent="0.4">
      <c r="C46" s="183" t="s">
        <v>265</v>
      </c>
      <c r="D46" s="629">
        <v>1384</v>
      </c>
      <c r="E46" s="629">
        <v>2556</v>
      </c>
      <c r="F46" s="629">
        <v>2226</v>
      </c>
      <c r="G46" s="629">
        <v>2857</v>
      </c>
      <c r="H46" s="629">
        <v>337</v>
      </c>
      <c r="I46" s="629">
        <v>161</v>
      </c>
      <c r="J46" s="629">
        <v>158</v>
      </c>
      <c r="K46" s="629">
        <v>159</v>
      </c>
      <c r="L46" s="629">
        <v>16</v>
      </c>
      <c r="M46" s="629">
        <v>8</v>
      </c>
      <c r="N46" s="629">
        <v>78</v>
      </c>
      <c r="O46" s="629">
        <v>221</v>
      </c>
      <c r="P46" s="629">
        <v>178</v>
      </c>
      <c r="Q46" s="629">
        <v>236</v>
      </c>
      <c r="R46" s="629">
        <v>180</v>
      </c>
      <c r="S46" s="629">
        <v>218</v>
      </c>
      <c r="T46" s="629">
        <v>318</v>
      </c>
      <c r="U46" s="629">
        <v>361</v>
      </c>
      <c r="V46" s="629">
        <v>231</v>
      </c>
      <c r="W46" s="629">
        <v>129</v>
      </c>
      <c r="X46" s="629">
        <v>103</v>
      </c>
      <c r="Y46" s="629">
        <v>105</v>
      </c>
      <c r="Z46" s="629">
        <v>169</v>
      </c>
      <c r="AA46" s="629">
        <v>405</v>
      </c>
      <c r="AB46" s="629">
        <v>552</v>
      </c>
      <c r="AC46" s="629">
        <v>560</v>
      </c>
      <c r="AD46" s="629">
        <v>395</v>
      </c>
      <c r="AE46" s="629">
        <v>437</v>
      </c>
      <c r="AF46" s="629">
        <v>420</v>
      </c>
      <c r="AG46" s="629">
        <v>459</v>
      </c>
      <c r="AH46" s="629">
        <v>470</v>
      </c>
      <c r="AI46" s="629">
        <v>543</v>
      </c>
      <c r="AJ46" s="629">
        <v>451</v>
      </c>
      <c r="AK46" s="629">
        <v>443</v>
      </c>
      <c r="AL46" s="629">
        <v>474</v>
      </c>
      <c r="AM46" s="629">
        <v>528</v>
      </c>
      <c r="AN46" s="629">
        <v>995</v>
      </c>
      <c r="AO46" s="629">
        <v>898</v>
      </c>
      <c r="AP46" s="629">
        <v>885</v>
      </c>
      <c r="AQ46" s="629">
        <v>1033</v>
      </c>
      <c r="AR46" s="629">
        <v>604</v>
      </c>
      <c r="AS46" s="629">
        <v>607</v>
      </c>
      <c r="AT46" s="629">
        <v>582</v>
      </c>
      <c r="AU46" s="573"/>
    </row>
    <row r="47" spans="3:47" ht="13.5" x14ac:dyDescent="0.4">
      <c r="C47" s="183" t="s">
        <v>545</v>
      </c>
      <c r="D47" s="469">
        <v>160251</v>
      </c>
      <c r="E47" s="469">
        <v>138281</v>
      </c>
      <c r="F47" s="469">
        <v>128392</v>
      </c>
      <c r="G47" s="469">
        <v>147803</v>
      </c>
      <c r="H47" s="469">
        <v>124252</v>
      </c>
      <c r="I47" s="469">
        <v>142420</v>
      </c>
      <c r="J47" s="469">
        <v>149037</v>
      </c>
      <c r="K47" s="469">
        <v>148432</v>
      </c>
      <c r="L47" s="469">
        <v>150059</v>
      </c>
      <c r="M47" s="469">
        <v>168969</v>
      </c>
      <c r="N47" s="469">
        <v>165711</v>
      </c>
      <c r="O47" s="469">
        <v>157059</v>
      </c>
      <c r="P47" s="469">
        <v>147496</v>
      </c>
      <c r="Q47" s="469">
        <v>170306</v>
      </c>
      <c r="R47" s="469">
        <v>165626</v>
      </c>
      <c r="S47" s="469">
        <v>184844</v>
      </c>
      <c r="T47" s="469">
        <v>168115</v>
      </c>
      <c r="U47" s="469">
        <v>180584</v>
      </c>
      <c r="V47" s="469">
        <v>278975</v>
      </c>
      <c r="W47" s="469">
        <v>208995</v>
      </c>
      <c r="X47" s="469">
        <v>195037</v>
      </c>
      <c r="Y47" s="469">
        <v>220677</v>
      </c>
      <c r="Z47" s="469">
        <v>334247</v>
      </c>
      <c r="AA47" s="469">
        <v>249000</v>
      </c>
      <c r="AB47" s="469">
        <v>348221</v>
      </c>
      <c r="AC47" s="469">
        <v>396289</v>
      </c>
      <c r="AD47" s="469">
        <v>645299</v>
      </c>
      <c r="AE47" s="469">
        <v>379600</v>
      </c>
      <c r="AF47" s="469">
        <v>400830</v>
      </c>
      <c r="AG47" s="469">
        <v>415544</v>
      </c>
      <c r="AH47" s="469">
        <v>438189</v>
      </c>
      <c r="AI47" s="469">
        <v>451796</v>
      </c>
      <c r="AJ47" s="469">
        <v>424930</v>
      </c>
      <c r="AK47" s="469">
        <v>440572</v>
      </c>
      <c r="AL47" s="469">
        <v>551474</v>
      </c>
      <c r="AM47" s="469">
        <v>460892</v>
      </c>
      <c r="AN47" s="469">
        <v>545388</v>
      </c>
      <c r="AO47" s="469">
        <v>550579</v>
      </c>
      <c r="AP47" s="469">
        <v>682506</v>
      </c>
      <c r="AQ47" s="469">
        <v>582511</v>
      </c>
      <c r="AR47" s="469">
        <v>594049</v>
      </c>
      <c r="AS47" s="469">
        <v>574391</v>
      </c>
      <c r="AT47" s="469">
        <v>737885</v>
      </c>
      <c r="AU47" s="573">
        <f t="shared" si="1"/>
        <v>22.198706377858002</v>
      </c>
    </row>
    <row r="48" spans="3:47" ht="13.9" thickBot="1" x14ac:dyDescent="0.45">
      <c r="C48" s="209" t="s">
        <v>267</v>
      </c>
      <c r="D48" s="631">
        <v>7037685</v>
      </c>
      <c r="E48" s="631">
        <v>7390853</v>
      </c>
      <c r="F48" s="631">
        <v>7800671</v>
      </c>
      <c r="G48" s="631">
        <v>8071719</v>
      </c>
      <c r="H48" s="631">
        <v>8140036</v>
      </c>
      <c r="I48" s="631">
        <v>8570456</v>
      </c>
      <c r="J48" s="631">
        <v>8845618</v>
      </c>
      <c r="K48" s="631">
        <v>8798528</v>
      </c>
      <c r="L48" s="631">
        <v>9150516</v>
      </c>
      <c r="M48" s="631">
        <v>10338381</v>
      </c>
      <c r="N48" s="631">
        <v>10814166</v>
      </c>
      <c r="O48" s="631">
        <v>11019227</v>
      </c>
      <c r="P48" s="631">
        <v>11106119</v>
      </c>
      <c r="Q48" s="631">
        <v>11829184</v>
      </c>
      <c r="R48" s="631">
        <v>12250781</v>
      </c>
      <c r="S48" s="631">
        <v>12658382</v>
      </c>
      <c r="T48" s="631">
        <v>12636965</v>
      </c>
      <c r="U48" s="631">
        <v>13517771</v>
      </c>
      <c r="V48" s="631">
        <v>14036433</v>
      </c>
      <c r="W48" s="631">
        <v>14225136</v>
      </c>
      <c r="X48" s="631">
        <v>14519045</v>
      </c>
      <c r="Y48" s="631">
        <v>15408253</v>
      </c>
      <c r="Z48" s="631">
        <v>16055602</v>
      </c>
      <c r="AA48" s="631">
        <v>16295876</v>
      </c>
      <c r="AB48" s="631">
        <v>16413758</v>
      </c>
      <c r="AC48" s="631">
        <v>17159463</v>
      </c>
      <c r="AD48" s="631">
        <v>17548260</v>
      </c>
      <c r="AE48" s="631">
        <v>17507159</v>
      </c>
      <c r="AF48" s="631">
        <v>17639289</v>
      </c>
      <c r="AG48" s="631">
        <v>18371763</v>
      </c>
      <c r="AH48" s="631">
        <v>18944174</v>
      </c>
      <c r="AI48" s="631">
        <v>18718581</v>
      </c>
      <c r="AJ48" s="631">
        <v>19072649</v>
      </c>
      <c r="AK48" s="631">
        <v>19775373</v>
      </c>
      <c r="AL48" s="631">
        <v>20803658</v>
      </c>
      <c r="AM48" s="631">
        <v>20414265</v>
      </c>
      <c r="AN48" s="631">
        <v>20409261</v>
      </c>
      <c r="AO48" s="631">
        <v>21009246</v>
      </c>
      <c r="AP48" s="631">
        <v>21656550</v>
      </c>
      <c r="AQ48" s="631">
        <v>21692477</v>
      </c>
      <c r="AR48" s="631">
        <v>22156102</v>
      </c>
      <c r="AS48" s="631">
        <v>22859965</v>
      </c>
      <c r="AT48" s="631">
        <v>23483412</v>
      </c>
    </row>
    <row r="49" spans="3:46" ht="13.5" x14ac:dyDescent="0.4">
      <c r="C49" s="230" t="s">
        <v>281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6">
        <v>0</v>
      </c>
      <c r="N49" s="636">
        <v>0</v>
      </c>
      <c r="O49" s="636">
        <v>0</v>
      </c>
      <c r="P49" s="636">
        <v>0</v>
      </c>
      <c r="Q49" s="636">
        <v>0</v>
      </c>
      <c r="R49" s="636">
        <v>0</v>
      </c>
      <c r="S49" s="636">
        <v>0</v>
      </c>
      <c r="T49" s="636">
        <v>0</v>
      </c>
      <c r="U49" s="636">
        <v>0</v>
      </c>
      <c r="V49" s="636">
        <v>0</v>
      </c>
      <c r="W49" s="636">
        <v>0</v>
      </c>
      <c r="X49" s="636">
        <v>0</v>
      </c>
      <c r="Y49" s="636">
        <v>0</v>
      </c>
      <c r="Z49" s="636">
        <v>0</v>
      </c>
      <c r="AA49" s="636">
        <v>0</v>
      </c>
      <c r="AB49" s="636">
        <v>0</v>
      </c>
      <c r="AC49" s="636">
        <v>0</v>
      </c>
      <c r="AD49" s="636">
        <v>0</v>
      </c>
      <c r="AE49" s="636">
        <v>0</v>
      </c>
      <c r="AF49" s="636">
        <v>0</v>
      </c>
      <c r="AG49" s="636">
        <v>0</v>
      </c>
      <c r="AH49" s="636">
        <v>0</v>
      </c>
      <c r="AI49" s="636">
        <v>0</v>
      </c>
      <c r="AJ49" s="636">
        <v>0</v>
      </c>
      <c r="AK49" s="636">
        <v>0</v>
      </c>
      <c r="AL49" s="636">
        <v>0</v>
      </c>
      <c r="AM49" s="636">
        <v>0</v>
      </c>
      <c r="AN49" s="636">
        <v>0</v>
      </c>
      <c r="AO49" s="636">
        <v>0</v>
      </c>
      <c r="AP49" s="636">
        <v>0</v>
      </c>
      <c r="AQ49" s="636">
        <v>0</v>
      </c>
      <c r="AR49" s="636">
        <v>0</v>
      </c>
      <c r="AS49" s="636">
        <v>0</v>
      </c>
      <c r="AT49" s="636">
        <v>0</v>
      </c>
    </row>
    <row r="50" spans="3:46" s="207" customFormat="1" x14ac:dyDescent="0.4">
      <c r="C50" s="575"/>
      <c r="D50" s="637"/>
      <c r="E50" s="637"/>
      <c r="F50" s="637"/>
      <c r="G50" s="637"/>
      <c r="H50" s="637"/>
      <c r="I50" s="637"/>
      <c r="J50" s="637"/>
      <c r="K50" s="637"/>
      <c r="L50" s="637"/>
      <c r="M50" s="637"/>
      <c r="N50" s="637"/>
      <c r="O50" s="637"/>
      <c r="P50" s="637"/>
      <c r="Q50" s="637"/>
      <c r="R50" s="637"/>
      <c r="S50" s="637"/>
      <c r="T50" s="637"/>
      <c r="U50" s="637"/>
      <c r="V50" s="637"/>
      <c r="W50" s="637"/>
      <c r="X50" s="637"/>
      <c r="Y50" s="637"/>
      <c r="Z50" s="637"/>
      <c r="AA50" s="637"/>
      <c r="AB50" s="637"/>
      <c r="AC50" s="637"/>
      <c r="AD50" s="637"/>
      <c r="AE50" s="637"/>
      <c r="AF50" s="637"/>
      <c r="AG50" s="637"/>
      <c r="AH50" s="637"/>
      <c r="AI50" s="637"/>
      <c r="AJ50" s="637"/>
      <c r="AK50" s="637"/>
      <c r="AL50" s="637"/>
      <c r="AM50" s="637"/>
      <c r="AN50" s="637"/>
      <c r="AO50" s="637"/>
      <c r="AP50" s="637"/>
      <c r="AQ50" s="637"/>
      <c r="AR50" s="637"/>
      <c r="AS50" s="637"/>
      <c r="AT50" s="579"/>
    </row>
    <row r="51" spans="3:46" ht="13.9" thickBot="1" x14ac:dyDescent="0.45">
      <c r="C51" s="212" t="s">
        <v>268</v>
      </c>
    </row>
    <row r="52" spans="3:46" ht="13.5" x14ac:dyDescent="0.4">
      <c r="C52" s="218" t="s">
        <v>269</v>
      </c>
      <c r="D52" s="639">
        <v>334019</v>
      </c>
      <c r="E52" s="639">
        <v>334019</v>
      </c>
      <c r="F52" s="639">
        <v>334019</v>
      </c>
      <c r="G52" s="639">
        <v>334019</v>
      </c>
      <c r="H52" s="639">
        <v>334019</v>
      </c>
      <c r="I52" s="639">
        <v>334019</v>
      </c>
      <c r="J52" s="639">
        <v>334019</v>
      </c>
      <c r="K52" s="639">
        <v>334019</v>
      </c>
      <c r="L52" s="639">
        <v>334019</v>
      </c>
      <c r="M52" s="639">
        <v>334019</v>
      </c>
      <c r="N52" s="639">
        <v>334019</v>
      </c>
      <c r="O52" s="639">
        <v>334019</v>
      </c>
      <c r="P52" s="639">
        <v>334019</v>
      </c>
      <c r="Q52" s="639">
        <v>334019</v>
      </c>
      <c r="R52" s="639">
        <v>334019</v>
      </c>
      <c r="S52" s="639">
        <v>334019</v>
      </c>
      <c r="T52" s="639">
        <v>349019</v>
      </c>
      <c r="U52" s="639">
        <v>349019</v>
      </c>
      <c r="V52" s="639">
        <v>349020</v>
      </c>
      <c r="W52" s="639">
        <v>349020</v>
      </c>
      <c r="X52" s="639">
        <v>349084</v>
      </c>
      <c r="Y52" s="639">
        <v>349313</v>
      </c>
      <c r="Z52" s="639">
        <v>349322</v>
      </c>
      <c r="AA52" s="639">
        <v>349322</v>
      </c>
      <c r="AB52" s="639">
        <v>349620</v>
      </c>
      <c r="AC52" s="639">
        <v>349643</v>
      </c>
      <c r="AD52" s="639">
        <v>349650</v>
      </c>
      <c r="AE52" s="639">
        <v>350572</v>
      </c>
      <c r="AF52" s="639">
        <v>351390</v>
      </c>
      <c r="AG52" s="639">
        <v>351391</v>
      </c>
      <c r="AH52" s="639">
        <v>351406</v>
      </c>
      <c r="AI52" s="639">
        <v>351513</v>
      </c>
      <c r="AJ52" s="639">
        <v>353495</v>
      </c>
      <c r="AK52" s="639">
        <v>356407</v>
      </c>
      <c r="AL52" s="639">
        <v>356407</v>
      </c>
      <c r="AM52" s="639">
        <v>356407</v>
      </c>
      <c r="AN52" s="639">
        <v>356407</v>
      </c>
      <c r="AO52" s="639">
        <v>356407</v>
      </c>
      <c r="AP52" s="639">
        <v>356407</v>
      </c>
      <c r="AQ52" s="639">
        <v>356407</v>
      </c>
      <c r="AR52" s="639">
        <v>356407</v>
      </c>
      <c r="AS52" s="639">
        <v>356407</v>
      </c>
      <c r="AT52" s="639">
        <v>356407</v>
      </c>
    </row>
    <row r="53" spans="3:46" s="577" customFormat="1" ht="13.5" x14ac:dyDescent="0.4">
      <c r="C53" s="576" t="s">
        <v>546</v>
      </c>
      <c r="D53" s="640"/>
      <c r="E53" s="640"/>
      <c r="F53" s="640"/>
      <c r="G53" s="640"/>
      <c r="H53" s="640"/>
      <c r="I53" s="640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>
        <v>34428</v>
      </c>
      <c r="AK53" s="640">
        <v>34428</v>
      </c>
      <c r="AL53" s="640">
        <v>34428</v>
      </c>
      <c r="AM53" s="640">
        <v>34428</v>
      </c>
      <c r="AN53" s="640">
        <v>79375</v>
      </c>
      <c r="AO53" s="640">
        <v>79375</v>
      </c>
      <c r="AP53" s="640">
        <v>79375</v>
      </c>
      <c r="AQ53" s="640">
        <v>86056</v>
      </c>
      <c r="AR53" s="640">
        <v>86051</v>
      </c>
      <c r="AS53" s="640">
        <v>86051</v>
      </c>
      <c r="AT53" s="640">
        <v>86051</v>
      </c>
    </row>
    <row r="54" spans="3:46" ht="13.5" x14ac:dyDescent="0.4">
      <c r="C54" s="183" t="s">
        <v>271</v>
      </c>
      <c r="D54" s="641">
        <v>109701</v>
      </c>
      <c r="E54" s="641">
        <v>109233</v>
      </c>
      <c r="F54" s="641">
        <v>105747</v>
      </c>
      <c r="G54" s="641">
        <v>105765</v>
      </c>
      <c r="H54" s="641">
        <v>106207</v>
      </c>
      <c r="I54" s="641">
        <v>101101</v>
      </c>
      <c r="J54" s="641">
        <v>99976</v>
      </c>
      <c r="K54" s="641">
        <v>104456</v>
      </c>
      <c r="L54" s="641">
        <v>112243</v>
      </c>
      <c r="M54" s="641">
        <v>111356</v>
      </c>
      <c r="N54" s="641">
        <v>108955</v>
      </c>
      <c r="O54" s="641">
        <v>103342</v>
      </c>
      <c r="P54" s="641">
        <v>102156</v>
      </c>
      <c r="Q54" s="641">
        <v>105668</v>
      </c>
      <c r="R54" s="641">
        <v>106484</v>
      </c>
      <c r="S54" s="641">
        <v>110231</v>
      </c>
      <c r="T54" s="641">
        <v>122820</v>
      </c>
      <c r="U54" s="641">
        <v>121554</v>
      </c>
      <c r="V54" s="641">
        <v>118317</v>
      </c>
      <c r="W54" s="641">
        <v>113416</v>
      </c>
      <c r="X54" s="641">
        <v>126395</v>
      </c>
      <c r="Y54" s="641">
        <v>127742</v>
      </c>
      <c r="Z54" s="641">
        <v>134174</v>
      </c>
      <c r="AA54" s="641">
        <v>128838</v>
      </c>
      <c r="AB54" s="641">
        <v>128524</v>
      </c>
      <c r="AC54" s="641">
        <v>131890</v>
      </c>
      <c r="AD54" s="641">
        <v>128067</v>
      </c>
      <c r="AE54" s="641">
        <v>121255</v>
      </c>
      <c r="AF54" s="641">
        <v>108023</v>
      </c>
      <c r="AG54" s="641">
        <v>116965</v>
      </c>
      <c r="AH54" s="641">
        <v>130611</v>
      </c>
      <c r="AI54" s="641">
        <v>134387</v>
      </c>
      <c r="AJ54" s="641">
        <v>144874</v>
      </c>
      <c r="AK54" s="641">
        <v>152202</v>
      </c>
      <c r="AL54" s="641">
        <v>152193</v>
      </c>
      <c r="AM54" s="641">
        <v>152029</v>
      </c>
      <c r="AN54" s="641">
        <v>151963</v>
      </c>
      <c r="AO54" s="641">
        <v>151968</v>
      </c>
      <c r="AP54" s="641">
        <v>151987</v>
      </c>
      <c r="AQ54" s="641">
        <v>151981</v>
      </c>
      <c r="AR54" s="641">
        <v>151998</v>
      </c>
      <c r="AS54" s="641">
        <v>151998</v>
      </c>
      <c r="AT54" s="641">
        <v>152002</v>
      </c>
    </row>
    <row r="55" spans="3:46" ht="13.5" x14ac:dyDescent="0.4">
      <c r="C55" s="183" t="s">
        <v>775</v>
      </c>
      <c r="D55" s="641">
        <v>0</v>
      </c>
      <c r="E55" s="641">
        <v>0</v>
      </c>
      <c r="F55" s="641">
        <v>0</v>
      </c>
      <c r="G55" s="641">
        <v>0</v>
      </c>
      <c r="H55" s="641">
        <v>0</v>
      </c>
      <c r="I55" s="641">
        <v>0</v>
      </c>
      <c r="J55" s="641">
        <v>0</v>
      </c>
      <c r="K55" s="641">
        <v>0</v>
      </c>
      <c r="L55" s="641">
        <v>0</v>
      </c>
      <c r="M55" s="641">
        <v>0</v>
      </c>
      <c r="N55" s="641">
        <v>0</v>
      </c>
      <c r="O55" s="641">
        <v>0</v>
      </c>
      <c r="P55" s="641">
        <v>0</v>
      </c>
      <c r="Q55" s="641">
        <v>0</v>
      </c>
      <c r="R55" s="641">
        <v>0</v>
      </c>
      <c r="S55" s="641">
        <v>0</v>
      </c>
      <c r="T55" s="641">
        <v>0</v>
      </c>
      <c r="U55" s="641">
        <v>0</v>
      </c>
      <c r="V55" s="641">
        <v>0</v>
      </c>
      <c r="W55" s="641">
        <v>0</v>
      </c>
      <c r="X55" s="641">
        <v>0</v>
      </c>
      <c r="Y55" s="641">
        <v>0</v>
      </c>
      <c r="Z55" s="641">
        <v>0</v>
      </c>
      <c r="AA55" s="641">
        <v>0</v>
      </c>
      <c r="AB55" s="641">
        <v>0</v>
      </c>
      <c r="AC55" s="641">
        <v>0</v>
      </c>
      <c r="AD55" s="641">
        <v>0</v>
      </c>
      <c r="AE55" s="641">
        <v>0</v>
      </c>
      <c r="AF55" s="641">
        <v>0</v>
      </c>
      <c r="AG55" s="641">
        <v>0</v>
      </c>
      <c r="AH55" s="641">
        <v>0</v>
      </c>
      <c r="AI55" s="641">
        <v>0</v>
      </c>
      <c r="AJ55" s="641">
        <v>-24548</v>
      </c>
      <c r="AK55" s="641">
        <v>-28643</v>
      </c>
      <c r="AL55" s="641">
        <v>-20608</v>
      </c>
      <c r="AM55" s="641">
        <v>-16181</v>
      </c>
      <c r="AN55" s="641">
        <v>-4655</v>
      </c>
      <c r="AO55" s="641">
        <v>-5718</v>
      </c>
      <c r="AP55" s="641">
        <v>-4627</v>
      </c>
      <c r="AQ55" s="641">
        <v>1817</v>
      </c>
      <c r="AR55" s="641">
        <v>-21738</v>
      </c>
      <c r="AS55" s="641">
        <v>-34381</v>
      </c>
      <c r="AT55" s="641">
        <v>-42687</v>
      </c>
    </row>
    <row r="56" spans="3:46" ht="13.5" x14ac:dyDescent="0.4">
      <c r="C56" s="183" t="s">
        <v>273</v>
      </c>
      <c r="D56" s="641">
        <v>5464</v>
      </c>
      <c r="E56" s="641">
        <v>5466</v>
      </c>
      <c r="F56" s="641">
        <v>5467</v>
      </c>
      <c r="G56" s="641">
        <v>5467</v>
      </c>
      <c r="H56" s="641">
        <v>13536</v>
      </c>
      <c r="I56" s="641">
        <v>13536</v>
      </c>
      <c r="J56" s="641">
        <v>13610</v>
      </c>
      <c r="K56" s="641">
        <v>13610</v>
      </c>
      <c r="L56" s="641">
        <v>24650</v>
      </c>
      <c r="M56" s="641">
        <v>24650</v>
      </c>
      <c r="N56" s="641">
        <v>24650</v>
      </c>
      <c r="O56" s="641">
        <v>24659</v>
      </c>
      <c r="P56" s="641">
        <v>37484</v>
      </c>
      <c r="Q56" s="641">
        <v>37484</v>
      </c>
      <c r="R56" s="641">
        <v>37527</v>
      </c>
      <c r="S56" s="641">
        <v>37527</v>
      </c>
      <c r="T56" s="641">
        <v>53782</v>
      </c>
      <c r="U56" s="641">
        <v>53798</v>
      </c>
      <c r="V56" s="641">
        <v>53893</v>
      </c>
      <c r="W56" s="641">
        <v>53893</v>
      </c>
      <c r="X56" s="641">
        <v>74420</v>
      </c>
      <c r="Y56" s="641">
        <v>74420</v>
      </c>
      <c r="Z56" s="641">
        <v>74497</v>
      </c>
      <c r="AA56" s="641">
        <v>74511</v>
      </c>
      <c r="AB56" s="641">
        <v>98063</v>
      </c>
      <c r="AC56" s="641">
        <v>98176</v>
      </c>
      <c r="AD56" s="641">
        <v>98195</v>
      </c>
      <c r="AE56" s="641">
        <v>98237</v>
      </c>
      <c r="AF56" s="641">
        <v>123870</v>
      </c>
      <c r="AG56" s="641">
        <v>123909</v>
      </c>
      <c r="AH56" s="641">
        <v>124086</v>
      </c>
      <c r="AI56" s="641">
        <v>124265</v>
      </c>
      <c r="AJ56" s="641">
        <v>150752</v>
      </c>
      <c r="AK56" s="641">
        <v>151047</v>
      </c>
      <c r="AL56" s="641">
        <v>151362</v>
      </c>
      <c r="AM56" s="641">
        <v>151379</v>
      </c>
      <c r="AN56" s="641">
        <v>178040</v>
      </c>
      <c r="AO56" s="641">
        <v>178098</v>
      </c>
      <c r="AP56" s="641">
        <v>178440</v>
      </c>
      <c r="AQ56" s="641">
        <v>178440</v>
      </c>
      <c r="AR56" s="641">
        <v>205021</v>
      </c>
      <c r="AS56" s="641">
        <v>205049</v>
      </c>
      <c r="AT56" s="641">
        <v>205313</v>
      </c>
    </row>
    <row r="57" spans="3:46" ht="13.5" x14ac:dyDescent="0.4">
      <c r="C57" s="183" t="s">
        <v>274</v>
      </c>
      <c r="D57" s="641">
        <v>12719</v>
      </c>
      <c r="E57" s="641">
        <v>12733</v>
      </c>
      <c r="F57" s="641">
        <v>12730</v>
      </c>
      <c r="G57" s="641">
        <v>12738</v>
      </c>
      <c r="H57" s="641">
        <v>40834</v>
      </c>
      <c r="I57" s="641">
        <v>40844</v>
      </c>
      <c r="J57" s="641">
        <v>40852</v>
      </c>
      <c r="K57" s="641">
        <v>40859</v>
      </c>
      <c r="L57" s="641">
        <v>69355</v>
      </c>
      <c r="M57" s="641">
        <v>69362</v>
      </c>
      <c r="N57" s="641">
        <v>69370</v>
      </c>
      <c r="O57" s="641">
        <v>69378</v>
      </c>
      <c r="P57" s="641">
        <v>84222</v>
      </c>
      <c r="Q57" s="641">
        <v>84245</v>
      </c>
      <c r="R57" s="641">
        <v>84279</v>
      </c>
      <c r="S57" s="641">
        <v>84291</v>
      </c>
      <c r="T57" s="641">
        <v>93071</v>
      </c>
      <c r="U57" s="641">
        <v>93122</v>
      </c>
      <c r="V57" s="641">
        <v>93208</v>
      </c>
      <c r="W57" s="641">
        <v>93251</v>
      </c>
      <c r="X57" s="641">
        <v>104301</v>
      </c>
      <c r="Y57" s="641">
        <v>104444</v>
      </c>
      <c r="Z57" s="641">
        <v>104518</v>
      </c>
      <c r="AA57" s="641">
        <v>104535</v>
      </c>
      <c r="AB57" s="641">
        <v>189071</v>
      </c>
      <c r="AC57" s="641">
        <v>189162</v>
      </c>
      <c r="AD57" s="641">
        <v>189296</v>
      </c>
      <c r="AE57" s="641">
        <v>189312</v>
      </c>
      <c r="AF57" s="641">
        <v>202940</v>
      </c>
      <c r="AG57" s="641">
        <v>203411</v>
      </c>
      <c r="AH57" s="641">
        <v>203492</v>
      </c>
      <c r="AI57" s="641">
        <v>203462</v>
      </c>
      <c r="AJ57" s="641">
        <v>221622</v>
      </c>
      <c r="AK57" s="641">
        <v>222010</v>
      </c>
      <c r="AL57" s="641">
        <v>222520</v>
      </c>
      <c r="AM57" s="641">
        <v>222579</v>
      </c>
      <c r="AN57" s="641">
        <v>246356</v>
      </c>
      <c r="AO57" s="641">
        <v>246410</v>
      </c>
      <c r="AP57" s="641">
        <v>246479</v>
      </c>
      <c r="AQ57" s="641">
        <v>246538</v>
      </c>
      <c r="AR57" s="641">
        <v>251349</v>
      </c>
      <c r="AS57" s="641">
        <v>251403</v>
      </c>
      <c r="AT57" s="641">
        <v>251773</v>
      </c>
    </row>
    <row r="58" spans="3:46" ht="13.5" x14ac:dyDescent="0.4">
      <c r="C58" s="183" t="s">
        <v>275</v>
      </c>
      <c r="D58" s="641">
        <v>5344</v>
      </c>
      <c r="E58" s="641">
        <v>24405</v>
      </c>
      <c r="F58" s="641">
        <v>41201</v>
      </c>
      <c r="G58" s="641">
        <v>63656</v>
      </c>
      <c r="H58" s="641">
        <v>45440</v>
      </c>
      <c r="I58" s="641">
        <v>78543</v>
      </c>
      <c r="J58" s="641">
        <v>65454</v>
      </c>
      <c r="K58" s="641">
        <v>93646</v>
      </c>
      <c r="L58" s="641">
        <v>72146</v>
      </c>
      <c r="M58" s="641">
        <v>107292</v>
      </c>
      <c r="N58" s="641">
        <v>83331</v>
      </c>
      <c r="O58" s="641">
        <v>116909</v>
      </c>
      <c r="P58" s="641">
        <v>117931</v>
      </c>
      <c r="Q58" s="641">
        <v>159455</v>
      </c>
      <c r="R58" s="641">
        <v>145651</v>
      </c>
      <c r="S58" s="641">
        <v>188252</v>
      </c>
      <c r="T58" s="641">
        <v>201157</v>
      </c>
      <c r="U58" s="641">
        <v>254877</v>
      </c>
      <c r="V58" s="641">
        <v>246170</v>
      </c>
      <c r="W58" s="641">
        <v>300486</v>
      </c>
      <c r="X58" s="641">
        <v>313334</v>
      </c>
      <c r="Y58" s="641">
        <v>374526</v>
      </c>
      <c r="Z58" s="641">
        <v>365288</v>
      </c>
      <c r="AA58" s="641">
        <v>427699</v>
      </c>
      <c r="AB58" s="641">
        <v>372541</v>
      </c>
      <c r="AC58" s="641">
        <v>441080</v>
      </c>
      <c r="AD58" s="641">
        <v>426966</v>
      </c>
      <c r="AE58" s="641">
        <v>494094</v>
      </c>
      <c r="AF58" s="641">
        <v>511949</v>
      </c>
      <c r="AG58" s="641">
        <v>584741</v>
      </c>
      <c r="AH58" s="641">
        <v>567321</v>
      </c>
      <c r="AI58" s="641">
        <v>639536</v>
      </c>
      <c r="AJ58" s="641">
        <v>650236</v>
      </c>
      <c r="AK58" s="641">
        <v>723877</v>
      </c>
      <c r="AL58" s="641">
        <v>706723</v>
      </c>
      <c r="AM58" s="641">
        <v>779387</v>
      </c>
      <c r="AN58" s="641">
        <v>781988</v>
      </c>
      <c r="AO58" s="641">
        <v>856640</v>
      </c>
      <c r="AP58" s="641">
        <v>848532</v>
      </c>
      <c r="AQ58" s="641">
        <v>921048</v>
      </c>
      <c r="AR58" s="641">
        <v>940663</v>
      </c>
      <c r="AS58" s="641">
        <v>1016221</v>
      </c>
      <c r="AT58" s="641">
        <v>1009436</v>
      </c>
    </row>
    <row r="59" spans="3:46" ht="13.5" x14ac:dyDescent="0.4">
      <c r="C59" s="183" t="s">
        <v>276</v>
      </c>
      <c r="D59" s="642">
        <v>-351</v>
      </c>
      <c r="E59" s="642">
        <v>-504</v>
      </c>
      <c r="F59" s="642">
        <v>-546</v>
      </c>
      <c r="G59" s="642">
        <v>-687</v>
      </c>
      <c r="H59" s="642">
        <v>-1089</v>
      </c>
      <c r="I59" s="642">
        <v>-1435</v>
      </c>
      <c r="J59" s="642">
        <v>-3904</v>
      </c>
      <c r="K59" s="642">
        <v>-4891</v>
      </c>
      <c r="L59" s="642">
        <v>-9230</v>
      </c>
      <c r="M59" s="642">
        <v>-10127</v>
      </c>
      <c r="N59" s="642">
        <v>-3909</v>
      </c>
      <c r="O59" s="642">
        <v>-2097</v>
      </c>
      <c r="P59" s="642">
        <v>-1919</v>
      </c>
      <c r="Q59" s="642">
        <v>-1782</v>
      </c>
      <c r="R59" s="642">
        <v>-3681</v>
      </c>
      <c r="S59" s="642">
        <v>-488</v>
      </c>
      <c r="T59" s="642">
        <v>581</v>
      </c>
      <c r="U59" s="642">
        <v>-1402</v>
      </c>
      <c r="V59" s="642">
        <v>-2217</v>
      </c>
      <c r="W59" s="642">
        <v>-9384</v>
      </c>
      <c r="X59" s="642">
        <v>-10792</v>
      </c>
      <c r="Y59" s="642">
        <v>-8630</v>
      </c>
      <c r="Z59" s="642">
        <v>-11481</v>
      </c>
      <c r="AA59" s="642">
        <v>-11555</v>
      </c>
      <c r="AB59" s="642">
        <v>-12822</v>
      </c>
      <c r="AC59" s="642">
        <v>-15776</v>
      </c>
      <c r="AD59" s="642">
        <v>-20667</v>
      </c>
      <c r="AE59" s="642">
        <v>-21731</v>
      </c>
      <c r="AF59" s="642">
        <v>-24038</v>
      </c>
      <c r="AG59" s="642">
        <v>-21932</v>
      </c>
      <c r="AH59" s="642">
        <v>-22059</v>
      </c>
      <c r="AI59" s="642">
        <v>-25582</v>
      </c>
      <c r="AJ59" s="642">
        <v>0</v>
      </c>
      <c r="AK59" s="642">
        <v>0</v>
      </c>
      <c r="AL59" s="642">
        <v>0</v>
      </c>
      <c r="AM59" s="642">
        <v>0</v>
      </c>
      <c r="AN59" s="642">
        <v>0</v>
      </c>
      <c r="AO59" s="642">
        <v>0</v>
      </c>
      <c r="AP59" s="642">
        <v>0</v>
      </c>
      <c r="AQ59" s="642">
        <v>0</v>
      </c>
      <c r="AR59" s="642">
        <v>0</v>
      </c>
      <c r="AS59" s="642">
        <v>0</v>
      </c>
      <c r="AT59" s="642">
        <v>0</v>
      </c>
    </row>
    <row r="60" spans="3:46" ht="13.5" x14ac:dyDescent="0.4">
      <c r="C60" s="222" t="s">
        <v>277</v>
      </c>
      <c r="D60" s="643">
        <v>466896</v>
      </c>
      <c r="E60" s="643">
        <v>485352</v>
      </c>
      <c r="F60" s="643">
        <v>498618</v>
      </c>
      <c r="G60" s="643">
        <v>520958</v>
      </c>
      <c r="H60" s="643">
        <v>538947</v>
      </c>
      <c r="I60" s="643">
        <v>566608</v>
      </c>
      <c r="J60" s="643">
        <v>550007</v>
      </c>
      <c r="K60" s="643">
        <v>581699</v>
      </c>
      <c r="L60" s="643">
        <v>603183</v>
      </c>
      <c r="M60" s="643">
        <v>636552</v>
      </c>
      <c r="N60" s="643">
        <v>616416</v>
      </c>
      <c r="O60" s="643">
        <v>646210</v>
      </c>
      <c r="P60" s="643">
        <v>673893</v>
      </c>
      <c r="Q60" s="643">
        <v>719089</v>
      </c>
      <c r="R60" s="643">
        <v>704279</v>
      </c>
      <c r="S60" s="643">
        <v>753832</v>
      </c>
      <c r="T60" s="643">
        <v>820430</v>
      </c>
      <c r="U60" s="643">
        <v>870968</v>
      </c>
      <c r="V60" s="643">
        <v>858391</v>
      </c>
      <c r="W60" s="643">
        <v>900682</v>
      </c>
      <c r="X60" s="643">
        <v>956742</v>
      </c>
      <c r="Y60" s="643">
        <v>1021815</v>
      </c>
      <c r="Z60" s="643">
        <v>1016318</v>
      </c>
      <c r="AA60" s="643">
        <v>1073350</v>
      </c>
      <c r="AB60" s="643">
        <v>1124997</v>
      </c>
      <c r="AC60" s="643">
        <v>1194175</v>
      </c>
      <c r="AD60" s="643">
        <v>1171507</v>
      </c>
      <c r="AE60" s="643">
        <v>1231739</v>
      </c>
      <c r="AF60" s="643">
        <v>1274134</v>
      </c>
      <c r="AG60" s="643">
        <v>1358485</v>
      </c>
      <c r="AH60" s="643">
        <v>1354857</v>
      </c>
      <c r="AI60" s="643">
        <v>1427581</v>
      </c>
      <c r="AJ60" s="643">
        <v>1530859</v>
      </c>
      <c r="AK60" s="643">
        <v>1611328</v>
      </c>
      <c r="AL60" s="643">
        <v>1603025</v>
      </c>
      <c r="AM60" s="643">
        <v>1680028</v>
      </c>
      <c r="AN60" s="643">
        <v>1789474</v>
      </c>
      <c r="AO60" s="643">
        <v>1863180</v>
      </c>
      <c r="AP60" s="643">
        <v>1856593</v>
      </c>
      <c r="AQ60" s="643">
        <v>1942287</v>
      </c>
      <c r="AR60" s="643">
        <v>1969751</v>
      </c>
      <c r="AS60" s="643">
        <v>2032748</v>
      </c>
      <c r="AT60" s="643">
        <v>2018295</v>
      </c>
    </row>
    <row r="61" spans="3:46" ht="13.5" x14ac:dyDescent="0.4">
      <c r="C61" s="224" t="s">
        <v>278</v>
      </c>
      <c r="D61" s="645">
        <v>4537</v>
      </c>
      <c r="E61" s="645">
        <v>4601</v>
      </c>
      <c r="F61" s="645">
        <v>4699</v>
      </c>
      <c r="G61" s="645">
        <v>5079</v>
      </c>
      <c r="H61" s="645">
        <v>5305</v>
      </c>
      <c r="I61" s="645">
        <v>4323</v>
      </c>
      <c r="J61" s="645">
        <v>4335</v>
      </c>
      <c r="K61" s="645">
        <v>4120</v>
      </c>
      <c r="L61" s="645">
        <v>3955</v>
      </c>
      <c r="M61" s="645">
        <v>4033</v>
      </c>
      <c r="N61" s="645">
        <v>4504</v>
      </c>
      <c r="O61" s="645">
        <v>4697</v>
      </c>
      <c r="P61" s="645">
        <v>5041</v>
      </c>
      <c r="Q61" s="645">
        <v>5112</v>
      </c>
      <c r="R61" s="645">
        <v>5321</v>
      </c>
      <c r="S61" s="645">
        <v>5673</v>
      </c>
      <c r="T61" s="645">
        <v>1227</v>
      </c>
      <c r="U61" s="645">
        <v>1257</v>
      </c>
      <c r="V61" s="645">
        <v>1224</v>
      </c>
      <c r="W61" s="645">
        <v>1184</v>
      </c>
      <c r="X61" s="645">
        <v>1081</v>
      </c>
      <c r="Y61" s="645">
        <v>1128</v>
      </c>
      <c r="Z61" s="645">
        <v>1130</v>
      </c>
      <c r="AA61" s="645">
        <v>1924</v>
      </c>
      <c r="AB61" s="645">
        <v>3462</v>
      </c>
      <c r="AC61" s="645">
        <v>3640</v>
      </c>
      <c r="AD61" s="645">
        <v>3586</v>
      </c>
      <c r="AE61" s="645">
        <v>3650</v>
      </c>
      <c r="AF61" s="645">
        <v>4329</v>
      </c>
      <c r="AG61" s="645">
        <v>4435</v>
      </c>
      <c r="AH61" s="645">
        <v>4646</v>
      </c>
      <c r="AI61" s="645">
        <v>4794</v>
      </c>
      <c r="AJ61" s="645">
        <v>6445</v>
      </c>
      <c r="AK61" s="645">
        <v>9932</v>
      </c>
      <c r="AL61" s="645">
        <v>10612</v>
      </c>
      <c r="AM61" s="645">
        <v>10624</v>
      </c>
      <c r="AN61" s="645">
        <v>11045</v>
      </c>
      <c r="AO61" s="645">
        <v>10899</v>
      </c>
      <c r="AP61" s="645">
        <v>11184</v>
      </c>
      <c r="AQ61" s="645">
        <v>11708</v>
      </c>
      <c r="AR61" s="645">
        <v>11412</v>
      </c>
      <c r="AS61" s="645">
        <v>12223</v>
      </c>
      <c r="AT61" s="645">
        <v>12339</v>
      </c>
    </row>
    <row r="62" spans="3:46" ht="13.5" x14ac:dyDescent="0.4">
      <c r="C62" s="226" t="s">
        <v>279</v>
      </c>
      <c r="D62" s="646">
        <v>471433</v>
      </c>
      <c r="E62" s="646">
        <v>489953</v>
      </c>
      <c r="F62" s="646">
        <v>503317</v>
      </c>
      <c r="G62" s="646">
        <v>526037</v>
      </c>
      <c r="H62" s="646">
        <v>544252</v>
      </c>
      <c r="I62" s="646">
        <v>570931</v>
      </c>
      <c r="J62" s="646">
        <v>554342</v>
      </c>
      <c r="K62" s="646">
        <v>585819</v>
      </c>
      <c r="L62" s="646">
        <v>607138</v>
      </c>
      <c r="M62" s="646">
        <v>640585</v>
      </c>
      <c r="N62" s="646">
        <v>620920</v>
      </c>
      <c r="O62" s="646">
        <v>650907</v>
      </c>
      <c r="P62" s="646">
        <v>678934</v>
      </c>
      <c r="Q62" s="646">
        <v>724201</v>
      </c>
      <c r="R62" s="646">
        <v>709600</v>
      </c>
      <c r="S62" s="646">
        <v>759505</v>
      </c>
      <c r="T62" s="646">
        <v>821657</v>
      </c>
      <c r="U62" s="646">
        <v>872225</v>
      </c>
      <c r="V62" s="646">
        <v>859615</v>
      </c>
      <c r="W62" s="646">
        <v>901866</v>
      </c>
      <c r="X62" s="646">
        <v>957823</v>
      </c>
      <c r="Y62" s="646">
        <v>1022943</v>
      </c>
      <c r="Z62" s="646">
        <v>1017448</v>
      </c>
      <c r="AA62" s="646">
        <v>1075274</v>
      </c>
      <c r="AB62" s="646">
        <v>1128459</v>
      </c>
      <c r="AC62" s="646">
        <v>1197815</v>
      </c>
      <c r="AD62" s="646">
        <v>1175093</v>
      </c>
      <c r="AE62" s="646">
        <v>1235389</v>
      </c>
      <c r="AF62" s="646">
        <v>1278463</v>
      </c>
      <c r="AG62" s="646">
        <v>1362920</v>
      </c>
      <c r="AH62" s="646">
        <v>1359503</v>
      </c>
      <c r="AI62" s="646">
        <v>1432375</v>
      </c>
      <c r="AJ62" s="646">
        <v>1537304</v>
      </c>
      <c r="AK62" s="646">
        <v>1621260</v>
      </c>
      <c r="AL62" s="646">
        <v>1613637</v>
      </c>
      <c r="AM62" s="646">
        <v>1690652</v>
      </c>
      <c r="AN62" s="646">
        <v>1800519</v>
      </c>
      <c r="AO62" s="646">
        <v>1874079</v>
      </c>
      <c r="AP62" s="646">
        <v>1867777</v>
      </c>
      <c r="AQ62" s="646">
        <v>1953995</v>
      </c>
      <c r="AR62" s="646">
        <v>1981163</v>
      </c>
      <c r="AS62" s="646">
        <v>2044971</v>
      </c>
      <c r="AT62" s="646">
        <v>2030634</v>
      </c>
    </row>
    <row r="63" spans="3:46" ht="13.9" thickBot="1" x14ac:dyDescent="0.45">
      <c r="C63" s="228" t="s">
        <v>280</v>
      </c>
      <c r="D63" s="647">
        <v>7509118</v>
      </c>
      <c r="E63" s="647">
        <v>7880806</v>
      </c>
      <c r="F63" s="647">
        <v>8303988</v>
      </c>
      <c r="G63" s="647">
        <v>8597756</v>
      </c>
      <c r="H63" s="647">
        <v>8684288</v>
      </c>
      <c r="I63" s="647">
        <v>9141387</v>
      </c>
      <c r="J63" s="647">
        <v>9399960</v>
      </c>
      <c r="K63" s="647">
        <v>9384347</v>
      </c>
      <c r="L63" s="647">
        <v>9757654</v>
      </c>
      <c r="M63" s="647">
        <v>10978966</v>
      </c>
      <c r="N63" s="647">
        <v>11435086</v>
      </c>
      <c r="O63" s="647">
        <v>11670134</v>
      </c>
      <c r="P63" s="647">
        <v>11785053</v>
      </c>
      <c r="Q63" s="647">
        <v>12553385</v>
      </c>
      <c r="R63" s="647">
        <v>12960381</v>
      </c>
      <c r="S63" s="647">
        <v>13417887</v>
      </c>
      <c r="T63" s="647">
        <v>13458622</v>
      </c>
      <c r="U63" s="647">
        <v>14389996</v>
      </c>
      <c r="V63" s="647">
        <v>14896048</v>
      </c>
      <c r="W63" s="647">
        <v>15127002</v>
      </c>
      <c r="X63" s="647">
        <v>15476868</v>
      </c>
      <c r="Y63" s="647">
        <v>16431196</v>
      </c>
      <c r="Z63" s="647">
        <v>17073050</v>
      </c>
      <c r="AA63" s="647">
        <v>17371150</v>
      </c>
      <c r="AB63" s="647">
        <v>17542217</v>
      </c>
      <c r="AC63" s="647">
        <v>18357278</v>
      </c>
      <c r="AD63" s="647">
        <v>18723353</v>
      </c>
      <c r="AE63" s="647">
        <v>18742548</v>
      </c>
      <c r="AF63" s="647">
        <v>18917752</v>
      </c>
      <c r="AG63" s="647">
        <v>19734683</v>
      </c>
      <c r="AH63" s="647">
        <v>20303677</v>
      </c>
      <c r="AI63" s="647">
        <v>20150956</v>
      </c>
      <c r="AJ63" s="647">
        <v>20609953</v>
      </c>
      <c r="AK63" s="647">
        <v>21396633</v>
      </c>
      <c r="AL63" s="647">
        <v>22417295</v>
      </c>
      <c r="AM63" s="647">
        <v>22104917</v>
      </c>
      <c r="AN63" s="647">
        <v>22209780</v>
      </c>
      <c r="AO63" s="647">
        <v>22883325</v>
      </c>
      <c r="AP63" s="647">
        <v>23524327</v>
      </c>
      <c r="AQ63" s="647">
        <v>23646472</v>
      </c>
      <c r="AR63" s="647">
        <v>24137265</v>
      </c>
      <c r="AS63" s="647">
        <v>24904936</v>
      </c>
      <c r="AT63" s="647">
        <v>25514046</v>
      </c>
    </row>
    <row r="64" spans="3:46" s="231" customFormat="1" ht="13.5" x14ac:dyDescent="0.4">
      <c r="C64" s="230" t="s">
        <v>281</v>
      </c>
      <c r="D64" s="636">
        <v>0</v>
      </c>
      <c r="E64" s="636">
        <v>0</v>
      </c>
      <c r="F64" s="636">
        <v>0</v>
      </c>
      <c r="G64" s="636">
        <v>0</v>
      </c>
      <c r="H64" s="636">
        <v>0</v>
      </c>
      <c r="I64" s="636">
        <v>0</v>
      </c>
      <c r="J64" s="636">
        <v>0</v>
      </c>
      <c r="K64" s="636">
        <v>0</v>
      </c>
      <c r="L64" s="636">
        <v>0</v>
      </c>
      <c r="M64" s="636">
        <v>0</v>
      </c>
      <c r="N64" s="636">
        <v>0</v>
      </c>
      <c r="O64" s="636">
        <v>0</v>
      </c>
      <c r="P64" s="636">
        <v>0</v>
      </c>
      <c r="Q64" s="636">
        <v>0</v>
      </c>
      <c r="R64" s="636">
        <v>0</v>
      </c>
      <c r="S64" s="636">
        <v>0</v>
      </c>
      <c r="T64" s="636">
        <v>0</v>
      </c>
      <c r="U64" s="636">
        <v>0</v>
      </c>
      <c r="V64" s="636">
        <v>0</v>
      </c>
      <c r="W64" s="636">
        <v>0</v>
      </c>
      <c r="X64" s="636">
        <v>0</v>
      </c>
      <c r="Y64" s="636">
        <v>0</v>
      </c>
      <c r="Z64" s="636">
        <v>0</v>
      </c>
      <c r="AA64" s="636">
        <v>0</v>
      </c>
      <c r="AB64" s="636">
        <v>0</v>
      </c>
      <c r="AC64" s="636">
        <v>0</v>
      </c>
      <c r="AD64" s="636">
        <v>0</v>
      </c>
      <c r="AE64" s="636">
        <v>0</v>
      </c>
      <c r="AF64" s="636">
        <v>0</v>
      </c>
      <c r="AG64" s="636">
        <v>0</v>
      </c>
      <c r="AH64" s="636">
        <v>0</v>
      </c>
      <c r="AI64" s="636">
        <v>0</v>
      </c>
      <c r="AJ64" s="636">
        <v>0</v>
      </c>
      <c r="AK64" s="636">
        <v>0</v>
      </c>
      <c r="AL64" s="636">
        <v>0</v>
      </c>
      <c r="AM64" s="636">
        <v>0</v>
      </c>
      <c r="AN64" s="636">
        <v>0</v>
      </c>
      <c r="AO64" s="636">
        <v>0</v>
      </c>
      <c r="AP64" s="636">
        <v>0</v>
      </c>
      <c r="AQ64" s="636">
        <v>0</v>
      </c>
      <c r="AR64" s="636">
        <v>0</v>
      </c>
      <c r="AS64" s="636">
        <v>0</v>
      </c>
      <c r="AT64" s="636">
        <v>0</v>
      </c>
    </row>
    <row r="66" spans="2:46" s="429" customFormat="1" ht="13.5" thickBot="1" x14ac:dyDescent="0.45"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649"/>
      <c r="Q66" s="649"/>
      <c r="R66" s="649"/>
      <c r="S66" s="649"/>
      <c r="T66" s="649"/>
      <c r="U66" s="649"/>
      <c r="V66" s="649"/>
      <c r="W66" s="649"/>
      <c r="X66" s="649"/>
      <c r="Y66" s="649"/>
      <c r="Z66" s="649"/>
      <c r="AA66" s="649"/>
      <c r="AB66" s="649"/>
      <c r="AC66" s="649"/>
      <c r="AD66" s="649"/>
      <c r="AE66" s="649"/>
      <c r="AF66" s="649"/>
      <c r="AG66" s="649"/>
      <c r="AH66" s="649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649"/>
    </row>
    <row r="67" spans="2:46" ht="14.25" thickTop="1" thickBot="1" x14ac:dyDescent="0.45">
      <c r="B67" s="233" t="s">
        <v>282</v>
      </c>
      <c r="D67" s="1035">
        <v>178889</v>
      </c>
    </row>
    <row r="68" spans="2:46" ht="13.5" x14ac:dyDescent="0.4">
      <c r="C68" s="234" t="s">
        <v>283</v>
      </c>
      <c r="D68" s="651">
        <v>178889</v>
      </c>
      <c r="E68" s="651">
        <v>54520</v>
      </c>
      <c r="F68" s="651">
        <v>116492</v>
      </c>
      <c r="G68" s="651">
        <v>182374</v>
      </c>
      <c r="H68" s="651">
        <v>254157</v>
      </c>
      <c r="I68" s="651">
        <v>75640</v>
      </c>
      <c r="J68" s="651">
        <v>155007</v>
      </c>
      <c r="K68" s="651">
        <v>231717</v>
      </c>
      <c r="L68" s="651">
        <v>309758</v>
      </c>
      <c r="M68" s="651">
        <v>72887</v>
      </c>
      <c r="N68" s="651">
        <v>148352</v>
      </c>
      <c r="O68" s="651">
        <v>226634</v>
      </c>
      <c r="P68" s="651">
        <v>309454</v>
      </c>
      <c r="Q68" s="651">
        <v>87338</v>
      </c>
      <c r="R68" s="651">
        <v>181708</v>
      </c>
      <c r="S68" s="651">
        <v>278690</v>
      </c>
      <c r="T68" s="651">
        <v>380821</v>
      </c>
      <c r="U68" s="651">
        <v>113817</v>
      </c>
      <c r="V68" s="651">
        <v>232688</v>
      </c>
      <c r="W68" s="651">
        <v>351729</v>
      </c>
      <c r="X68" s="651">
        <v>475214</v>
      </c>
      <c r="Y68" s="651">
        <v>131017</v>
      </c>
      <c r="Z68" s="651">
        <v>265486</v>
      </c>
      <c r="AA68" s="651">
        <v>401473</v>
      </c>
      <c r="AB68" s="651">
        <v>536945</v>
      </c>
      <c r="AC68" s="651">
        <v>147760</v>
      </c>
      <c r="AD68" s="651">
        <v>298607</v>
      </c>
      <c r="AE68" s="651">
        <v>441917</v>
      </c>
      <c r="AF68" s="651">
        <v>589637</v>
      </c>
      <c r="AG68" s="651">
        <v>162633</v>
      </c>
      <c r="AH68" s="651">
        <v>328425</v>
      </c>
      <c r="AI68" s="651">
        <v>488589</v>
      </c>
      <c r="AJ68" s="651">
        <v>658892</v>
      </c>
      <c r="AK68" s="651">
        <v>181164</v>
      </c>
      <c r="AL68" s="651">
        <v>356242</v>
      </c>
      <c r="AM68" s="651">
        <v>524628</v>
      </c>
      <c r="AN68" s="651">
        <v>697647</v>
      </c>
      <c r="AO68" s="651">
        <v>193889</v>
      </c>
      <c r="AP68" s="651">
        <v>357670</v>
      </c>
      <c r="AQ68" s="651">
        <v>517774</v>
      </c>
      <c r="AR68" s="651">
        <v>675891</v>
      </c>
      <c r="AS68" s="651">
        <v>189525</v>
      </c>
      <c r="AT68" s="651">
        <v>362151</v>
      </c>
    </row>
    <row r="69" spans="2:46" ht="13.5" x14ac:dyDescent="0.4">
      <c r="C69" s="183" t="s">
        <v>284</v>
      </c>
      <c r="D69" s="630">
        <v>163118</v>
      </c>
      <c r="E69" s="630">
        <v>48102</v>
      </c>
      <c r="F69" s="630">
        <v>102209</v>
      </c>
      <c r="G69" s="630">
        <v>159705</v>
      </c>
      <c r="H69" s="630">
        <v>224465</v>
      </c>
      <c r="I69" s="630">
        <v>66287</v>
      </c>
      <c r="J69" s="630">
        <v>131785</v>
      </c>
      <c r="K69" s="630">
        <v>196567</v>
      </c>
      <c r="L69" s="630">
        <v>263037</v>
      </c>
      <c r="M69" s="630">
        <v>57748</v>
      </c>
      <c r="N69" s="630">
        <v>116038</v>
      </c>
      <c r="O69" s="630">
        <v>178249</v>
      </c>
      <c r="P69" s="630">
        <v>245821</v>
      </c>
      <c r="Q69" s="630">
        <v>68401</v>
      </c>
      <c r="R69" s="630">
        <v>143312</v>
      </c>
      <c r="S69" s="630">
        <v>221663</v>
      </c>
      <c r="T69" s="630">
        <v>303749</v>
      </c>
      <c r="U69" s="630">
        <v>85376</v>
      </c>
      <c r="V69" s="630">
        <v>174504</v>
      </c>
      <c r="W69" s="630">
        <v>267087</v>
      </c>
      <c r="X69" s="630">
        <v>362764</v>
      </c>
      <c r="Y69" s="630">
        <v>98816</v>
      </c>
      <c r="Z69" s="630">
        <v>204058</v>
      </c>
      <c r="AA69" s="630">
        <v>311369</v>
      </c>
      <c r="AB69" s="630">
        <v>417828</v>
      </c>
      <c r="AC69" s="630">
        <v>106717</v>
      </c>
      <c r="AD69" s="630">
        <v>215889</v>
      </c>
      <c r="AE69" s="630">
        <v>327636</v>
      </c>
      <c r="AF69" s="630">
        <v>443335</v>
      </c>
      <c r="AG69" s="630">
        <v>115825</v>
      </c>
      <c r="AH69" s="630">
        <v>237607</v>
      </c>
      <c r="AI69" s="630">
        <v>362934</v>
      </c>
      <c r="AJ69" s="630">
        <v>493522</v>
      </c>
      <c r="AK69" s="630">
        <v>125283</v>
      </c>
      <c r="AL69" s="630">
        <v>252087</v>
      </c>
      <c r="AM69" s="630">
        <v>379945</v>
      </c>
      <c r="AN69" s="630">
        <v>507867</v>
      </c>
      <c r="AO69" s="630">
        <v>118810</v>
      </c>
      <c r="AP69" s="630">
        <v>234280</v>
      </c>
      <c r="AQ69" s="630">
        <v>351358</v>
      </c>
      <c r="AR69" s="630">
        <v>471846</v>
      </c>
      <c r="AS69" s="630">
        <v>121970</v>
      </c>
      <c r="AT69" s="630">
        <v>250922</v>
      </c>
    </row>
    <row r="70" spans="2:46" ht="13.5" x14ac:dyDescent="0.4">
      <c r="C70" s="183" t="s">
        <v>285</v>
      </c>
      <c r="D70" s="651">
        <v>272941</v>
      </c>
      <c r="E70" s="651">
        <v>78476</v>
      </c>
      <c r="F70" s="651">
        <v>163798</v>
      </c>
      <c r="G70" s="651">
        <v>256255</v>
      </c>
      <c r="H70" s="651">
        <v>357287</v>
      </c>
      <c r="I70" s="651">
        <v>105609</v>
      </c>
      <c r="J70" s="651">
        <v>215011</v>
      </c>
      <c r="K70" s="651">
        <v>327426</v>
      </c>
      <c r="L70" s="651">
        <v>440574</v>
      </c>
      <c r="M70" s="651">
        <v>100066</v>
      </c>
      <c r="N70" s="651">
        <v>199277</v>
      </c>
      <c r="O70" s="651">
        <v>300819</v>
      </c>
      <c r="P70" s="651">
        <v>405878</v>
      </c>
      <c r="Q70" s="651">
        <v>106036</v>
      </c>
      <c r="R70" s="651">
        <v>219865</v>
      </c>
      <c r="S70" s="651">
        <v>338818</v>
      </c>
      <c r="T70" s="651">
        <v>462762</v>
      </c>
      <c r="U70" s="651">
        <v>130893</v>
      </c>
      <c r="V70" s="651">
        <v>272719</v>
      </c>
      <c r="W70" s="651">
        <v>426187</v>
      </c>
      <c r="X70" s="651">
        <v>589580</v>
      </c>
      <c r="Y70" s="651">
        <v>174348</v>
      </c>
      <c r="Z70" s="651">
        <v>354522</v>
      </c>
      <c r="AA70" s="651">
        <v>537317</v>
      </c>
      <c r="AB70" s="651">
        <v>721439</v>
      </c>
      <c r="AC70" s="651">
        <v>184303</v>
      </c>
      <c r="AD70" s="651">
        <v>372507</v>
      </c>
      <c r="AE70" s="651">
        <v>566769</v>
      </c>
      <c r="AF70" s="651">
        <v>767111</v>
      </c>
      <c r="AG70" s="651">
        <v>203145</v>
      </c>
      <c r="AH70" s="651">
        <v>412613</v>
      </c>
      <c r="AI70" s="651">
        <v>627651</v>
      </c>
      <c r="AJ70" s="651">
        <v>849879</v>
      </c>
      <c r="AK70" s="651">
        <v>216836</v>
      </c>
      <c r="AL70" s="651">
        <v>437295</v>
      </c>
      <c r="AM70" s="651">
        <v>656988</v>
      </c>
      <c r="AN70" s="651">
        <v>871779</v>
      </c>
      <c r="AO70" s="651">
        <v>200475</v>
      </c>
      <c r="AP70" s="651">
        <v>395228</v>
      </c>
      <c r="AQ70" s="651">
        <v>590694</v>
      </c>
      <c r="AR70" s="651">
        <v>791480</v>
      </c>
      <c r="AS70" s="651">
        <v>203987</v>
      </c>
      <c r="AT70" s="651">
        <v>418353</v>
      </c>
    </row>
    <row r="71" spans="2:46" s="236" customFormat="1" ht="13.5" x14ac:dyDescent="0.4">
      <c r="C71" s="236" t="s">
        <v>286</v>
      </c>
      <c r="D71" s="652">
        <v>-109823</v>
      </c>
      <c r="E71" s="652">
        <v>-30374</v>
      </c>
      <c r="F71" s="652">
        <v>-61589</v>
      </c>
      <c r="G71" s="652">
        <v>-96550</v>
      </c>
      <c r="H71" s="652">
        <v>-132822</v>
      </c>
      <c r="I71" s="652">
        <v>-39322</v>
      </c>
      <c r="J71" s="652">
        <v>-83226</v>
      </c>
      <c r="K71" s="652">
        <v>-130859</v>
      </c>
      <c r="L71" s="652">
        <v>-177537</v>
      </c>
      <c r="M71" s="652">
        <v>-42318</v>
      </c>
      <c r="N71" s="652">
        <v>-83239</v>
      </c>
      <c r="O71" s="652">
        <v>-122570</v>
      </c>
      <c r="P71" s="652">
        <v>-160057</v>
      </c>
      <c r="Q71" s="652">
        <v>-37635</v>
      </c>
      <c r="R71" s="652">
        <v>-76553</v>
      </c>
      <c r="S71" s="652">
        <v>-117155</v>
      </c>
      <c r="T71" s="652">
        <v>-159013</v>
      </c>
      <c r="U71" s="652">
        <v>-45517</v>
      </c>
      <c r="V71" s="652">
        <v>-98215</v>
      </c>
      <c r="W71" s="652">
        <v>-159100</v>
      </c>
      <c r="X71" s="652">
        <v>-226816</v>
      </c>
      <c r="Y71" s="652">
        <v>-75532</v>
      </c>
      <c r="Z71" s="652">
        <v>-150464</v>
      </c>
      <c r="AA71" s="652">
        <v>-225948</v>
      </c>
      <c r="AB71" s="652">
        <v>-303611</v>
      </c>
      <c r="AC71" s="652">
        <v>-77586</v>
      </c>
      <c r="AD71" s="652">
        <v>-156618</v>
      </c>
      <c r="AE71" s="652">
        <v>-239133</v>
      </c>
      <c r="AF71" s="652">
        <v>-323776</v>
      </c>
      <c r="AG71" s="652">
        <v>-87320</v>
      </c>
      <c r="AH71" s="652">
        <v>-175006</v>
      </c>
      <c r="AI71" s="652">
        <v>-264717</v>
      </c>
      <c r="AJ71" s="652">
        <v>-356357</v>
      </c>
      <c r="AK71" s="652">
        <v>-91553</v>
      </c>
      <c r="AL71" s="652">
        <v>-185208</v>
      </c>
      <c r="AM71" s="652">
        <v>-277043</v>
      </c>
      <c r="AN71" s="652">
        <v>-363912</v>
      </c>
      <c r="AO71" s="652">
        <v>-81665</v>
      </c>
      <c r="AP71" s="652">
        <v>-160948</v>
      </c>
      <c r="AQ71" s="652">
        <v>-239336</v>
      </c>
      <c r="AR71" s="652">
        <v>-319634</v>
      </c>
      <c r="AS71" s="652">
        <v>-82017</v>
      </c>
      <c r="AT71" s="652">
        <v>-167431</v>
      </c>
    </row>
    <row r="72" spans="2:46" ht="13.5" x14ac:dyDescent="0.4">
      <c r="C72" s="237" t="s">
        <v>287</v>
      </c>
      <c r="D72" s="653">
        <v>15771</v>
      </c>
      <c r="E72" s="653">
        <v>6418</v>
      </c>
      <c r="F72" s="653">
        <v>14283</v>
      </c>
      <c r="G72" s="653">
        <v>22669</v>
      </c>
      <c r="H72" s="653">
        <v>29692</v>
      </c>
      <c r="I72" s="653">
        <v>9353</v>
      </c>
      <c r="J72" s="653">
        <v>23222</v>
      </c>
      <c r="K72" s="653">
        <v>35150</v>
      </c>
      <c r="L72" s="653">
        <v>46721</v>
      </c>
      <c r="M72" s="653">
        <v>15139</v>
      </c>
      <c r="N72" s="653">
        <v>32314</v>
      </c>
      <c r="O72" s="653">
        <v>48385</v>
      </c>
      <c r="P72" s="653">
        <v>63633</v>
      </c>
      <c r="Q72" s="653">
        <v>18937</v>
      </c>
      <c r="R72" s="653">
        <v>38396</v>
      </c>
      <c r="S72" s="653">
        <v>57027</v>
      </c>
      <c r="T72" s="653">
        <v>77072</v>
      </c>
      <c r="U72" s="653">
        <v>28441</v>
      </c>
      <c r="V72" s="653">
        <v>58184</v>
      </c>
      <c r="W72" s="653">
        <v>84642</v>
      </c>
      <c r="X72" s="653">
        <v>112450</v>
      </c>
      <c r="Y72" s="653">
        <v>32201</v>
      </c>
      <c r="Z72" s="653">
        <v>61428</v>
      </c>
      <c r="AA72" s="653">
        <v>90104</v>
      </c>
      <c r="AB72" s="653">
        <v>119117</v>
      </c>
      <c r="AC72" s="653">
        <v>41043</v>
      </c>
      <c r="AD72" s="653">
        <v>82718</v>
      </c>
      <c r="AE72" s="653">
        <v>114281</v>
      </c>
      <c r="AF72" s="653">
        <v>146302</v>
      </c>
      <c r="AG72" s="653">
        <v>46808</v>
      </c>
      <c r="AH72" s="653">
        <v>90818</v>
      </c>
      <c r="AI72" s="653">
        <v>125655</v>
      </c>
      <c r="AJ72" s="653">
        <v>165370</v>
      </c>
      <c r="AK72" s="653">
        <v>55881</v>
      </c>
      <c r="AL72" s="653">
        <v>104155</v>
      </c>
      <c r="AM72" s="653">
        <v>144683</v>
      </c>
      <c r="AN72" s="653">
        <v>189780</v>
      </c>
      <c r="AO72" s="653">
        <v>75079</v>
      </c>
      <c r="AP72" s="653">
        <v>123390</v>
      </c>
      <c r="AQ72" s="653">
        <v>166416</v>
      </c>
      <c r="AR72" s="653">
        <v>204045</v>
      </c>
      <c r="AS72" s="653">
        <v>67555</v>
      </c>
      <c r="AT72" s="653">
        <v>111229</v>
      </c>
    </row>
    <row r="73" spans="2:46" ht="13.5" x14ac:dyDescent="0.4">
      <c r="C73" s="183" t="s">
        <v>288</v>
      </c>
      <c r="D73" s="630">
        <v>20714</v>
      </c>
      <c r="E73" s="630">
        <v>6470</v>
      </c>
      <c r="F73" s="630">
        <v>14868</v>
      </c>
      <c r="G73" s="630">
        <v>24284</v>
      </c>
      <c r="H73" s="630">
        <v>34384</v>
      </c>
      <c r="I73" s="630">
        <v>12057</v>
      </c>
      <c r="J73" s="630">
        <v>24480</v>
      </c>
      <c r="K73" s="630">
        <v>34583</v>
      </c>
      <c r="L73" s="630">
        <v>44002</v>
      </c>
      <c r="M73" s="630">
        <v>13548</v>
      </c>
      <c r="N73" s="630">
        <v>27744</v>
      </c>
      <c r="O73" s="630">
        <v>41061</v>
      </c>
      <c r="P73" s="630">
        <v>55147</v>
      </c>
      <c r="Q73" s="630">
        <v>18256</v>
      </c>
      <c r="R73" s="630">
        <v>36889</v>
      </c>
      <c r="S73" s="630">
        <v>54563</v>
      </c>
      <c r="T73" s="630">
        <v>72840</v>
      </c>
      <c r="U73" s="630">
        <v>25927</v>
      </c>
      <c r="V73" s="630">
        <v>53791</v>
      </c>
      <c r="W73" s="630">
        <v>78295</v>
      </c>
      <c r="X73" s="630">
        <v>101550</v>
      </c>
      <c r="Y73" s="630">
        <v>28622</v>
      </c>
      <c r="Z73" s="630">
        <v>54804</v>
      </c>
      <c r="AA73" s="630">
        <v>79687</v>
      </c>
      <c r="AB73" s="630">
        <v>106064</v>
      </c>
      <c r="AC73" s="630">
        <v>34185</v>
      </c>
      <c r="AD73" s="630">
        <v>67382</v>
      </c>
      <c r="AE73" s="630">
        <v>95503</v>
      </c>
      <c r="AF73" s="630">
        <v>122326</v>
      </c>
      <c r="AG73" s="630">
        <v>37682</v>
      </c>
      <c r="AH73" s="630">
        <v>73228</v>
      </c>
      <c r="AI73" s="630">
        <v>100885</v>
      </c>
      <c r="AJ73" s="630">
        <v>132497</v>
      </c>
      <c r="AK73" s="630">
        <v>37210</v>
      </c>
      <c r="AL73" s="630">
        <v>77120</v>
      </c>
      <c r="AM73" s="630">
        <v>111183</v>
      </c>
      <c r="AN73" s="630">
        <v>143391</v>
      </c>
      <c r="AO73" s="630">
        <v>43485</v>
      </c>
      <c r="AP73" s="630">
        <v>81715</v>
      </c>
      <c r="AQ73" s="630">
        <v>113748</v>
      </c>
      <c r="AR73" s="630">
        <v>144973</v>
      </c>
      <c r="AS73" s="630">
        <v>40958</v>
      </c>
      <c r="AT73" s="630">
        <v>76670</v>
      </c>
    </row>
    <row r="74" spans="2:46" ht="13.5" x14ac:dyDescent="0.4">
      <c r="C74" s="183" t="s">
        <v>289</v>
      </c>
      <c r="D74" s="654">
        <v>18529</v>
      </c>
      <c r="E74" s="654">
        <v>6993</v>
      </c>
      <c r="F74" s="654">
        <v>16111</v>
      </c>
      <c r="G74" s="654">
        <v>26315</v>
      </c>
      <c r="H74" s="654">
        <v>37439</v>
      </c>
      <c r="I74" s="654">
        <v>12784</v>
      </c>
      <c r="J74" s="654">
        <v>25470</v>
      </c>
      <c r="K74" s="654">
        <v>36313</v>
      </c>
      <c r="L74" s="654">
        <v>46711</v>
      </c>
      <c r="M74" s="654">
        <v>14239</v>
      </c>
      <c r="N74" s="654">
        <v>29291</v>
      </c>
      <c r="O74" s="654">
        <v>43642</v>
      </c>
      <c r="P74" s="654">
        <v>59042</v>
      </c>
      <c r="Q74" s="654">
        <v>19281</v>
      </c>
      <c r="R74" s="654">
        <v>39055</v>
      </c>
      <c r="S74" s="654">
        <v>58029</v>
      </c>
      <c r="T74" s="654">
        <v>78008</v>
      </c>
      <c r="U74" s="654">
        <v>27326</v>
      </c>
      <c r="V74" s="654">
        <v>56844</v>
      </c>
      <c r="W74" s="654">
        <v>83273</v>
      </c>
      <c r="X74" s="654">
        <v>109077</v>
      </c>
      <c r="Y74" s="654">
        <v>30526</v>
      </c>
      <c r="Z74" s="654">
        <v>58836</v>
      </c>
      <c r="AA74" s="654">
        <v>86184</v>
      </c>
      <c r="AB74" s="654">
        <v>115881</v>
      </c>
      <c r="AC74" s="654">
        <v>36629</v>
      </c>
      <c r="AD74" s="654">
        <v>72512</v>
      </c>
      <c r="AE74" s="654">
        <v>103698</v>
      </c>
      <c r="AF74" s="654">
        <v>134550</v>
      </c>
      <c r="AG74" s="654">
        <v>40550</v>
      </c>
      <c r="AH74" s="654">
        <v>79386</v>
      </c>
      <c r="AI74" s="654">
        <v>110598</v>
      </c>
      <c r="AJ74" s="654">
        <v>146678</v>
      </c>
      <c r="AK74" s="654">
        <v>40728</v>
      </c>
      <c r="AL74" s="654">
        <v>85330</v>
      </c>
      <c r="AM74" s="654">
        <v>123761</v>
      </c>
      <c r="AN74" s="654">
        <v>161670</v>
      </c>
      <c r="AO74" s="654">
        <v>47744</v>
      </c>
      <c r="AP74" s="654">
        <v>90816</v>
      </c>
      <c r="AQ74" s="654">
        <v>127797</v>
      </c>
      <c r="AR74" s="654">
        <v>164714</v>
      </c>
      <c r="AS74" s="654">
        <v>45090</v>
      </c>
      <c r="AT74" s="654">
        <v>85402</v>
      </c>
    </row>
    <row r="75" spans="2:46" ht="13.5" x14ac:dyDescent="0.4">
      <c r="C75" s="224" t="s">
        <v>290</v>
      </c>
      <c r="D75" s="655">
        <v>-2185</v>
      </c>
      <c r="E75" s="655">
        <v>-523</v>
      </c>
      <c r="F75" s="655">
        <v>-1243</v>
      </c>
      <c r="G75" s="655">
        <v>-2031</v>
      </c>
      <c r="H75" s="655">
        <v>-3055</v>
      </c>
      <c r="I75" s="655">
        <v>-727</v>
      </c>
      <c r="J75" s="655">
        <v>-990</v>
      </c>
      <c r="K75" s="655">
        <v>-1730</v>
      </c>
      <c r="L75" s="655">
        <v>-2709</v>
      </c>
      <c r="M75" s="655">
        <v>-691</v>
      </c>
      <c r="N75" s="655">
        <v>-1547</v>
      </c>
      <c r="O75" s="655">
        <v>-2581</v>
      </c>
      <c r="P75" s="655">
        <v>-3895</v>
      </c>
      <c r="Q75" s="655">
        <v>-1025</v>
      </c>
      <c r="R75" s="655">
        <v>-2166</v>
      </c>
      <c r="S75" s="655">
        <v>-3466</v>
      </c>
      <c r="T75" s="655">
        <v>-5168</v>
      </c>
      <c r="U75" s="655">
        <v>-1399</v>
      </c>
      <c r="V75" s="655">
        <v>-3053</v>
      </c>
      <c r="W75" s="655">
        <v>-4978</v>
      </c>
      <c r="X75" s="655">
        <v>-7527</v>
      </c>
      <c r="Y75" s="655">
        <v>-1904</v>
      </c>
      <c r="Z75" s="655">
        <v>-4032</v>
      </c>
      <c r="AA75" s="655">
        <v>-6497</v>
      </c>
      <c r="AB75" s="655">
        <v>-9817</v>
      </c>
      <c r="AC75" s="655">
        <v>-2444</v>
      </c>
      <c r="AD75" s="655">
        <v>-5130</v>
      </c>
      <c r="AE75" s="655">
        <v>-8195</v>
      </c>
      <c r="AF75" s="655">
        <v>-12224</v>
      </c>
      <c r="AG75" s="655">
        <v>-2868</v>
      </c>
      <c r="AH75" s="655">
        <v>-6158</v>
      </c>
      <c r="AI75" s="655">
        <v>-9713</v>
      </c>
      <c r="AJ75" s="655">
        <v>-14181</v>
      </c>
      <c r="AK75" s="655">
        <v>-3518</v>
      </c>
      <c r="AL75" s="655">
        <v>-8210</v>
      </c>
      <c r="AM75" s="655">
        <v>-12578</v>
      </c>
      <c r="AN75" s="655">
        <v>-18279</v>
      </c>
      <c r="AO75" s="655">
        <v>-4259</v>
      </c>
      <c r="AP75" s="655">
        <v>-9101</v>
      </c>
      <c r="AQ75" s="655">
        <v>-14049</v>
      </c>
      <c r="AR75" s="655">
        <v>-19741</v>
      </c>
      <c r="AS75" s="655">
        <v>-4132</v>
      </c>
      <c r="AT75" s="655">
        <v>-8732</v>
      </c>
    </row>
    <row r="76" spans="2:46" ht="13.5" x14ac:dyDescent="0.4">
      <c r="C76" s="183" t="s">
        <v>291</v>
      </c>
      <c r="D76" s="630">
        <v>-4943</v>
      </c>
      <c r="E76" s="630">
        <v>-52</v>
      </c>
      <c r="F76" s="630">
        <v>-585</v>
      </c>
      <c r="G76" s="630">
        <v>-1615</v>
      </c>
      <c r="H76" s="630">
        <v>-4692</v>
      </c>
      <c r="I76" s="630">
        <v>-2704</v>
      </c>
      <c r="J76" s="630">
        <v>-1258</v>
      </c>
      <c r="K76" s="630">
        <v>567</v>
      </c>
      <c r="L76" s="630">
        <v>2719</v>
      </c>
      <c r="M76" s="630">
        <v>1591</v>
      </c>
      <c r="N76" s="630">
        <v>4570</v>
      </c>
      <c r="O76" s="630">
        <v>7324</v>
      </c>
      <c r="P76" s="630">
        <v>8486</v>
      </c>
      <c r="Q76" s="630">
        <v>681</v>
      </c>
      <c r="R76" s="630">
        <v>1507</v>
      </c>
      <c r="S76" s="630">
        <v>2464</v>
      </c>
      <c r="T76" s="630">
        <v>4232</v>
      </c>
      <c r="U76" s="630">
        <v>2514</v>
      </c>
      <c r="V76" s="630">
        <v>4393</v>
      </c>
      <c r="W76" s="630">
        <v>6347</v>
      </c>
      <c r="X76" s="630">
        <v>10900</v>
      </c>
      <c r="Y76" s="630">
        <v>3579</v>
      </c>
      <c r="Z76" s="630">
        <v>6624</v>
      </c>
      <c r="AA76" s="630">
        <v>10417</v>
      </c>
      <c r="AB76" s="630">
        <v>13053</v>
      </c>
      <c r="AC76" s="630">
        <v>6858</v>
      </c>
      <c r="AD76" s="630">
        <v>15336</v>
      </c>
      <c r="AE76" s="630">
        <v>18778</v>
      </c>
      <c r="AF76" s="630">
        <v>23976</v>
      </c>
      <c r="AG76" s="630">
        <v>9126</v>
      </c>
      <c r="AH76" s="630">
        <v>17590</v>
      </c>
      <c r="AI76" s="630">
        <v>24770</v>
      </c>
      <c r="AJ76" s="630">
        <v>32873</v>
      </c>
      <c r="AK76" s="630">
        <v>18671</v>
      </c>
      <c r="AL76" s="630">
        <v>27035</v>
      </c>
      <c r="AM76" s="630">
        <v>33500</v>
      </c>
      <c r="AN76" s="630">
        <v>46389</v>
      </c>
      <c r="AO76" s="630">
        <v>31594</v>
      </c>
      <c r="AP76" s="630">
        <v>41675</v>
      </c>
      <c r="AQ76" s="630">
        <v>52668</v>
      </c>
      <c r="AR76" s="630">
        <v>59072</v>
      </c>
      <c r="AS76" s="630">
        <v>26597</v>
      </c>
      <c r="AT76" s="630">
        <v>34559</v>
      </c>
    </row>
    <row r="77" spans="2:46" ht="13.5" x14ac:dyDescent="0.4">
      <c r="C77" s="183" t="s">
        <v>292</v>
      </c>
      <c r="D77" s="654">
        <v>0</v>
      </c>
      <c r="E77" s="654">
        <v>74</v>
      </c>
      <c r="F77" s="654">
        <v>108</v>
      </c>
      <c r="G77" s="654">
        <v>-262</v>
      </c>
      <c r="H77" s="654">
        <v>-128</v>
      </c>
      <c r="I77" s="654">
        <v>-62</v>
      </c>
      <c r="J77" s="654">
        <v>-213</v>
      </c>
      <c r="K77" s="654">
        <v>-40</v>
      </c>
      <c r="L77" s="654">
        <v>-71</v>
      </c>
      <c r="M77" s="654">
        <v>92</v>
      </c>
      <c r="N77" s="654">
        <v>380</v>
      </c>
      <c r="O77" s="654">
        <v>-95</v>
      </c>
      <c r="P77" s="654">
        <v>-101</v>
      </c>
      <c r="Q77" s="654">
        <v>183</v>
      </c>
      <c r="R77" s="654">
        <v>-48</v>
      </c>
      <c r="S77" s="654">
        <v>178</v>
      </c>
      <c r="T77" s="654">
        <v>108</v>
      </c>
      <c r="U77" s="654">
        <v>-83</v>
      </c>
      <c r="V77" s="654">
        <v>-208</v>
      </c>
      <c r="W77" s="654">
        <v>-778</v>
      </c>
      <c r="X77" s="654">
        <v>-211</v>
      </c>
      <c r="Y77" s="654">
        <v>-5</v>
      </c>
      <c r="Z77" s="654">
        <v>-255</v>
      </c>
      <c r="AA77" s="654">
        <v>-567</v>
      </c>
      <c r="AB77" s="654">
        <v>-371</v>
      </c>
      <c r="AC77" s="654">
        <v>692</v>
      </c>
      <c r="AD77" s="654">
        <v>-263</v>
      </c>
      <c r="AE77" s="654">
        <v>-801</v>
      </c>
      <c r="AF77" s="654">
        <v>-151</v>
      </c>
      <c r="AG77" s="654">
        <v>1066</v>
      </c>
      <c r="AH77" s="654">
        <v>1202</v>
      </c>
      <c r="AI77" s="654">
        <v>417</v>
      </c>
      <c r="AJ77" s="654">
        <v>680</v>
      </c>
      <c r="AK77" s="654">
        <v>-1295</v>
      </c>
      <c r="AL77" s="654">
        <v>-114</v>
      </c>
      <c r="AM77" s="654">
        <v>2083</v>
      </c>
      <c r="AN77" s="654">
        <v>2796</v>
      </c>
      <c r="AO77" s="654">
        <v>2028</v>
      </c>
      <c r="AP77" s="654">
        <v>3166</v>
      </c>
      <c r="AQ77" s="654">
        <v>4607</v>
      </c>
      <c r="AR77" s="654">
        <v>4168</v>
      </c>
      <c r="AS77" s="654">
        <v>-100</v>
      </c>
      <c r="AT77" s="654">
        <v>971</v>
      </c>
    </row>
    <row r="78" spans="2:46" ht="13.5" x14ac:dyDescent="0.4">
      <c r="C78" s="183" t="s">
        <v>293</v>
      </c>
      <c r="D78" s="654">
        <v>-2418</v>
      </c>
      <c r="E78" s="654">
        <v>-707</v>
      </c>
      <c r="F78" s="654">
        <v>-1720</v>
      </c>
      <c r="G78" s="654">
        <v>-2953</v>
      </c>
      <c r="H78" s="654">
        <v>-6881</v>
      </c>
      <c r="I78" s="654">
        <v>-3818</v>
      </c>
      <c r="J78" s="654">
        <v>-2832</v>
      </c>
      <c r="K78" s="654">
        <v>-1776</v>
      </c>
      <c r="L78" s="654">
        <v>-851</v>
      </c>
      <c r="M78" s="654">
        <v>392</v>
      </c>
      <c r="N78" s="654">
        <v>-366</v>
      </c>
      <c r="O78" s="654">
        <v>-1027</v>
      </c>
      <c r="P78" s="654">
        <v>-1246</v>
      </c>
      <c r="Q78" s="654">
        <v>-169</v>
      </c>
      <c r="R78" s="654">
        <v>119</v>
      </c>
      <c r="S78" s="654">
        <v>445</v>
      </c>
      <c r="T78" s="654">
        <v>735</v>
      </c>
      <c r="U78" s="654">
        <v>1300</v>
      </c>
      <c r="V78" s="654">
        <v>849</v>
      </c>
      <c r="W78" s="654">
        <v>587</v>
      </c>
      <c r="X78" s="654">
        <v>1400</v>
      </c>
      <c r="Y78" s="654">
        <v>1508</v>
      </c>
      <c r="Z78" s="654">
        <v>3624</v>
      </c>
      <c r="AA78" s="654">
        <v>3173</v>
      </c>
      <c r="AB78" s="654">
        <v>4095</v>
      </c>
      <c r="AC78" s="654">
        <v>1666</v>
      </c>
      <c r="AD78" s="654">
        <v>4569</v>
      </c>
      <c r="AE78" s="654">
        <v>4522</v>
      </c>
      <c r="AF78" s="654">
        <v>6593</v>
      </c>
      <c r="AG78" s="654">
        <v>2548</v>
      </c>
      <c r="AH78" s="654">
        <v>3270</v>
      </c>
      <c r="AI78" s="654">
        <v>2754</v>
      </c>
      <c r="AJ78" s="654">
        <v>3673</v>
      </c>
      <c r="AK78" s="654">
        <v>765</v>
      </c>
      <c r="AL78" s="654">
        <v>1404</v>
      </c>
      <c r="AM78" s="654">
        <v>1639</v>
      </c>
      <c r="AN78" s="654">
        <v>1894</v>
      </c>
      <c r="AO78" s="654">
        <v>1163</v>
      </c>
      <c r="AP78" s="654">
        <v>2242</v>
      </c>
      <c r="AQ78" s="654">
        <v>2515</v>
      </c>
      <c r="AR78" s="654">
        <v>3204</v>
      </c>
      <c r="AS78" s="654">
        <v>1095</v>
      </c>
      <c r="AT78" s="654">
        <v>-145</v>
      </c>
    </row>
    <row r="79" spans="2:46" ht="13.5" x14ac:dyDescent="0.4">
      <c r="C79" s="183" t="s">
        <v>294</v>
      </c>
      <c r="D79" s="654">
        <v>43</v>
      </c>
      <c r="E79" s="654">
        <v>455</v>
      </c>
      <c r="F79" s="654">
        <v>850</v>
      </c>
      <c r="G79" s="654">
        <v>1310</v>
      </c>
      <c r="H79" s="654">
        <v>2040</v>
      </c>
      <c r="I79" s="654">
        <v>1111</v>
      </c>
      <c r="J79" s="654">
        <v>1427</v>
      </c>
      <c r="K79" s="654">
        <v>1968</v>
      </c>
      <c r="L79" s="654">
        <v>3348</v>
      </c>
      <c r="M79" s="654">
        <v>986</v>
      </c>
      <c r="N79" s="654">
        <v>4523</v>
      </c>
      <c r="O79" s="654">
        <v>8426</v>
      </c>
      <c r="P79" s="654">
        <v>9904</v>
      </c>
      <c r="Q79" s="654">
        <v>696</v>
      </c>
      <c r="R79" s="654">
        <v>1481</v>
      </c>
      <c r="S79" s="654">
        <v>2245</v>
      </c>
      <c r="T79" s="654">
        <v>3275</v>
      </c>
      <c r="U79" s="654">
        <v>1218</v>
      </c>
      <c r="V79" s="654">
        <v>3365</v>
      </c>
      <c r="W79" s="654">
        <v>5770</v>
      </c>
      <c r="X79" s="654">
        <v>8337</v>
      </c>
      <c r="Y79" s="654">
        <v>1728</v>
      </c>
      <c r="Z79" s="654">
        <v>2799</v>
      </c>
      <c r="AA79" s="654">
        <v>3842</v>
      </c>
      <c r="AB79" s="654">
        <v>4707</v>
      </c>
      <c r="AC79" s="654">
        <v>1211</v>
      </c>
      <c r="AD79" s="654">
        <v>2816</v>
      </c>
      <c r="AE79" s="654">
        <v>3775</v>
      </c>
      <c r="AF79" s="654">
        <v>3078</v>
      </c>
      <c r="AG79" s="654">
        <v>431</v>
      </c>
      <c r="AH79" s="654">
        <v>1827</v>
      </c>
      <c r="AI79" s="654">
        <v>3067</v>
      </c>
      <c r="AJ79" s="654">
        <v>4920</v>
      </c>
      <c r="AK79" s="654">
        <v>3666</v>
      </c>
      <c r="AL79" s="654">
        <v>6080</v>
      </c>
      <c r="AM79" s="654">
        <v>7570</v>
      </c>
      <c r="AN79" s="654">
        <v>10409</v>
      </c>
      <c r="AO79" s="654">
        <v>1998</v>
      </c>
      <c r="AP79" s="654">
        <v>4114</v>
      </c>
      <c r="AQ79" s="654">
        <v>6565</v>
      </c>
      <c r="AR79" s="654">
        <v>10020</v>
      </c>
      <c r="AS79" s="654">
        <v>1899</v>
      </c>
      <c r="AT79" s="654">
        <v>3787</v>
      </c>
    </row>
    <row r="80" spans="2:46" ht="13.9" thickBot="1" x14ac:dyDescent="0.45">
      <c r="C80" s="239" t="s">
        <v>547</v>
      </c>
      <c r="D80" s="657">
        <v>1802</v>
      </c>
      <c r="E80" s="657">
        <v>126</v>
      </c>
      <c r="F80" s="657">
        <v>-583</v>
      </c>
      <c r="G80" s="657">
        <v>-841</v>
      </c>
      <c r="H80" s="657">
        <v>-1147</v>
      </c>
      <c r="I80" s="657">
        <v>-119</v>
      </c>
      <c r="J80" s="657">
        <v>93</v>
      </c>
      <c r="K80" s="657">
        <v>82</v>
      </c>
      <c r="L80" s="657">
        <v>-135</v>
      </c>
      <c r="M80" s="657">
        <v>15</v>
      </c>
      <c r="N80" s="657">
        <v>-151</v>
      </c>
      <c r="O80" s="657">
        <v>-298</v>
      </c>
      <c r="P80" s="657">
        <v>-452</v>
      </c>
      <c r="Q80" s="657">
        <v>-117</v>
      </c>
      <c r="R80" s="657">
        <v>-212</v>
      </c>
      <c r="S80" s="657">
        <v>-618</v>
      </c>
      <c r="T80" s="657">
        <v>-170</v>
      </c>
      <c r="U80" s="657">
        <v>-300</v>
      </c>
      <c r="V80" s="657">
        <v>-960</v>
      </c>
      <c r="W80" s="657">
        <v>-2195</v>
      </c>
      <c r="X80" s="657">
        <v>-3246</v>
      </c>
      <c r="Y80" s="657">
        <v>-309</v>
      </c>
      <c r="Z80" s="657">
        <v>-1919</v>
      </c>
      <c r="AA80" s="657">
        <v>-3328</v>
      </c>
      <c r="AB80" s="657">
        <v>-2718</v>
      </c>
      <c r="AC80" s="657">
        <v>550</v>
      </c>
      <c r="AD80" s="657">
        <v>1252</v>
      </c>
      <c r="AE80" s="657">
        <v>2067</v>
      </c>
      <c r="AF80" s="657">
        <v>2907</v>
      </c>
      <c r="AG80" s="657">
        <v>-698</v>
      </c>
      <c r="AH80" s="657">
        <v>-294</v>
      </c>
      <c r="AI80" s="657">
        <v>-473</v>
      </c>
      <c r="AJ80" s="657">
        <v>-1339</v>
      </c>
      <c r="AK80" s="657">
        <v>261</v>
      </c>
      <c r="AL80" s="657">
        <v>-60</v>
      </c>
      <c r="AM80" s="657">
        <v>1104</v>
      </c>
      <c r="AN80" s="657">
        <v>314</v>
      </c>
      <c r="AO80" s="657">
        <v>1528</v>
      </c>
      <c r="AP80" s="657">
        <v>3428</v>
      </c>
      <c r="AQ80" s="657">
        <v>5464</v>
      </c>
      <c r="AR80" s="657">
        <v>6473</v>
      </c>
      <c r="AS80" s="657">
        <v>2533</v>
      </c>
      <c r="AT80" s="657">
        <v>4499</v>
      </c>
    </row>
    <row r="81" spans="3:46" ht="13.5" thickBot="1" x14ac:dyDescent="0.45"/>
    <row r="82" spans="3:46" ht="13.5" x14ac:dyDescent="0.4">
      <c r="C82" s="234" t="s">
        <v>296</v>
      </c>
      <c r="D82" s="650">
        <v>-108077</v>
      </c>
      <c r="E82" s="650">
        <v>-26737</v>
      </c>
      <c r="F82" s="650">
        <v>-58915</v>
      </c>
      <c r="G82" s="650">
        <v>-91692</v>
      </c>
      <c r="H82" s="650">
        <v>-140972</v>
      </c>
      <c r="I82" s="650">
        <v>-32331</v>
      </c>
      <c r="J82" s="650">
        <v>-71455</v>
      </c>
      <c r="K82" s="650">
        <v>-112212</v>
      </c>
      <c r="L82" s="650">
        <v>-166227</v>
      </c>
      <c r="M82" s="650">
        <v>-27409</v>
      </c>
      <c r="N82" s="650">
        <v>-63286</v>
      </c>
      <c r="O82" s="650">
        <v>-98547</v>
      </c>
      <c r="P82" s="650">
        <v>-143460</v>
      </c>
      <c r="Q82" s="650">
        <v>-33421</v>
      </c>
      <c r="R82" s="650">
        <v>-71424</v>
      </c>
      <c r="S82" s="650">
        <v>-112917</v>
      </c>
      <c r="T82" s="650">
        <v>-166334</v>
      </c>
      <c r="U82" s="650">
        <v>-44235</v>
      </c>
      <c r="V82" s="650">
        <v>-91185</v>
      </c>
      <c r="W82" s="650">
        <v>-140485</v>
      </c>
      <c r="X82" s="650">
        <v>-204214</v>
      </c>
      <c r="Y82" s="650">
        <v>-51416</v>
      </c>
      <c r="Z82" s="650">
        <v>-105828</v>
      </c>
      <c r="AA82" s="650">
        <v>-162423</v>
      </c>
      <c r="AB82" s="650">
        <v>-229487</v>
      </c>
      <c r="AC82" s="650">
        <v>-59525</v>
      </c>
      <c r="AD82" s="650">
        <v>-120214</v>
      </c>
      <c r="AE82" s="650">
        <v>-177880</v>
      </c>
      <c r="AF82" s="650">
        <v>-252591</v>
      </c>
      <c r="AG82" s="650">
        <v>-67273</v>
      </c>
      <c r="AH82" s="650">
        <v>-134919</v>
      </c>
      <c r="AI82" s="650">
        <v>-201084</v>
      </c>
      <c r="AJ82" s="650">
        <v>-299280</v>
      </c>
      <c r="AK82" s="650">
        <v>-84775</v>
      </c>
      <c r="AL82" s="650">
        <v>-162893</v>
      </c>
      <c r="AM82" s="650">
        <v>-235754</v>
      </c>
      <c r="AN82" s="650">
        <v>-338112</v>
      </c>
      <c r="AO82" s="650">
        <v>-96367</v>
      </c>
      <c r="AP82" s="650">
        <v>-163563</v>
      </c>
      <c r="AQ82" s="650">
        <v>-229244</v>
      </c>
      <c r="AR82" s="650">
        <v>-315576</v>
      </c>
      <c r="AS82" s="650">
        <v>-91122</v>
      </c>
      <c r="AT82" s="650">
        <v>-166789</v>
      </c>
    </row>
    <row r="83" spans="3:46" ht="13.5" x14ac:dyDescent="0.4">
      <c r="C83" s="183" t="s">
        <v>297</v>
      </c>
      <c r="D83" s="658">
        <v>-11419</v>
      </c>
      <c r="E83" s="658">
        <v>-3087</v>
      </c>
      <c r="F83" s="658">
        <v>-6638</v>
      </c>
      <c r="G83" s="658">
        <v>-10390</v>
      </c>
      <c r="H83" s="658">
        <v>-14511</v>
      </c>
      <c r="I83" s="658">
        <v>-4506</v>
      </c>
      <c r="J83" s="658">
        <v>-9094</v>
      </c>
      <c r="K83" s="658">
        <v>-13855</v>
      </c>
      <c r="L83" s="658">
        <v>-18765</v>
      </c>
      <c r="M83" s="658">
        <v>-4420</v>
      </c>
      <c r="N83" s="658">
        <v>-8850</v>
      </c>
      <c r="O83" s="658">
        <v>-13364</v>
      </c>
      <c r="P83" s="658">
        <v>-18157</v>
      </c>
      <c r="Q83" s="658">
        <v>-5119</v>
      </c>
      <c r="R83" s="658">
        <v>-10350</v>
      </c>
      <c r="S83" s="658">
        <v>-15752</v>
      </c>
      <c r="T83" s="658">
        <v>-21484</v>
      </c>
      <c r="U83" s="658">
        <v>-6493</v>
      </c>
      <c r="V83" s="658">
        <v>-13574</v>
      </c>
      <c r="W83" s="658">
        <v>-20963</v>
      </c>
      <c r="X83" s="658">
        <v>-28875</v>
      </c>
      <c r="Y83" s="658">
        <v>-8698</v>
      </c>
      <c r="Z83" s="658">
        <v>-17327</v>
      </c>
      <c r="AA83" s="658">
        <v>-26092</v>
      </c>
      <c r="AB83" s="658">
        <v>-35066</v>
      </c>
      <c r="AC83" s="658">
        <v>-9232</v>
      </c>
      <c r="AD83" s="658">
        <v>-18613</v>
      </c>
      <c r="AE83" s="658">
        <v>-27928</v>
      </c>
      <c r="AF83" s="658">
        <v>-37441</v>
      </c>
      <c r="AG83" s="658">
        <v>-10190</v>
      </c>
      <c r="AH83" s="658">
        <v>-20493</v>
      </c>
      <c r="AI83" s="658">
        <v>-30750</v>
      </c>
      <c r="AJ83" s="658">
        <v>-41351</v>
      </c>
      <c r="AK83" s="658">
        <v>-10780</v>
      </c>
      <c r="AL83" s="658">
        <v>-21667</v>
      </c>
      <c r="AM83" s="658">
        <v>-32266</v>
      </c>
      <c r="AN83" s="658">
        <v>-42320</v>
      </c>
      <c r="AO83" s="658">
        <v>-10176</v>
      </c>
      <c r="AP83" s="658">
        <v>-13467</v>
      </c>
      <c r="AQ83" s="658">
        <v>-14598</v>
      </c>
      <c r="AR83" s="658">
        <v>-17319</v>
      </c>
      <c r="AS83" s="658">
        <v>-1839</v>
      </c>
      <c r="AT83" s="658">
        <v>-3908</v>
      </c>
    </row>
    <row r="84" spans="3:46" ht="13.5" x14ac:dyDescent="0.4">
      <c r="C84" s="183" t="s">
        <v>298</v>
      </c>
      <c r="D84" s="659">
        <v>-64469</v>
      </c>
      <c r="E84" s="659">
        <v>-16295</v>
      </c>
      <c r="F84" s="659">
        <v>-36116</v>
      </c>
      <c r="G84" s="659">
        <v>-56945</v>
      </c>
      <c r="H84" s="659">
        <v>-87631</v>
      </c>
      <c r="I84" s="659">
        <v>-19168</v>
      </c>
      <c r="J84" s="659">
        <v>-43779</v>
      </c>
      <c r="K84" s="659">
        <v>-64132</v>
      </c>
      <c r="L84" s="659">
        <v>-91506</v>
      </c>
      <c r="M84" s="659">
        <v>-18680</v>
      </c>
      <c r="N84" s="659">
        <v>-44040</v>
      </c>
      <c r="O84" s="659">
        <v>-70082</v>
      </c>
      <c r="P84" s="659">
        <v>-101703</v>
      </c>
      <c r="Q84" s="659">
        <v>-24298</v>
      </c>
      <c r="R84" s="659">
        <v>-51214</v>
      </c>
      <c r="S84" s="659">
        <v>-79131</v>
      </c>
      <c r="T84" s="659">
        <v>-116578</v>
      </c>
      <c r="U84" s="659">
        <v>-28709</v>
      </c>
      <c r="V84" s="659">
        <v>-59383</v>
      </c>
      <c r="W84" s="659">
        <v>-92176</v>
      </c>
      <c r="X84" s="659">
        <v>-139598</v>
      </c>
      <c r="Y84" s="659">
        <v>-31913</v>
      </c>
      <c r="Z84" s="659">
        <v>-66889</v>
      </c>
      <c r="AA84" s="659">
        <v>-103575</v>
      </c>
      <c r="AB84" s="659">
        <v>-153336</v>
      </c>
      <c r="AC84" s="659">
        <v>-35402</v>
      </c>
      <c r="AD84" s="659">
        <v>-72698</v>
      </c>
      <c r="AE84" s="659">
        <v>-112117</v>
      </c>
      <c r="AF84" s="659">
        <v>-165280</v>
      </c>
      <c r="AG84" s="659">
        <v>-37528</v>
      </c>
      <c r="AH84" s="659">
        <v>-78674</v>
      </c>
      <c r="AI84" s="659">
        <v>-118873</v>
      </c>
      <c r="AJ84" s="659">
        <v>-176261</v>
      </c>
      <c r="AK84" s="659">
        <v>-37973</v>
      </c>
      <c r="AL84" s="659">
        <v>-79550</v>
      </c>
      <c r="AM84" s="659">
        <v>-120815</v>
      </c>
      <c r="AN84" s="659">
        <v>-177823</v>
      </c>
      <c r="AO84" s="659">
        <v>-37646</v>
      </c>
      <c r="AP84" s="659">
        <v>-76938</v>
      </c>
      <c r="AQ84" s="659">
        <v>-117223</v>
      </c>
      <c r="AR84" s="659">
        <v>-175156</v>
      </c>
      <c r="AS84" s="659">
        <v>-36608</v>
      </c>
      <c r="AT84" s="659">
        <v>-76091</v>
      </c>
    </row>
    <row r="85" spans="3:46" ht="13.5" x14ac:dyDescent="0.4">
      <c r="C85" s="183" t="s">
        <v>299</v>
      </c>
      <c r="D85" s="659">
        <v>-32189</v>
      </c>
      <c r="E85" s="659">
        <v>-7355</v>
      </c>
      <c r="F85" s="659">
        <v>-15401</v>
      </c>
      <c r="G85" s="659">
        <v>-23226</v>
      </c>
      <c r="H85" s="659">
        <v>-37406</v>
      </c>
      <c r="I85" s="659">
        <v>-8473</v>
      </c>
      <c r="J85" s="659">
        <v>-18315</v>
      </c>
      <c r="K85" s="659">
        <v>-33892</v>
      </c>
      <c r="L85" s="659">
        <v>-55528</v>
      </c>
      <c r="M85" s="659">
        <v>-4203</v>
      </c>
      <c r="N85" s="659">
        <v>-10212</v>
      </c>
      <c r="O85" s="659">
        <v>-14783</v>
      </c>
      <c r="P85" s="659">
        <v>-23219</v>
      </c>
      <c r="Q85" s="659">
        <v>-3916</v>
      </c>
      <c r="R85" s="659">
        <v>-9693</v>
      </c>
      <c r="S85" s="659">
        <v>-17820</v>
      </c>
      <c r="T85" s="659">
        <v>-27988</v>
      </c>
      <c r="U85" s="659">
        <v>-8654</v>
      </c>
      <c r="V85" s="659">
        <v>-16881</v>
      </c>
      <c r="W85" s="659">
        <v>-24383</v>
      </c>
      <c r="X85" s="659">
        <v>-31121</v>
      </c>
      <c r="Y85" s="659">
        <v>-10148</v>
      </c>
      <c r="Z85" s="659">
        <v>-19237</v>
      </c>
      <c r="AA85" s="659">
        <v>-25459</v>
      </c>
      <c r="AB85" s="659">
        <v>-33745</v>
      </c>
      <c r="AC85" s="659">
        <v>-12152</v>
      </c>
      <c r="AD85" s="659">
        <v>-21941</v>
      </c>
      <c r="AE85" s="659">
        <v>-28620</v>
      </c>
      <c r="AF85" s="659">
        <v>-38321</v>
      </c>
      <c r="AG85" s="659">
        <v>-13776</v>
      </c>
      <c r="AH85" s="659">
        <v>-24167</v>
      </c>
      <c r="AI85" s="659">
        <v>-32456</v>
      </c>
      <c r="AJ85" s="659">
        <v>-56729</v>
      </c>
      <c r="AK85" s="659">
        <v>-20748</v>
      </c>
      <c r="AL85" s="659">
        <v>-41951</v>
      </c>
      <c r="AM85" s="659">
        <v>-61569</v>
      </c>
      <c r="AN85" s="659">
        <v>-86993</v>
      </c>
      <c r="AO85" s="659">
        <v>-23668</v>
      </c>
      <c r="AP85" s="659">
        <v>-44433</v>
      </c>
      <c r="AQ85" s="659">
        <v>-63906</v>
      </c>
      <c r="AR85" s="659">
        <v>-87894</v>
      </c>
      <c r="AS85" s="659">
        <v>-31505</v>
      </c>
      <c r="AT85" s="659">
        <v>-61343</v>
      </c>
    </row>
    <row r="86" spans="3:46" ht="13.9" thickBot="1" x14ac:dyDescent="0.45">
      <c r="C86" s="239" t="s">
        <v>548</v>
      </c>
      <c r="D86" s="657">
        <v>0</v>
      </c>
      <c r="E86" s="657">
        <v>0</v>
      </c>
      <c r="F86" s="657">
        <v>-760</v>
      </c>
      <c r="G86" s="657">
        <v>-1131</v>
      </c>
      <c r="H86" s="657">
        <v>-1424</v>
      </c>
      <c r="I86" s="657">
        <v>-184</v>
      </c>
      <c r="J86" s="657">
        <v>-267</v>
      </c>
      <c r="K86" s="657">
        <v>-333</v>
      </c>
      <c r="L86" s="657">
        <v>-428</v>
      </c>
      <c r="M86" s="657">
        <v>-106</v>
      </c>
      <c r="N86" s="657">
        <v>-184</v>
      </c>
      <c r="O86" s="657">
        <v>-318</v>
      </c>
      <c r="P86" s="657">
        <v>-381</v>
      </c>
      <c r="Q86" s="657">
        <v>-88</v>
      </c>
      <c r="R86" s="657">
        <v>-167</v>
      </c>
      <c r="S86" s="657">
        <v>-214</v>
      </c>
      <c r="T86" s="657">
        <v>-284</v>
      </c>
      <c r="U86" s="657">
        <v>-379</v>
      </c>
      <c r="V86" s="657">
        <v>-1347</v>
      </c>
      <c r="W86" s="657">
        <v>-2963</v>
      </c>
      <c r="X86" s="657">
        <v>-4620</v>
      </c>
      <c r="Y86" s="657">
        <v>-657</v>
      </c>
      <c r="Z86" s="657">
        <v>-2375</v>
      </c>
      <c r="AA86" s="657">
        <v>-7297</v>
      </c>
      <c r="AB86" s="657">
        <v>-7340</v>
      </c>
      <c r="AC86" s="657">
        <v>-2739</v>
      </c>
      <c r="AD86" s="657">
        <v>-6962</v>
      </c>
      <c r="AE86" s="657">
        <v>-9215</v>
      </c>
      <c r="AF86" s="657">
        <v>-11549</v>
      </c>
      <c r="AG86" s="657">
        <v>-5779</v>
      </c>
      <c r="AH86" s="657">
        <v>-11585</v>
      </c>
      <c r="AI86" s="657">
        <v>-19005</v>
      </c>
      <c r="AJ86" s="657">
        <v>-24939</v>
      </c>
      <c r="AK86" s="657">
        <v>-15274</v>
      </c>
      <c r="AL86" s="657">
        <v>-19725</v>
      </c>
      <c r="AM86" s="657">
        <v>-21104</v>
      </c>
      <c r="AN86" s="657">
        <v>-30976</v>
      </c>
      <c r="AO86" s="657">
        <v>-24877</v>
      </c>
      <c r="AP86" s="657">
        <v>-28725</v>
      </c>
      <c r="AQ86" s="657">
        <v>-33517</v>
      </c>
      <c r="AR86" s="657">
        <v>-35207</v>
      </c>
      <c r="AS86" s="657">
        <v>-21170</v>
      </c>
      <c r="AT86" s="657">
        <v>-25447</v>
      </c>
    </row>
    <row r="87" spans="3:46" ht="13.5" thickBot="1" x14ac:dyDescent="0.45">
      <c r="D87" s="1032">
        <v>0</v>
      </c>
      <c r="E87" s="1032">
        <v>0</v>
      </c>
      <c r="F87" s="1032">
        <v>0</v>
      </c>
      <c r="G87" s="1032">
        <v>0</v>
      </c>
      <c r="H87" s="1032">
        <v>0</v>
      </c>
      <c r="I87" s="1032">
        <v>0</v>
      </c>
      <c r="J87" s="1032">
        <v>0</v>
      </c>
      <c r="K87" s="1032">
        <v>0</v>
      </c>
      <c r="L87" s="1032">
        <v>0</v>
      </c>
      <c r="M87" s="1032">
        <v>0</v>
      </c>
      <c r="N87" s="1032">
        <v>0</v>
      </c>
      <c r="O87" s="1032">
        <v>0</v>
      </c>
      <c r="P87" s="1032">
        <v>0</v>
      </c>
      <c r="Q87" s="1032">
        <v>0</v>
      </c>
      <c r="R87" s="1032">
        <v>0</v>
      </c>
      <c r="S87" s="1032">
        <v>0</v>
      </c>
      <c r="T87" s="1032">
        <v>0</v>
      </c>
      <c r="U87" s="1032">
        <v>0</v>
      </c>
      <c r="V87" s="1032">
        <v>0</v>
      </c>
      <c r="W87" s="1032">
        <v>0</v>
      </c>
      <c r="X87" s="1032">
        <v>0</v>
      </c>
      <c r="Y87" s="1032">
        <v>0</v>
      </c>
      <c r="Z87" s="1032">
        <v>0</v>
      </c>
      <c r="AA87" s="1032">
        <v>0</v>
      </c>
      <c r="AB87" s="1032">
        <v>0</v>
      </c>
      <c r="AC87" s="1032">
        <v>0</v>
      </c>
      <c r="AD87" s="1032">
        <v>0</v>
      </c>
      <c r="AE87" s="1032">
        <v>0</v>
      </c>
      <c r="AF87" s="1032">
        <v>0</v>
      </c>
      <c r="AG87" s="1032">
        <v>0</v>
      </c>
      <c r="AH87" s="1032">
        <v>0</v>
      </c>
      <c r="AI87" s="1032">
        <v>0</v>
      </c>
      <c r="AJ87" s="1032">
        <v>0</v>
      </c>
      <c r="AK87" s="1032">
        <v>0</v>
      </c>
      <c r="AL87" s="1032">
        <v>0</v>
      </c>
      <c r="AM87" s="1032">
        <v>0</v>
      </c>
      <c r="AN87" s="1032">
        <v>0</v>
      </c>
      <c r="AO87" s="1032">
        <v>0</v>
      </c>
      <c r="AP87" s="1032">
        <v>0</v>
      </c>
      <c r="AQ87" s="1032">
        <v>0</v>
      </c>
      <c r="AR87" s="1032">
        <v>0</v>
      </c>
      <c r="AS87" s="1032">
        <v>0</v>
      </c>
      <c r="AT87" s="1032">
        <v>0</v>
      </c>
    </row>
    <row r="88" spans="3:46" ht="13.5" x14ac:dyDescent="0.4">
      <c r="C88" s="234" t="s">
        <v>301</v>
      </c>
      <c r="D88" s="650">
        <v>70812</v>
      </c>
      <c r="E88" s="650">
        <v>27783</v>
      </c>
      <c r="F88" s="650">
        <v>57577</v>
      </c>
      <c r="G88" s="650">
        <v>90682</v>
      </c>
      <c r="H88" s="650">
        <v>113185</v>
      </c>
      <c r="I88" s="650">
        <v>43309</v>
      </c>
      <c r="J88" s="650">
        <v>83552</v>
      </c>
      <c r="K88" s="650">
        <v>119505</v>
      </c>
      <c r="L88" s="650">
        <v>143531</v>
      </c>
      <c r="M88" s="650">
        <v>45478</v>
      </c>
      <c r="N88" s="650">
        <v>85066</v>
      </c>
      <c r="O88" s="650">
        <v>128087</v>
      </c>
      <c r="P88" s="650">
        <v>165994</v>
      </c>
      <c r="Q88" s="650">
        <v>53917</v>
      </c>
      <c r="R88" s="650">
        <v>110284</v>
      </c>
      <c r="S88" s="650">
        <v>165773</v>
      </c>
      <c r="T88" s="650">
        <v>214487</v>
      </c>
      <c r="U88" s="650">
        <v>69582</v>
      </c>
      <c r="V88" s="650">
        <v>141503</v>
      </c>
      <c r="W88" s="650">
        <v>211244</v>
      </c>
      <c r="X88" s="650">
        <v>271000</v>
      </c>
      <c r="Y88" s="650">
        <v>79601</v>
      </c>
      <c r="Z88" s="650">
        <v>159658</v>
      </c>
      <c r="AA88" s="650">
        <v>239050</v>
      </c>
      <c r="AB88" s="650">
        <v>307458</v>
      </c>
      <c r="AC88" s="650">
        <v>88235</v>
      </c>
      <c r="AD88" s="650">
        <v>178393</v>
      </c>
      <c r="AE88" s="650">
        <v>264037</v>
      </c>
      <c r="AF88" s="650">
        <v>337046</v>
      </c>
      <c r="AG88" s="650">
        <v>95360</v>
      </c>
      <c r="AH88" s="650">
        <v>193506</v>
      </c>
      <c r="AI88" s="650">
        <v>287505</v>
      </c>
      <c r="AJ88" s="650">
        <v>359612</v>
      </c>
      <c r="AK88" s="650">
        <v>96389</v>
      </c>
      <c r="AL88" s="650">
        <v>193349</v>
      </c>
      <c r="AM88" s="650">
        <v>288874</v>
      </c>
      <c r="AN88" s="650">
        <v>359535</v>
      </c>
      <c r="AO88" s="650">
        <v>97522</v>
      </c>
      <c r="AP88" s="650">
        <v>194107</v>
      </c>
      <c r="AQ88" s="650">
        <v>288530</v>
      </c>
      <c r="AR88" s="650">
        <v>360315</v>
      </c>
      <c r="AS88" s="650">
        <v>98403</v>
      </c>
      <c r="AT88" s="650">
        <v>195362</v>
      </c>
    </row>
    <row r="89" spans="3:46" ht="13.5" x14ac:dyDescent="0.4">
      <c r="C89" s="183" t="s">
        <v>302</v>
      </c>
      <c r="D89" s="660">
        <v>709</v>
      </c>
      <c r="E89" s="660">
        <v>170</v>
      </c>
      <c r="F89" s="660">
        <v>834</v>
      </c>
      <c r="G89" s="660">
        <v>757</v>
      </c>
      <c r="H89" s="660">
        <v>1929</v>
      </c>
      <c r="I89" s="660">
        <v>371</v>
      </c>
      <c r="J89" s="660">
        <v>859</v>
      </c>
      <c r="K89" s="660">
        <v>1079</v>
      </c>
      <c r="L89" s="660">
        <v>1770</v>
      </c>
      <c r="M89" s="660">
        <v>146</v>
      </c>
      <c r="N89" s="660">
        <v>611</v>
      </c>
      <c r="O89" s="660">
        <v>786</v>
      </c>
      <c r="P89" s="660">
        <v>1254</v>
      </c>
      <c r="Q89" s="660">
        <v>198</v>
      </c>
      <c r="R89" s="660">
        <v>332</v>
      </c>
      <c r="S89" s="660">
        <v>551</v>
      </c>
      <c r="T89" s="660">
        <v>939</v>
      </c>
      <c r="U89" s="660">
        <v>416</v>
      </c>
      <c r="V89" s="660">
        <v>842</v>
      </c>
      <c r="W89" s="660">
        <v>1115</v>
      </c>
      <c r="X89" s="660">
        <v>1311</v>
      </c>
      <c r="Y89" s="660">
        <v>227</v>
      </c>
      <c r="Z89" s="660">
        <v>554</v>
      </c>
      <c r="AA89" s="660">
        <v>790</v>
      </c>
      <c r="AB89" s="660">
        <v>1229</v>
      </c>
      <c r="AC89" s="660">
        <v>103</v>
      </c>
      <c r="AD89" s="660">
        <v>448</v>
      </c>
      <c r="AE89" s="660">
        <v>612</v>
      </c>
      <c r="AF89" s="660">
        <v>1491</v>
      </c>
      <c r="AG89" s="660">
        <v>297</v>
      </c>
      <c r="AH89" s="660">
        <v>584</v>
      </c>
      <c r="AI89" s="660">
        <v>726</v>
      </c>
      <c r="AJ89" s="660">
        <v>2000</v>
      </c>
      <c r="AK89" s="660">
        <v>630</v>
      </c>
      <c r="AL89" s="660">
        <v>1329</v>
      </c>
      <c r="AM89" s="660">
        <v>1647</v>
      </c>
      <c r="AN89" s="660">
        <v>3700</v>
      </c>
      <c r="AO89" s="660">
        <v>400</v>
      </c>
      <c r="AP89" s="660">
        <v>968</v>
      </c>
      <c r="AQ89" s="660">
        <v>1336</v>
      </c>
      <c r="AR89" s="660">
        <v>2964</v>
      </c>
      <c r="AS89" s="660">
        <v>393</v>
      </c>
      <c r="AT89" s="660">
        <v>1136</v>
      </c>
    </row>
    <row r="90" spans="3:46" ht="13.5" x14ac:dyDescent="0.4">
      <c r="C90" s="183" t="s">
        <v>303</v>
      </c>
      <c r="D90" s="654">
        <v>2244</v>
      </c>
      <c r="E90" s="654">
        <v>355</v>
      </c>
      <c r="F90" s="654">
        <v>1316</v>
      </c>
      <c r="G90" s="654">
        <v>1422</v>
      </c>
      <c r="H90" s="654">
        <v>3260</v>
      </c>
      <c r="I90" s="654">
        <v>513</v>
      </c>
      <c r="J90" s="654">
        <v>1179</v>
      </c>
      <c r="K90" s="654">
        <v>1510</v>
      </c>
      <c r="L90" s="654">
        <v>2834</v>
      </c>
      <c r="M90" s="654">
        <v>254</v>
      </c>
      <c r="N90" s="654">
        <v>769</v>
      </c>
      <c r="O90" s="654">
        <v>1087</v>
      </c>
      <c r="P90" s="654">
        <v>2213</v>
      </c>
      <c r="Q90" s="654">
        <v>304</v>
      </c>
      <c r="R90" s="654">
        <v>637</v>
      </c>
      <c r="S90" s="654">
        <v>1086</v>
      </c>
      <c r="T90" s="654">
        <v>2357</v>
      </c>
      <c r="U90" s="654">
        <v>560</v>
      </c>
      <c r="V90" s="654">
        <v>1140</v>
      </c>
      <c r="W90" s="654">
        <v>1583</v>
      </c>
      <c r="X90" s="654">
        <v>2451</v>
      </c>
      <c r="Y90" s="654">
        <v>319</v>
      </c>
      <c r="Z90" s="654">
        <v>869</v>
      </c>
      <c r="AA90" s="654">
        <v>1351</v>
      </c>
      <c r="AB90" s="654">
        <v>2767</v>
      </c>
      <c r="AC90" s="654">
        <v>298</v>
      </c>
      <c r="AD90" s="654">
        <v>886</v>
      </c>
      <c r="AE90" s="654">
        <v>1295</v>
      </c>
      <c r="AF90" s="654">
        <v>2910</v>
      </c>
      <c r="AG90" s="654">
        <v>507</v>
      </c>
      <c r="AH90" s="654">
        <v>1029</v>
      </c>
      <c r="AI90" s="654">
        <v>1481</v>
      </c>
      <c r="AJ90" s="654">
        <v>3062</v>
      </c>
      <c r="AK90" s="654">
        <v>789</v>
      </c>
      <c r="AL90" s="654">
        <v>1611</v>
      </c>
      <c r="AM90" s="654">
        <v>2077</v>
      </c>
      <c r="AN90" s="654">
        <v>4392</v>
      </c>
      <c r="AO90" s="654">
        <v>488</v>
      </c>
      <c r="AP90" s="654">
        <v>1157</v>
      </c>
      <c r="AQ90" s="654">
        <v>1714</v>
      </c>
      <c r="AR90" s="654">
        <v>3601</v>
      </c>
      <c r="AS90" s="654">
        <v>502</v>
      </c>
      <c r="AT90" s="654">
        <v>1407</v>
      </c>
    </row>
    <row r="91" spans="3:46" ht="13.5" x14ac:dyDescent="0.4">
      <c r="C91" s="244" t="s">
        <v>304</v>
      </c>
      <c r="D91" s="661">
        <v>-1535</v>
      </c>
      <c r="E91" s="661">
        <v>-185</v>
      </c>
      <c r="F91" s="661">
        <v>-482</v>
      </c>
      <c r="G91" s="661">
        <v>-665</v>
      </c>
      <c r="H91" s="661">
        <v>-1331</v>
      </c>
      <c r="I91" s="661">
        <v>-142</v>
      </c>
      <c r="J91" s="661">
        <v>-320</v>
      </c>
      <c r="K91" s="661">
        <v>-431</v>
      </c>
      <c r="L91" s="661">
        <v>-1064</v>
      </c>
      <c r="M91" s="661">
        <v>-108</v>
      </c>
      <c r="N91" s="661">
        <v>-158</v>
      </c>
      <c r="O91" s="661">
        <v>-301</v>
      </c>
      <c r="P91" s="661">
        <v>-959</v>
      </c>
      <c r="Q91" s="661">
        <v>-106</v>
      </c>
      <c r="R91" s="661">
        <v>-305</v>
      </c>
      <c r="S91" s="661">
        <v>-535</v>
      </c>
      <c r="T91" s="661">
        <v>-1418</v>
      </c>
      <c r="U91" s="661">
        <v>-144</v>
      </c>
      <c r="V91" s="661">
        <v>-298</v>
      </c>
      <c r="W91" s="661">
        <v>-468</v>
      </c>
      <c r="X91" s="661">
        <v>-1140</v>
      </c>
      <c r="Y91" s="661">
        <v>-92</v>
      </c>
      <c r="Z91" s="661">
        <v>-315</v>
      </c>
      <c r="AA91" s="661">
        <v>-561</v>
      </c>
      <c r="AB91" s="661">
        <v>-1538</v>
      </c>
      <c r="AC91" s="661">
        <v>-195</v>
      </c>
      <c r="AD91" s="661">
        <v>-438</v>
      </c>
      <c r="AE91" s="661">
        <v>-683</v>
      </c>
      <c r="AF91" s="661">
        <v>-1419</v>
      </c>
      <c r="AG91" s="661">
        <v>-210</v>
      </c>
      <c r="AH91" s="661">
        <v>-445</v>
      </c>
      <c r="AI91" s="661">
        <v>-755</v>
      </c>
      <c r="AJ91" s="661">
        <v>-1062</v>
      </c>
      <c r="AK91" s="661">
        <v>-159</v>
      </c>
      <c r="AL91" s="661">
        <v>-282</v>
      </c>
      <c r="AM91" s="661">
        <v>-430</v>
      </c>
      <c r="AN91" s="661">
        <v>-692</v>
      </c>
      <c r="AO91" s="661">
        <v>-88</v>
      </c>
      <c r="AP91" s="661">
        <v>-189</v>
      </c>
      <c r="AQ91" s="661">
        <v>-378</v>
      </c>
      <c r="AR91" s="661">
        <v>-637</v>
      </c>
      <c r="AS91" s="661">
        <v>-109</v>
      </c>
      <c r="AT91" s="661">
        <v>-271</v>
      </c>
    </row>
    <row r="92" spans="3:46" ht="13.5" x14ac:dyDescent="0.4">
      <c r="C92" s="245" t="s">
        <v>305</v>
      </c>
      <c r="D92" s="662">
        <v>71521</v>
      </c>
      <c r="E92" s="662">
        <v>27953</v>
      </c>
      <c r="F92" s="662">
        <v>58411</v>
      </c>
      <c r="G92" s="662">
        <v>91439</v>
      </c>
      <c r="H92" s="662">
        <v>115114</v>
      </c>
      <c r="I92" s="662">
        <v>43680</v>
      </c>
      <c r="J92" s="662">
        <v>84411</v>
      </c>
      <c r="K92" s="662">
        <v>120584</v>
      </c>
      <c r="L92" s="662">
        <v>145301</v>
      </c>
      <c r="M92" s="662">
        <v>45624</v>
      </c>
      <c r="N92" s="662">
        <v>85677</v>
      </c>
      <c r="O92" s="662">
        <v>128873</v>
      </c>
      <c r="P92" s="662">
        <v>167248</v>
      </c>
      <c r="Q92" s="662">
        <v>54115</v>
      </c>
      <c r="R92" s="662">
        <v>110616</v>
      </c>
      <c r="S92" s="662">
        <v>166324</v>
      </c>
      <c r="T92" s="662">
        <v>215426</v>
      </c>
      <c r="U92" s="662">
        <v>69998</v>
      </c>
      <c r="V92" s="662">
        <v>142345</v>
      </c>
      <c r="W92" s="662">
        <v>212359</v>
      </c>
      <c r="X92" s="662">
        <v>272311</v>
      </c>
      <c r="Y92" s="662">
        <v>79828</v>
      </c>
      <c r="Z92" s="662">
        <v>160212</v>
      </c>
      <c r="AA92" s="662">
        <v>239840</v>
      </c>
      <c r="AB92" s="662">
        <v>308687</v>
      </c>
      <c r="AC92" s="662">
        <v>88338</v>
      </c>
      <c r="AD92" s="662">
        <v>178841</v>
      </c>
      <c r="AE92" s="662">
        <v>264649</v>
      </c>
      <c r="AF92" s="662">
        <v>338537</v>
      </c>
      <c r="AG92" s="662">
        <v>95657</v>
      </c>
      <c r="AH92" s="662">
        <v>194090</v>
      </c>
      <c r="AI92" s="662">
        <v>288231</v>
      </c>
      <c r="AJ92" s="662">
        <v>361612</v>
      </c>
      <c r="AK92" s="662">
        <v>97019</v>
      </c>
      <c r="AL92" s="662">
        <v>194678</v>
      </c>
      <c r="AM92" s="662">
        <v>290521</v>
      </c>
      <c r="AN92" s="662">
        <v>363235</v>
      </c>
      <c r="AO92" s="662">
        <v>97922</v>
      </c>
      <c r="AP92" s="662">
        <v>195075</v>
      </c>
      <c r="AQ92" s="662">
        <v>289866</v>
      </c>
      <c r="AR92" s="662">
        <v>363279</v>
      </c>
      <c r="AS92" s="662">
        <v>98796</v>
      </c>
      <c r="AT92" s="662">
        <v>196498</v>
      </c>
    </row>
    <row r="93" spans="3:46" ht="13.5" x14ac:dyDescent="0.4">
      <c r="C93" s="183" t="s">
        <v>306</v>
      </c>
      <c r="D93" s="663">
        <v>-22185</v>
      </c>
      <c r="E93" s="663">
        <v>-9061</v>
      </c>
      <c r="F93" s="663">
        <v>-17213</v>
      </c>
      <c r="G93" s="663">
        <v>-27557</v>
      </c>
      <c r="H93" s="663">
        <v>-33124</v>
      </c>
      <c r="I93" s="663">
        <v>-10398</v>
      </c>
      <c r="J93" s="663">
        <v>-19532</v>
      </c>
      <c r="K93" s="663">
        <v>-27507</v>
      </c>
      <c r="L93" s="663">
        <v>-34150</v>
      </c>
      <c r="M93" s="663">
        <v>-10335</v>
      </c>
      <c r="N93" s="663">
        <v>-19064</v>
      </c>
      <c r="O93" s="663">
        <v>-28440</v>
      </c>
      <c r="P93" s="663">
        <v>-37898</v>
      </c>
      <c r="Q93" s="663">
        <v>-12390</v>
      </c>
      <c r="R93" s="663">
        <v>-25651</v>
      </c>
      <c r="S93" s="663">
        <v>-38529</v>
      </c>
      <c r="T93" s="663">
        <v>-49401</v>
      </c>
      <c r="U93" s="663">
        <v>-16162</v>
      </c>
      <c r="V93" s="663">
        <v>-32770</v>
      </c>
      <c r="W93" s="663">
        <v>-48381</v>
      </c>
      <c r="X93" s="663">
        <v>-63866</v>
      </c>
      <c r="Y93" s="663">
        <v>-18456</v>
      </c>
      <c r="Z93" s="663">
        <v>-36971</v>
      </c>
      <c r="AA93" s="663">
        <v>-54129</v>
      </c>
      <c r="AB93" s="663">
        <v>-69996</v>
      </c>
      <c r="AC93" s="663">
        <v>-19525</v>
      </c>
      <c r="AD93" s="663">
        <v>-40364</v>
      </c>
      <c r="AE93" s="663">
        <v>-58878</v>
      </c>
      <c r="AF93" s="663">
        <v>-75572</v>
      </c>
      <c r="AG93" s="663">
        <v>-22196</v>
      </c>
      <c r="AH93" s="663">
        <v>-45709</v>
      </c>
      <c r="AI93" s="663">
        <v>-67376</v>
      </c>
      <c r="AJ93" s="663">
        <v>-85326</v>
      </c>
      <c r="AK93" s="663">
        <v>-22562</v>
      </c>
      <c r="AL93" s="663">
        <v>-45252</v>
      </c>
      <c r="AM93" s="663">
        <v>-68230</v>
      </c>
      <c r="AN93" s="663">
        <v>-85515</v>
      </c>
      <c r="AO93" s="663">
        <v>-23018</v>
      </c>
      <c r="AP93" s="663">
        <v>-44419</v>
      </c>
      <c r="AQ93" s="663">
        <v>-66398</v>
      </c>
      <c r="AR93" s="663">
        <v>-84173</v>
      </c>
      <c r="AS93" s="663">
        <v>-22769</v>
      </c>
      <c r="AT93" s="663">
        <v>-42811</v>
      </c>
    </row>
    <row r="94" spans="3:46" ht="13.5" x14ac:dyDescent="0.4">
      <c r="C94" s="245" t="s">
        <v>307</v>
      </c>
      <c r="D94" s="662">
        <v>49336</v>
      </c>
      <c r="E94" s="662">
        <v>18892</v>
      </c>
      <c r="F94" s="662">
        <v>41198</v>
      </c>
      <c r="G94" s="662">
        <v>63882</v>
      </c>
      <c r="H94" s="662">
        <v>81990</v>
      </c>
      <c r="I94" s="662">
        <v>33282</v>
      </c>
      <c r="J94" s="662">
        <v>64879</v>
      </c>
      <c r="K94" s="662">
        <v>93077</v>
      </c>
      <c r="L94" s="662">
        <v>111151</v>
      </c>
      <c r="M94" s="662">
        <v>35289</v>
      </c>
      <c r="N94" s="662">
        <v>66613</v>
      </c>
      <c r="O94" s="662">
        <v>100433</v>
      </c>
      <c r="P94" s="662">
        <v>129350</v>
      </c>
      <c r="Q94" s="662">
        <v>41725</v>
      </c>
      <c r="R94" s="662">
        <v>84965</v>
      </c>
      <c r="S94" s="662">
        <v>127795</v>
      </c>
      <c r="T94" s="662">
        <v>166025</v>
      </c>
      <c r="U94" s="662">
        <v>53836</v>
      </c>
      <c r="V94" s="662">
        <v>109575</v>
      </c>
      <c r="W94" s="662">
        <v>163978</v>
      </c>
      <c r="X94" s="662">
        <v>208445</v>
      </c>
      <c r="Y94" s="662">
        <v>61372</v>
      </c>
      <c r="Z94" s="662">
        <v>123241</v>
      </c>
      <c r="AA94" s="662">
        <v>185711</v>
      </c>
      <c r="AB94" s="662">
        <v>238691</v>
      </c>
      <c r="AC94" s="662">
        <v>68813</v>
      </c>
      <c r="AD94" s="662">
        <v>138477</v>
      </c>
      <c r="AE94" s="662">
        <v>205771</v>
      </c>
      <c r="AF94" s="662">
        <v>262965</v>
      </c>
      <c r="AG94" s="662">
        <v>73461</v>
      </c>
      <c r="AH94" s="662">
        <v>148381</v>
      </c>
      <c r="AI94" s="662">
        <v>220855</v>
      </c>
      <c r="AJ94" s="662">
        <v>276286</v>
      </c>
      <c r="AK94" s="662">
        <v>74457</v>
      </c>
      <c r="AL94" s="662">
        <v>149426</v>
      </c>
      <c r="AM94" s="662">
        <v>222291</v>
      </c>
      <c r="AN94" s="662">
        <v>277720</v>
      </c>
      <c r="AO94" s="662">
        <v>74904</v>
      </c>
      <c r="AP94" s="662">
        <v>150656</v>
      </c>
      <c r="AQ94" s="662">
        <v>223468</v>
      </c>
      <c r="AR94" s="662">
        <v>279106</v>
      </c>
      <c r="AS94" s="662">
        <v>76027</v>
      </c>
      <c r="AT94" s="662">
        <v>153687</v>
      </c>
    </row>
    <row r="95" spans="3:46" ht="13.5" x14ac:dyDescent="0.4">
      <c r="C95" s="183" t="s">
        <v>308</v>
      </c>
      <c r="D95" s="664">
        <v>48719</v>
      </c>
      <c r="E95" s="664">
        <v>18706</v>
      </c>
      <c r="F95" s="664">
        <v>40844</v>
      </c>
      <c r="G95" s="664">
        <v>63307</v>
      </c>
      <c r="H95" s="664">
        <v>81256</v>
      </c>
      <c r="I95" s="664">
        <v>33113</v>
      </c>
      <c r="J95" s="664">
        <v>64531</v>
      </c>
      <c r="K95" s="664">
        <v>92730</v>
      </c>
      <c r="L95" s="664">
        <v>110766</v>
      </c>
      <c r="M95" s="664">
        <v>35153</v>
      </c>
      <c r="N95" s="664">
        <v>66313</v>
      </c>
      <c r="O95" s="664">
        <v>99908</v>
      </c>
      <c r="P95" s="664">
        <v>128599</v>
      </c>
      <c r="Q95" s="664">
        <v>41547</v>
      </c>
      <c r="R95" s="664">
        <v>84603</v>
      </c>
      <c r="S95" s="664">
        <v>127216</v>
      </c>
      <c r="T95" s="664">
        <v>165156</v>
      </c>
      <c r="U95" s="664">
        <v>53787</v>
      </c>
      <c r="V95" s="664">
        <v>109481</v>
      </c>
      <c r="W95" s="664">
        <v>163840</v>
      </c>
      <c r="X95" s="664">
        <v>208265</v>
      </c>
      <c r="Y95" s="664">
        <v>61335</v>
      </c>
      <c r="Z95" s="664">
        <v>123160</v>
      </c>
      <c r="AA95" s="664">
        <v>185602</v>
      </c>
      <c r="AB95" s="664">
        <v>238532</v>
      </c>
      <c r="AC95" s="664">
        <v>68743</v>
      </c>
      <c r="AD95" s="664">
        <v>138347</v>
      </c>
      <c r="AE95" s="664">
        <v>205533</v>
      </c>
      <c r="AF95" s="664">
        <v>262649</v>
      </c>
      <c r="AG95" s="664">
        <v>73302</v>
      </c>
      <c r="AH95" s="664">
        <v>148100</v>
      </c>
      <c r="AI95" s="664">
        <v>220464</v>
      </c>
      <c r="AJ95" s="664">
        <v>275811</v>
      </c>
      <c r="AK95" s="664">
        <v>74324</v>
      </c>
      <c r="AL95" s="664">
        <v>149021</v>
      </c>
      <c r="AM95" s="664">
        <v>221761</v>
      </c>
      <c r="AN95" s="664">
        <v>277131</v>
      </c>
      <c r="AO95" s="664">
        <v>74764</v>
      </c>
      <c r="AP95" s="664">
        <v>150217</v>
      </c>
      <c r="AQ95" s="664">
        <v>222792</v>
      </c>
      <c r="AR95" s="664">
        <v>278249</v>
      </c>
      <c r="AS95" s="664">
        <v>75786</v>
      </c>
      <c r="AT95" s="664">
        <v>152995</v>
      </c>
    </row>
    <row r="96" spans="3:46" ht="13.9" thickBot="1" x14ac:dyDescent="0.45">
      <c r="C96" s="239" t="s">
        <v>309</v>
      </c>
      <c r="D96" s="630">
        <v>617</v>
      </c>
      <c r="E96" s="630">
        <v>186</v>
      </c>
      <c r="F96" s="630">
        <v>354</v>
      </c>
      <c r="G96" s="630">
        <v>575</v>
      </c>
      <c r="H96" s="630">
        <v>734</v>
      </c>
      <c r="I96" s="630">
        <v>169</v>
      </c>
      <c r="J96" s="630">
        <v>348</v>
      </c>
      <c r="K96" s="630">
        <v>347</v>
      </c>
      <c r="L96" s="630">
        <v>385</v>
      </c>
      <c r="M96" s="630">
        <v>136</v>
      </c>
      <c r="N96" s="630">
        <v>300</v>
      </c>
      <c r="O96" s="630">
        <v>525</v>
      </c>
      <c r="P96" s="630">
        <v>751</v>
      </c>
      <c r="Q96" s="630">
        <v>178</v>
      </c>
      <c r="R96" s="630">
        <v>362</v>
      </c>
      <c r="S96" s="630">
        <v>579</v>
      </c>
      <c r="T96" s="630">
        <v>869</v>
      </c>
      <c r="U96" s="630">
        <v>49</v>
      </c>
      <c r="V96" s="630">
        <v>94</v>
      </c>
      <c r="W96" s="630">
        <v>138</v>
      </c>
      <c r="X96" s="630">
        <v>180</v>
      </c>
      <c r="Y96" s="630">
        <v>37</v>
      </c>
      <c r="Z96" s="630">
        <v>81</v>
      </c>
      <c r="AA96" s="630">
        <v>109</v>
      </c>
      <c r="AB96" s="630">
        <v>159</v>
      </c>
      <c r="AC96" s="630">
        <v>70</v>
      </c>
      <c r="AD96" s="630">
        <v>130</v>
      </c>
      <c r="AE96" s="630">
        <v>238</v>
      </c>
      <c r="AF96" s="630">
        <v>316</v>
      </c>
      <c r="AG96" s="630">
        <v>159</v>
      </c>
      <c r="AH96" s="630">
        <v>281</v>
      </c>
      <c r="AI96" s="630">
        <v>391</v>
      </c>
      <c r="AJ96" s="630">
        <v>475</v>
      </c>
      <c r="AK96" s="630">
        <v>133</v>
      </c>
      <c r="AL96" s="630">
        <v>405</v>
      </c>
      <c r="AM96" s="630">
        <v>530</v>
      </c>
      <c r="AN96" s="630">
        <v>589</v>
      </c>
      <c r="AO96" s="630">
        <v>140</v>
      </c>
      <c r="AP96" s="630">
        <v>439</v>
      </c>
      <c r="AQ96" s="630">
        <v>676</v>
      </c>
      <c r="AR96" s="630">
        <v>857</v>
      </c>
      <c r="AS96" s="630">
        <v>241</v>
      </c>
      <c r="AT96" s="630">
        <v>692</v>
      </c>
    </row>
    <row r="97" spans="2:47" s="577" customFormat="1" ht="13.5" x14ac:dyDescent="0.4">
      <c r="C97" s="577" t="s">
        <v>310</v>
      </c>
      <c r="D97" s="1036"/>
      <c r="E97" s="1036"/>
      <c r="F97" s="1036"/>
      <c r="G97" s="1036"/>
      <c r="H97" s="1036"/>
      <c r="I97" s="1036"/>
      <c r="J97" s="1036"/>
      <c r="K97" s="1036"/>
      <c r="L97" s="1036"/>
      <c r="M97" s="1036"/>
      <c r="N97" s="1036">
        <v>2320</v>
      </c>
      <c r="O97" s="1036">
        <v>-1424</v>
      </c>
      <c r="P97" s="1036">
        <v>-2435</v>
      </c>
      <c r="Q97" s="1036">
        <v>3696</v>
      </c>
      <c r="R97" s="1036">
        <v>2570</v>
      </c>
      <c r="S97" s="1036">
        <v>6547</v>
      </c>
      <c r="T97" s="1036">
        <v>-4072</v>
      </c>
      <c r="U97" s="1036">
        <v>-3251</v>
      </c>
      <c r="V97" s="1036">
        <v>-7313</v>
      </c>
      <c r="W97" s="1036">
        <v>-19364</v>
      </c>
      <c r="X97" s="1036">
        <v>-7951.0000000000009</v>
      </c>
      <c r="Y97" s="1036">
        <v>2909</v>
      </c>
      <c r="Z97" s="1036">
        <v>6468.0000000000009</v>
      </c>
      <c r="AA97" s="1036">
        <v>1054</v>
      </c>
      <c r="AB97" s="1036">
        <v>-1178</v>
      </c>
      <c r="AC97" s="1036">
        <v>330</v>
      </c>
      <c r="AD97" s="1036">
        <v>-8478</v>
      </c>
      <c r="AE97" s="1036">
        <v>-18633</v>
      </c>
      <c r="AF97" s="1036">
        <v>-36629</v>
      </c>
      <c r="AG97" s="1036">
        <v>10992</v>
      </c>
      <c r="AH97" s="1036">
        <v>24565</v>
      </c>
      <c r="AI97" s="1036">
        <v>24603</v>
      </c>
      <c r="AJ97" s="1036">
        <v>32567</v>
      </c>
      <c r="AK97" s="1036">
        <v>-3920.0000000000005</v>
      </c>
      <c r="AL97" s="1036">
        <v>4215</v>
      </c>
      <c r="AM97" s="1036">
        <v>8474</v>
      </c>
      <c r="AN97" s="1036">
        <v>20405</v>
      </c>
      <c r="AO97" s="1036">
        <v>-1340</v>
      </c>
      <c r="AP97" s="1036">
        <v>-214</v>
      </c>
      <c r="AQ97" s="1036">
        <v>6517</v>
      </c>
      <c r="AR97" s="1036">
        <v>-17515</v>
      </c>
      <c r="AS97" s="1036">
        <v>-12804</v>
      </c>
      <c r="AT97" s="1036">
        <v>-21340</v>
      </c>
      <c r="AU97" s="576"/>
    </row>
    <row r="98" spans="2:47" ht="13.5" x14ac:dyDescent="0.4">
      <c r="C98" s="245" t="s">
        <v>311</v>
      </c>
      <c r="D98" s="646">
        <v>0</v>
      </c>
      <c r="E98" s="646">
        <v>0</v>
      </c>
      <c r="F98" s="646">
        <v>0</v>
      </c>
      <c r="G98" s="646">
        <v>0</v>
      </c>
      <c r="H98" s="646">
        <v>0</v>
      </c>
      <c r="I98" s="646">
        <v>0</v>
      </c>
      <c r="J98" s="646">
        <v>0</v>
      </c>
      <c r="K98" s="646">
        <v>0</v>
      </c>
      <c r="L98" s="646">
        <v>0</v>
      </c>
      <c r="M98" s="646">
        <v>0</v>
      </c>
      <c r="N98" s="646">
        <v>68933</v>
      </c>
      <c r="O98" s="646">
        <v>99009</v>
      </c>
      <c r="P98" s="646">
        <v>126915</v>
      </c>
      <c r="Q98" s="646">
        <v>45421</v>
      </c>
      <c r="R98" s="646">
        <v>87535</v>
      </c>
      <c r="S98" s="646">
        <v>134342</v>
      </c>
      <c r="T98" s="646">
        <v>161953</v>
      </c>
      <c r="U98" s="646">
        <v>50585</v>
      </c>
      <c r="V98" s="646">
        <v>102262</v>
      </c>
      <c r="W98" s="646">
        <v>144614</v>
      </c>
      <c r="X98" s="646">
        <v>200494</v>
      </c>
      <c r="Y98" s="646">
        <v>64281</v>
      </c>
      <c r="Z98" s="646">
        <v>129709</v>
      </c>
      <c r="AA98" s="646">
        <v>186765</v>
      </c>
      <c r="AB98" s="646">
        <v>237513</v>
      </c>
      <c r="AC98" s="646">
        <v>69143</v>
      </c>
      <c r="AD98" s="646">
        <v>129999</v>
      </c>
      <c r="AE98" s="646">
        <v>187138</v>
      </c>
      <c r="AF98" s="646">
        <v>226336</v>
      </c>
      <c r="AG98" s="646">
        <v>84453</v>
      </c>
      <c r="AH98" s="646">
        <v>172946</v>
      </c>
      <c r="AI98" s="646">
        <v>245458</v>
      </c>
      <c r="AJ98" s="646">
        <v>308853</v>
      </c>
      <c r="AK98" s="646">
        <v>70537</v>
      </c>
      <c r="AL98" s="646">
        <v>153641</v>
      </c>
      <c r="AM98" s="646">
        <v>230765</v>
      </c>
      <c r="AN98" s="646">
        <v>298125</v>
      </c>
      <c r="AO98" s="646">
        <v>73564</v>
      </c>
      <c r="AP98" s="646">
        <v>150442</v>
      </c>
      <c r="AQ98" s="646">
        <v>229985</v>
      </c>
      <c r="AR98" s="646">
        <v>261591</v>
      </c>
      <c r="AS98" s="646">
        <v>63223</v>
      </c>
      <c r="AT98" s="646">
        <v>132347</v>
      </c>
      <c r="AU98" s="579"/>
    </row>
    <row r="99" spans="2:47" ht="13.5" x14ac:dyDescent="0.4">
      <c r="C99" s="183" t="s">
        <v>312</v>
      </c>
      <c r="D99" s="665">
        <v>0</v>
      </c>
      <c r="E99" s="665">
        <v>0</v>
      </c>
      <c r="F99" s="665">
        <v>0</v>
      </c>
      <c r="G99" s="665">
        <v>0</v>
      </c>
      <c r="H99" s="665">
        <v>0</v>
      </c>
      <c r="I99" s="665">
        <v>0</v>
      </c>
      <c r="J99" s="665">
        <v>0</v>
      </c>
      <c r="K99" s="665">
        <v>0</v>
      </c>
      <c r="L99" s="665">
        <v>0</v>
      </c>
      <c r="M99" s="665">
        <v>0</v>
      </c>
      <c r="N99" s="665">
        <v>68349</v>
      </c>
      <c r="O99" s="665">
        <v>98033</v>
      </c>
      <c r="P99" s="665">
        <v>125724</v>
      </c>
      <c r="Q99" s="665">
        <v>45196</v>
      </c>
      <c r="R99" s="665">
        <v>87188</v>
      </c>
      <c r="S99" s="665">
        <v>133756</v>
      </c>
      <c r="T99" s="665">
        <v>161316</v>
      </c>
      <c r="U99" s="665">
        <v>50541</v>
      </c>
      <c r="V99" s="665">
        <v>102182</v>
      </c>
      <c r="W99" s="665">
        <v>144527</v>
      </c>
      <c r="X99" s="665">
        <v>200368</v>
      </c>
      <c r="Y99" s="665">
        <v>64234</v>
      </c>
      <c r="Z99" s="665">
        <v>129619</v>
      </c>
      <c r="AA99" s="665">
        <v>186651</v>
      </c>
      <c r="AB99" s="665">
        <v>237245</v>
      </c>
      <c r="AC99" s="665">
        <v>69090</v>
      </c>
      <c r="AD99" s="665">
        <v>129968</v>
      </c>
      <c r="AE99" s="665">
        <v>187064</v>
      </c>
      <c r="AF99" s="665">
        <v>226375</v>
      </c>
      <c r="AG99" s="665">
        <v>84347</v>
      </c>
      <c r="AH99" s="665">
        <v>172629</v>
      </c>
      <c r="AI99" s="665">
        <v>245007</v>
      </c>
      <c r="AJ99" s="665">
        <v>308122</v>
      </c>
      <c r="AK99" s="665">
        <v>70229</v>
      </c>
      <c r="AL99" s="665">
        <v>152961</v>
      </c>
      <c r="AM99" s="665">
        <v>230128</v>
      </c>
      <c r="AN99" s="665">
        <v>297024</v>
      </c>
      <c r="AO99" s="665">
        <v>73701</v>
      </c>
      <c r="AP99" s="665">
        <v>150245</v>
      </c>
      <c r="AQ99" s="665">
        <v>229264</v>
      </c>
      <c r="AR99" s="665">
        <v>261166</v>
      </c>
      <c r="AS99" s="666">
        <v>63143</v>
      </c>
      <c r="AT99" s="666">
        <v>132046</v>
      </c>
      <c r="AU99" s="579"/>
    </row>
    <row r="100" spans="2:47" ht="13.9" thickBot="1" x14ac:dyDescent="0.45">
      <c r="C100" s="239" t="s">
        <v>313</v>
      </c>
      <c r="D100" s="665">
        <v>0</v>
      </c>
      <c r="E100" s="665">
        <v>0</v>
      </c>
      <c r="F100" s="665">
        <v>0</v>
      </c>
      <c r="G100" s="665">
        <v>0</v>
      </c>
      <c r="H100" s="665">
        <v>0</v>
      </c>
      <c r="I100" s="665">
        <v>0</v>
      </c>
      <c r="J100" s="665">
        <v>0</v>
      </c>
      <c r="K100" s="665">
        <v>0</v>
      </c>
      <c r="L100" s="665">
        <v>0</v>
      </c>
      <c r="M100" s="665">
        <v>0</v>
      </c>
      <c r="N100" s="665">
        <v>584</v>
      </c>
      <c r="O100" s="665">
        <v>976</v>
      </c>
      <c r="P100" s="665">
        <v>1191</v>
      </c>
      <c r="Q100" s="665">
        <v>225</v>
      </c>
      <c r="R100" s="665">
        <v>347</v>
      </c>
      <c r="S100" s="665">
        <v>586</v>
      </c>
      <c r="T100" s="665">
        <v>637</v>
      </c>
      <c r="U100" s="665">
        <v>44</v>
      </c>
      <c r="V100" s="665">
        <v>80</v>
      </c>
      <c r="W100" s="665">
        <v>87</v>
      </c>
      <c r="X100" s="665">
        <v>126</v>
      </c>
      <c r="Y100" s="665">
        <v>47</v>
      </c>
      <c r="Z100" s="665">
        <v>90</v>
      </c>
      <c r="AA100" s="665">
        <v>114</v>
      </c>
      <c r="AB100" s="665">
        <v>268</v>
      </c>
      <c r="AC100" s="665">
        <v>53</v>
      </c>
      <c r="AD100" s="665">
        <v>31</v>
      </c>
      <c r="AE100" s="665">
        <v>74</v>
      </c>
      <c r="AF100" s="665">
        <v>-39</v>
      </c>
      <c r="AG100" s="665">
        <v>106</v>
      </c>
      <c r="AH100" s="665">
        <v>317</v>
      </c>
      <c r="AI100" s="665">
        <v>451</v>
      </c>
      <c r="AJ100" s="665">
        <v>731</v>
      </c>
      <c r="AK100" s="665">
        <v>308</v>
      </c>
      <c r="AL100" s="665">
        <v>680</v>
      </c>
      <c r="AM100" s="665">
        <v>637</v>
      </c>
      <c r="AN100" s="665">
        <v>1101</v>
      </c>
      <c r="AO100" s="665">
        <v>-137</v>
      </c>
      <c r="AP100" s="665">
        <v>197</v>
      </c>
      <c r="AQ100" s="665">
        <v>721</v>
      </c>
      <c r="AR100" s="665">
        <v>425</v>
      </c>
      <c r="AS100" s="666">
        <v>80</v>
      </c>
      <c r="AT100" s="666">
        <v>301</v>
      </c>
      <c r="AU100" s="579"/>
    </row>
    <row r="101" spans="2:47" ht="13.5" thickBot="1" x14ac:dyDescent="0.45">
      <c r="AT101" s="578"/>
      <c r="AU101" s="578"/>
    </row>
    <row r="102" spans="2:47" ht="13.5" x14ac:dyDescent="0.4">
      <c r="C102" s="250" t="s">
        <v>314</v>
      </c>
      <c r="D102" s="638"/>
      <c r="E102" s="638"/>
      <c r="F102" s="638"/>
      <c r="G102" s="638"/>
      <c r="H102" s="638"/>
      <c r="I102" s="638"/>
      <c r="J102" s="638"/>
      <c r="K102" s="638"/>
      <c r="L102" s="638"/>
      <c r="M102" s="638"/>
      <c r="N102" s="638"/>
      <c r="O102" s="638"/>
      <c r="P102" s="638"/>
      <c r="Q102" s="638"/>
      <c r="R102" s="638"/>
      <c r="S102" s="638"/>
      <c r="T102" s="638"/>
      <c r="U102" s="638"/>
      <c r="V102" s="638"/>
      <c r="W102" s="638"/>
      <c r="X102" s="638"/>
      <c r="Y102" s="638"/>
      <c r="Z102" s="638"/>
      <c r="AA102" s="638"/>
      <c r="AB102" s="638"/>
      <c r="AC102" s="638"/>
      <c r="AD102" s="638"/>
      <c r="AE102" s="638"/>
      <c r="AF102" s="638"/>
      <c r="AG102" s="638"/>
      <c r="AH102" s="638"/>
      <c r="AI102" s="638"/>
      <c r="AJ102" s="638"/>
      <c r="AK102" s="638"/>
      <c r="AL102" s="638"/>
      <c r="AM102" s="638"/>
      <c r="AN102" s="638"/>
      <c r="AO102" s="638"/>
      <c r="AP102" s="638"/>
      <c r="AQ102" s="638"/>
      <c r="AR102" s="638"/>
      <c r="AS102" s="638"/>
      <c r="AT102" s="638"/>
    </row>
    <row r="103" spans="2:47" ht="13.5" x14ac:dyDescent="0.4">
      <c r="C103" s="207" t="s">
        <v>315</v>
      </c>
      <c r="D103" s="667">
        <v>0.17</v>
      </c>
      <c r="E103" s="667">
        <v>0.06</v>
      </c>
      <c r="F103" s="667">
        <v>0.12</v>
      </c>
      <c r="G103" s="667">
        <v>0.19</v>
      </c>
      <c r="H103" s="667">
        <v>0.24</v>
      </c>
      <c r="I103" s="667">
        <v>0.1</v>
      </c>
      <c r="J103" s="667">
        <v>0.19</v>
      </c>
      <c r="K103" s="667">
        <v>0.28000000000000003</v>
      </c>
      <c r="L103" s="667">
        <v>0.33</v>
      </c>
      <c r="M103" s="667">
        <v>0.11</v>
      </c>
      <c r="N103" s="667">
        <v>0.2</v>
      </c>
      <c r="O103" s="667">
        <v>0.3</v>
      </c>
      <c r="P103" s="667">
        <v>0.39</v>
      </c>
      <c r="Q103" s="667">
        <v>0.12</v>
      </c>
      <c r="R103" s="667">
        <v>0.25</v>
      </c>
      <c r="S103" s="667">
        <v>0.38</v>
      </c>
      <c r="T103" s="667">
        <v>0.48</v>
      </c>
      <c r="U103" s="667">
        <v>0.15</v>
      </c>
      <c r="V103" s="667">
        <v>0.31</v>
      </c>
      <c r="W103" s="667">
        <v>0.47</v>
      </c>
      <c r="X103" s="667">
        <v>0.6</v>
      </c>
      <c r="Y103" s="667">
        <v>0.18</v>
      </c>
      <c r="Z103" s="667">
        <v>0.35</v>
      </c>
      <c r="AA103" s="667">
        <v>0.53</v>
      </c>
      <c r="AB103" s="667">
        <v>0.68</v>
      </c>
      <c r="AC103" s="667">
        <v>0.2</v>
      </c>
      <c r="AD103" s="667">
        <v>0.4</v>
      </c>
      <c r="AE103" s="667">
        <v>0.59</v>
      </c>
      <c r="AF103" s="667">
        <v>0.75</v>
      </c>
      <c r="AG103" s="667">
        <v>0.21</v>
      </c>
      <c r="AH103" s="667">
        <v>0.42</v>
      </c>
      <c r="AI103" s="667">
        <v>0.63</v>
      </c>
      <c r="AJ103" s="667">
        <v>0.78</v>
      </c>
      <c r="AK103" s="667">
        <v>0.21</v>
      </c>
      <c r="AL103" s="667">
        <v>0.42</v>
      </c>
      <c r="AM103" s="667">
        <v>0.62</v>
      </c>
      <c r="AN103" s="667">
        <v>0.77</v>
      </c>
      <c r="AO103" s="667">
        <v>0.21</v>
      </c>
      <c r="AP103" s="667">
        <v>0.42</v>
      </c>
      <c r="AQ103" s="667">
        <v>0.63</v>
      </c>
      <c r="AR103" s="667">
        <v>0.77</v>
      </c>
      <c r="AS103" s="667">
        <v>0.21</v>
      </c>
      <c r="AT103" s="667">
        <v>0.43</v>
      </c>
    </row>
    <row r="104" spans="2:47" ht="13.9" thickBot="1" x14ac:dyDescent="0.45">
      <c r="C104" s="252" t="s">
        <v>316</v>
      </c>
      <c r="D104" s="668">
        <v>0.17</v>
      </c>
      <c r="E104" s="668">
        <v>0.06</v>
      </c>
      <c r="F104" s="668">
        <v>0.12</v>
      </c>
      <c r="G104" s="668">
        <v>0.19</v>
      </c>
      <c r="H104" s="668">
        <v>0.24</v>
      </c>
      <c r="I104" s="668">
        <v>0.1</v>
      </c>
      <c r="J104" s="668">
        <v>0.19</v>
      </c>
      <c r="K104" s="668">
        <v>0.28000000000000003</v>
      </c>
      <c r="L104" s="668">
        <v>0.33</v>
      </c>
      <c r="M104" s="668">
        <v>0.11</v>
      </c>
      <c r="N104" s="668">
        <v>0.2</v>
      </c>
      <c r="O104" s="668">
        <v>0.3</v>
      </c>
      <c r="P104" s="668">
        <v>0.39</v>
      </c>
      <c r="Q104" s="668">
        <v>0.12</v>
      </c>
      <c r="R104" s="668">
        <v>0.25</v>
      </c>
      <c r="S104" s="668">
        <v>0.38</v>
      </c>
      <c r="T104" s="668">
        <v>0.48</v>
      </c>
      <c r="U104" s="668">
        <v>0.15</v>
      </c>
      <c r="V104" s="668">
        <v>0.31</v>
      </c>
      <c r="W104" s="668">
        <v>0.46</v>
      </c>
      <c r="X104" s="668">
        <v>0.59</v>
      </c>
      <c r="Y104" s="668">
        <v>0.17</v>
      </c>
      <c r="Z104" s="668">
        <v>0.35</v>
      </c>
      <c r="AA104" s="668">
        <v>0.52</v>
      </c>
      <c r="AB104" s="668">
        <v>0.67</v>
      </c>
      <c r="AC104" s="668">
        <v>0.19</v>
      </c>
      <c r="AD104" s="668">
        <v>0.39</v>
      </c>
      <c r="AE104" s="668">
        <v>0.57999999999999996</v>
      </c>
      <c r="AF104" s="668">
        <v>0.74</v>
      </c>
      <c r="AG104" s="668">
        <v>0.21</v>
      </c>
      <c r="AH104" s="668">
        <v>0.42</v>
      </c>
      <c r="AI104" s="668">
        <v>0.62</v>
      </c>
      <c r="AJ104" s="668">
        <v>0.78</v>
      </c>
      <c r="AK104" s="668">
        <v>0.21</v>
      </c>
      <c r="AL104" s="668">
        <v>0.42</v>
      </c>
      <c r="AM104" s="668">
        <v>0.62</v>
      </c>
      <c r="AN104" s="668">
        <v>0.77</v>
      </c>
      <c r="AO104" s="668">
        <v>0.21</v>
      </c>
      <c r="AP104" s="668">
        <v>0.42</v>
      </c>
      <c r="AQ104" s="668">
        <v>0.63</v>
      </c>
      <c r="AR104" s="668">
        <v>0.77</v>
      </c>
      <c r="AS104" s="668">
        <v>0.21</v>
      </c>
      <c r="AT104" s="668">
        <v>0.43</v>
      </c>
    </row>
    <row r="105" spans="2:47" s="429" customFormat="1" ht="13.5" thickBot="1" x14ac:dyDescent="0.45"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649"/>
      <c r="Q105" s="649"/>
      <c r="R105" s="649"/>
      <c r="S105" s="649"/>
      <c r="T105" s="649"/>
      <c r="U105" s="649"/>
      <c r="V105" s="649"/>
      <c r="W105" s="649"/>
      <c r="X105" s="649"/>
      <c r="Y105" s="649"/>
      <c r="Z105" s="649"/>
      <c r="AA105" s="649"/>
      <c r="AB105" s="649"/>
      <c r="AC105" s="649"/>
      <c r="AD105" s="649"/>
      <c r="AE105" s="649"/>
      <c r="AF105" s="649"/>
      <c r="AG105" s="649"/>
      <c r="AH105" s="649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649"/>
    </row>
    <row r="106" spans="2:47" ht="13.5" thickTop="1" x14ac:dyDescent="0.4"/>
    <row r="107" spans="2:47" ht="13.9" thickBot="1" x14ac:dyDescent="0.45">
      <c r="B107" s="253" t="s">
        <v>317</v>
      </c>
      <c r="C107" s="254"/>
      <c r="AS107" s="626" t="s">
        <v>1348</v>
      </c>
    </row>
    <row r="108" spans="2:47" ht="13.5" x14ac:dyDescent="0.4">
      <c r="B108" s="255"/>
      <c r="C108" s="256" t="s">
        <v>776</v>
      </c>
      <c r="D108" s="670">
        <v>0</v>
      </c>
      <c r="E108" s="670">
        <v>0</v>
      </c>
      <c r="F108" s="670">
        <v>0</v>
      </c>
      <c r="G108" s="670">
        <v>0</v>
      </c>
      <c r="H108" s="670">
        <v>3167096</v>
      </c>
      <c r="I108" s="670">
        <v>0</v>
      </c>
      <c r="J108" s="670">
        <v>3353812</v>
      </c>
      <c r="K108" s="670">
        <v>3402149</v>
      </c>
      <c r="L108" s="670">
        <v>3558417</v>
      </c>
      <c r="M108" s="670">
        <v>4150496</v>
      </c>
      <c r="N108" s="670">
        <v>4280633</v>
      </c>
      <c r="O108" s="670">
        <v>4275721</v>
      </c>
      <c r="P108" s="670">
        <v>4287578</v>
      </c>
      <c r="Q108" s="670">
        <v>4450388</v>
      </c>
      <c r="R108" s="670">
        <v>4578364</v>
      </c>
      <c r="S108" s="670">
        <v>4681260</v>
      </c>
      <c r="T108" s="670">
        <v>5134787</v>
      </c>
      <c r="U108" s="670">
        <v>4937846</v>
      </c>
      <c r="V108" s="670">
        <v>5499680</v>
      </c>
      <c r="W108" s="670">
        <v>5209333</v>
      </c>
      <c r="X108" s="670">
        <v>5773971</v>
      </c>
      <c r="Y108" s="670">
        <v>5540055</v>
      </c>
      <c r="Z108" s="670">
        <v>6323927</v>
      </c>
      <c r="AA108" s="670">
        <v>5973424</v>
      </c>
      <c r="AB108" s="670">
        <v>6516589</v>
      </c>
      <c r="AC108" s="670">
        <v>6856632</v>
      </c>
      <c r="AD108" s="670">
        <v>6896402</v>
      </c>
      <c r="AE108" s="670">
        <v>6993745</v>
      </c>
      <c r="AF108" s="670">
        <v>7194773</v>
      </c>
      <c r="AG108" s="670">
        <v>7558034</v>
      </c>
      <c r="AH108" s="670">
        <v>7731001</v>
      </c>
      <c r="AI108" s="670">
        <v>7857893</v>
      </c>
      <c r="AJ108" s="670">
        <v>7962866</v>
      </c>
      <c r="AK108" s="670">
        <v>8169245</v>
      </c>
      <c r="AL108" s="670">
        <v>8376377</v>
      </c>
      <c r="AM108" s="670">
        <v>8468250</v>
      </c>
      <c r="AN108" s="670">
        <v>8391604</v>
      </c>
      <c r="AO108" s="670">
        <v>8646244</v>
      </c>
      <c r="AP108" s="670">
        <v>8805691</v>
      </c>
      <c r="AQ108" s="670">
        <v>8886421</v>
      </c>
      <c r="AR108" s="670">
        <v>8860677</v>
      </c>
      <c r="AS108" s="670">
        <v>9184138</v>
      </c>
      <c r="AT108" s="670">
        <v>9290718</v>
      </c>
    </row>
    <row r="109" spans="2:47" ht="13.5" x14ac:dyDescent="0.4">
      <c r="B109" s="255"/>
      <c r="C109" s="256" t="s">
        <v>777</v>
      </c>
      <c r="D109" s="641">
        <v>0</v>
      </c>
      <c r="E109" s="641">
        <v>0</v>
      </c>
      <c r="F109" s="641">
        <v>0</v>
      </c>
      <c r="G109" s="641">
        <v>0</v>
      </c>
      <c r="H109" s="1037">
        <v>2914993</v>
      </c>
      <c r="I109" s="641">
        <v>0</v>
      </c>
      <c r="J109" s="641">
        <v>3155604</v>
      </c>
      <c r="K109" s="641">
        <v>3199030</v>
      </c>
      <c r="L109" s="641">
        <v>3232102</v>
      </c>
      <c r="M109" s="641">
        <v>3622899</v>
      </c>
      <c r="N109" s="641">
        <v>3811537</v>
      </c>
      <c r="O109" s="641">
        <v>3876972</v>
      </c>
      <c r="P109" s="641">
        <v>3957786</v>
      </c>
      <c r="Q109" s="641">
        <v>4245331</v>
      </c>
      <c r="R109" s="641">
        <v>4384464</v>
      </c>
      <c r="S109" s="641">
        <v>4547045</v>
      </c>
      <c r="T109" s="641">
        <v>5017281</v>
      </c>
      <c r="U109" s="641">
        <v>4845990</v>
      </c>
      <c r="V109" s="641">
        <v>5393739</v>
      </c>
      <c r="W109" s="641">
        <v>5099064</v>
      </c>
      <c r="X109" s="641">
        <v>5666511</v>
      </c>
      <c r="Y109" s="641">
        <v>5410233</v>
      </c>
      <c r="Z109" s="641">
        <v>6118777</v>
      </c>
      <c r="AA109" s="641">
        <v>5761850</v>
      </c>
      <c r="AB109" s="641">
        <v>6332578</v>
      </c>
      <c r="AC109" s="641">
        <v>6705068</v>
      </c>
      <c r="AD109" s="641">
        <v>6710747</v>
      </c>
      <c r="AE109" s="641">
        <v>6845973</v>
      </c>
      <c r="AF109" s="641">
        <v>7046515</v>
      </c>
      <c r="AG109" s="641">
        <v>7435939</v>
      </c>
      <c r="AH109" s="641">
        <v>7576419</v>
      </c>
      <c r="AI109" s="641">
        <v>7575432</v>
      </c>
      <c r="AJ109" s="641">
        <v>7612592</v>
      </c>
      <c r="AK109" s="641">
        <v>7829607</v>
      </c>
      <c r="AL109" s="641">
        <v>7943677</v>
      </c>
      <c r="AM109" s="641">
        <v>7990653</v>
      </c>
      <c r="AN109" s="641">
        <v>7869552</v>
      </c>
      <c r="AO109" s="641">
        <v>8114037</v>
      </c>
      <c r="AP109" s="641">
        <v>8134402</v>
      </c>
      <c r="AQ109" s="641">
        <v>8074586</v>
      </c>
      <c r="AR109" s="641">
        <v>8140684</v>
      </c>
      <c r="AS109" s="641">
        <v>8708340</v>
      </c>
      <c r="AT109" s="641">
        <v>8927631</v>
      </c>
    </row>
    <row r="110" spans="2:47" ht="13.5" x14ac:dyDescent="0.4">
      <c r="B110" s="255"/>
      <c r="C110" s="256" t="s">
        <v>778</v>
      </c>
      <c r="D110" s="641">
        <v>0</v>
      </c>
      <c r="E110" s="641">
        <v>0</v>
      </c>
      <c r="F110" s="641">
        <v>0</v>
      </c>
      <c r="G110" s="641">
        <v>0</v>
      </c>
      <c r="H110" s="641">
        <v>252103</v>
      </c>
      <c r="I110" s="641">
        <v>0</v>
      </c>
      <c r="J110" s="641">
        <v>198208</v>
      </c>
      <c r="K110" s="641">
        <v>203119</v>
      </c>
      <c r="L110" s="641">
        <v>326315</v>
      </c>
      <c r="M110" s="641">
        <v>527597</v>
      </c>
      <c r="N110" s="641">
        <v>469096</v>
      </c>
      <c r="O110" s="641">
        <v>398749</v>
      </c>
      <c r="P110" s="641">
        <v>329792</v>
      </c>
      <c r="Q110" s="641">
        <v>205057</v>
      </c>
      <c r="R110" s="641">
        <v>193900</v>
      </c>
      <c r="S110" s="641">
        <v>134215</v>
      </c>
      <c r="T110" s="641">
        <v>117506</v>
      </c>
      <c r="U110" s="641">
        <v>91856</v>
      </c>
      <c r="V110" s="641">
        <v>105941</v>
      </c>
      <c r="W110" s="641">
        <v>110269</v>
      </c>
      <c r="X110" s="641">
        <v>107460</v>
      </c>
      <c r="Y110" s="641">
        <v>129822</v>
      </c>
      <c r="Z110" s="641">
        <v>205150</v>
      </c>
      <c r="AA110" s="641">
        <v>211574</v>
      </c>
      <c r="AB110" s="641">
        <v>184011</v>
      </c>
      <c r="AC110" s="641">
        <v>151564</v>
      </c>
      <c r="AD110" s="641">
        <v>185655</v>
      </c>
      <c r="AE110" s="641">
        <v>147772</v>
      </c>
      <c r="AF110" s="641">
        <v>148258</v>
      </c>
      <c r="AG110" s="641">
        <v>122095</v>
      </c>
      <c r="AH110" s="641">
        <v>154582</v>
      </c>
      <c r="AI110" s="641">
        <v>282461</v>
      </c>
      <c r="AJ110" s="641">
        <v>350274</v>
      </c>
      <c r="AK110" s="641">
        <v>339638</v>
      </c>
      <c r="AL110" s="641">
        <v>432700</v>
      </c>
      <c r="AM110" s="641">
        <v>477597</v>
      </c>
      <c r="AN110" s="641">
        <v>522052</v>
      </c>
      <c r="AO110" s="641">
        <v>532207</v>
      </c>
      <c r="AP110" s="641">
        <v>671289</v>
      </c>
      <c r="AQ110" s="641">
        <v>811835</v>
      </c>
      <c r="AR110" s="641">
        <v>719993</v>
      </c>
      <c r="AS110" s="641">
        <v>475798</v>
      </c>
      <c r="AT110" s="641">
        <v>363087</v>
      </c>
    </row>
    <row r="111" spans="2:47" ht="13.5" x14ac:dyDescent="0.4">
      <c r="B111" s="255"/>
      <c r="C111" s="256" t="s">
        <v>779</v>
      </c>
      <c r="D111" s="641">
        <v>0</v>
      </c>
      <c r="E111" s="641">
        <v>0</v>
      </c>
      <c r="F111" s="641">
        <v>0</v>
      </c>
      <c r="G111" s="641">
        <v>0</v>
      </c>
      <c r="H111" s="641">
        <v>752113</v>
      </c>
      <c r="I111" s="641">
        <v>0</v>
      </c>
      <c r="J111" s="641">
        <v>801128</v>
      </c>
      <c r="K111" s="641">
        <v>816842</v>
      </c>
      <c r="L111" s="641">
        <v>829342</v>
      </c>
      <c r="M111" s="641">
        <v>881884</v>
      </c>
      <c r="N111" s="641">
        <v>967906</v>
      </c>
      <c r="O111" s="641">
        <v>1093026</v>
      </c>
      <c r="P111" s="641">
        <v>1206850</v>
      </c>
      <c r="Q111" s="641">
        <v>1338361</v>
      </c>
      <c r="R111" s="641">
        <v>1457898</v>
      </c>
      <c r="S111" s="641">
        <v>1550095</v>
      </c>
      <c r="T111" s="641">
        <v>1655719</v>
      </c>
      <c r="U111" s="641">
        <v>1720669</v>
      </c>
      <c r="V111" s="641">
        <v>1834360</v>
      </c>
      <c r="W111" s="641">
        <v>1908338</v>
      </c>
      <c r="X111" s="641">
        <v>2014926</v>
      </c>
      <c r="Y111" s="641">
        <v>2037255</v>
      </c>
      <c r="Z111" s="641">
        <v>2100110</v>
      </c>
      <c r="AA111" s="641">
        <v>2149447</v>
      </c>
      <c r="AB111" s="641">
        <v>2287103</v>
      </c>
      <c r="AC111" s="641">
        <v>2408322</v>
      </c>
      <c r="AD111" s="641">
        <v>2541240</v>
      </c>
      <c r="AE111" s="641">
        <v>2650775</v>
      </c>
      <c r="AF111" s="641">
        <v>2727601</v>
      </c>
      <c r="AG111" s="641">
        <v>2814146</v>
      </c>
      <c r="AH111" s="641">
        <v>2915114</v>
      </c>
      <c r="AI111" s="641">
        <v>2995759</v>
      </c>
      <c r="AJ111" s="641">
        <v>3063465</v>
      </c>
      <c r="AK111" s="641">
        <v>3150597</v>
      </c>
      <c r="AL111" s="641">
        <v>3265708</v>
      </c>
      <c r="AM111" s="641">
        <v>3412409</v>
      </c>
      <c r="AN111" s="641">
        <v>3541862</v>
      </c>
      <c r="AO111" s="641">
        <v>3699462</v>
      </c>
      <c r="AP111" s="641">
        <v>3871626</v>
      </c>
      <c r="AQ111" s="641">
        <v>4027782</v>
      </c>
      <c r="AR111" s="641">
        <v>4196169</v>
      </c>
      <c r="AS111" s="641">
        <v>4388306</v>
      </c>
      <c r="AT111" s="641">
        <v>4575191</v>
      </c>
    </row>
    <row r="112" spans="2:47" ht="13.5" x14ac:dyDescent="0.4">
      <c r="B112" s="255"/>
      <c r="C112" s="256" t="s">
        <v>322</v>
      </c>
      <c r="D112" s="641">
        <v>-97193</v>
      </c>
      <c r="E112" s="641">
        <v>0</v>
      </c>
      <c r="F112" s="641">
        <v>-104539</v>
      </c>
      <c r="G112" s="641">
        <v>-109137.5012</v>
      </c>
      <c r="H112" s="641">
        <v>-115687</v>
      </c>
      <c r="I112" s="671">
        <v>-118131.5968</v>
      </c>
      <c r="J112" s="641">
        <v>-122047</v>
      </c>
      <c r="K112" s="641">
        <v>-127074</v>
      </c>
      <c r="L112" s="641">
        <v>-135983</v>
      </c>
      <c r="M112" s="641">
        <v>-135522</v>
      </c>
      <c r="N112" s="641">
        <v>-136353</v>
      </c>
      <c r="O112" s="641">
        <v>-138771</v>
      </c>
      <c r="P112" s="641">
        <v>-145452</v>
      </c>
      <c r="Q112" s="641">
        <v>-146699</v>
      </c>
      <c r="R112" s="641">
        <v>-151990</v>
      </c>
      <c r="S112" s="641">
        <v>-159158</v>
      </c>
      <c r="T112" s="641">
        <v>-167134</v>
      </c>
      <c r="U112" s="641">
        <v>-174478</v>
      </c>
      <c r="V112" s="641">
        <v>-181453</v>
      </c>
      <c r="W112" s="641">
        <v>-188653</v>
      </c>
      <c r="X112" s="641">
        <v>-194878</v>
      </c>
      <c r="Y112" s="641">
        <v>-204536</v>
      </c>
      <c r="Z112" s="641">
        <v>-211401</v>
      </c>
      <c r="AA112" s="641">
        <v>-215529</v>
      </c>
      <c r="AB112" s="641">
        <v>-220403</v>
      </c>
      <c r="AC112" s="641">
        <v>-231177</v>
      </c>
      <c r="AD112" s="641">
        <v>-235619</v>
      </c>
      <c r="AE112" s="641">
        <v>-234885</v>
      </c>
      <c r="AF112" s="641">
        <v>-240959</v>
      </c>
      <c r="AG112" s="641">
        <v>-246744</v>
      </c>
      <c r="AH112" s="641">
        <v>-251680</v>
      </c>
      <c r="AI112" s="641">
        <v>-250108</v>
      </c>
      <c r="AJ112" s="641">
        <v>-257581</v>
      </c>
      <c r="AK112" s="641">
        <v>-262585</v>
      </c>
      <c r="AL112" s="641">
        <v>-267138</v>
      </c>
      <c r="AM112" s="641">
        <v>-270196</v>
      </c>
      <c r="AN112" s="641">
        <v>-280654</v>
      </c>
      <c r="AO112" s="641">
        <v>-289001</v>
      </c>
      <c r="AP112" s="641">
        <v>-280756</v>
      </c>
      <c r="AQ112" s="641">
        <v>-284365</v>
      </c>
      <c r="AR112" s="641">
        <v>-289512</v>
      </c>
      <c r="AS112" s="641">
        <v>-304646</v>
      </c>
      <c r="AT112" s="641">
        <v>-316513</v>
      </c>
    </row>
    <row r="113" spans="2:46" ht="13.5" x14ac:dyDescent="0.4">
      <c r="B113" s="258"/>
      <c r="C113" s="259" t="s">
        <v>323</v>
      </c>
      <c r="D113" s="672">
        <v>3631171</v>
      </c>
      <c r="E113" s="672">
        <v>3696433</v>
      </c>
      <c r="F113" s="672">
        <v>3915606</v>
      </c>
      <c r="G113" s="672">
        <v>4045054.5011999998</v>
      </c>
      <c r="H113" s="672">
        <v>4073229</v>
      </c>
      <c r="I113" s="672">
        <v>4251955.5968000004</v>
      </c>
      <c r="J113" s="672">
        <v>4355365</v>
      </c>
      <c r="K113" s="672">
        <v>4420065</v>
      </c>
      <c r="L113" s="672">
        <v>4571994</v>
      </c>
      <c r="M113" s="672">
        <v>5208429</v>
      </c>
      <c r="N113" s="672">
        <v>5436469</v>
      </c>
      <c r="O113" s="672">
        <v>5580469</v>
      </c>
      <c r="P113" s="672">
        <v>5728626</v>
      </c>
      <c r="Q113" s="672">
        <v>6062793</v>
      </c>
      <c r="R113" s="672">
        <v>6354384</v>
      </c>
      <c r="S113" s="672">
        <v>6571512</v>
      </c>
      <c r="T113" s="672">
        <v>6790506</v>
      </c>
      <c r="U113" s="672">
        <v>7063351</v>
      </c>
      <c r="V113" s="672">
        <v>7334040</v>
      </c>
      <c r="W113" s="672">
        <v>7599040</v>
      </c>
      <c r="X113" s="672">
        <v>7788897</v>
      </c>
      <c r="Y113" s="672">
        <v>8158090</v>
      </c>
      <c r="Z113" s="672">
        <v>8424037</v>
      </c>
      <c r="AA113" s="672">
        <v>8637812</v>
      </c>
      <c r="AB113" s="672">
        <v>8803692</v>
      </c>
      <c r="AC113" s="672">
        <v>9264954</v>
      </c>
      <c r="AD113" s="672">
        <v>9437642</v>
      </c>
      <c r="AE113" s="672">
        <v>9644520</v>
      </c>
      <c r="AF113" s="672">
        <v>9922374</v>
      </c>
      <c r="AG113" s="672">
        <v>10372180</v>
      </c>
      <c r="AH113" s="672">
        <v>10646115</v>
      </c>
      <c r="AI113" s="672">
        <v>10853652</v>
      </c>
      <c r="AJ113" s="672">
        <v>11026331</v>
      </c>
      <c r="AK113" s="672">
        <v>11319842</v>
      </c>
      <c r="AL113" s="672">
        <v>11642085</v>
      </c>
      <c r="AM113" s="672">
        <v>11880659</v>
      </c>
      <c r="AN113" s="672">
        <v>11933466</v>
      </c>
      <c r="AO113" s="672">
        <v>12345706</v>
      </c>
      <c r="AP113" s="672">
        <v>12677317</v>
      </c>
      <c r="AQ113" s="672">
        <v>12914203</v>
      </c>
      <c r="AR113" s="672">
        <v>13056846</v>
      </c>
      <c r="AS113" s="672">
        <v>13572444</v>
      </c>
      <c r="AT113" s="672">
        <v>13865909</v>
      </c>
    </row>
    <row r="114" spans="2:46" ht="13.9" thickBot="1" x14ac:dyDescent="0.45">
      <c r="B114" s="258"/>
      <c r="C114" s="261" t="s">
        <v>324</v>
      </c>
      <c r="D114" s="673">
        <v>3533978</v>
      </c>
      <c r="E114" s="673">
        <v>3696433</v>
      </c>
      <c r="F114" s="673">
        <v>3811067</v>
      </c>
      <c r="G114" s="673">
        <v>3935917</v>
      </c>
      <c r="H114" s="673">
        <v>3957542</v>
      </c>
      <c r="I114" s="673">
        <v>4133824</v>
      </c>
      <c r="J114" s="673">
        <v>4233318</v>
      </c>
      <c r="K114" s="673">
        <v>4292991</v>
      </c>
      <c r="L114" s="673">
        <v>4436011</v>
      </c>
      <c r="M114" s="673">
        <v>5072907</v>
      </c>
      <c r="N114" s="673">
        <v>5300116</v>
      </c>
      <c r="O114" s="673">
        <v>5441698</v>
      </c>
      <c r="P114" s="673">
        <v>5583174</v>
      </c>
      <c r="Q114" s="673">
        <v>5916094</v>
      </c>
      <c r="R114" s="673">
        <v>6202394</v>
      </c>
      <c r="S114" s="673">
        <v>6412354</v>
      </c>
      <c r="T114" s="673">
        <v>6623372</v>
      </c>
      <c r="U114" s="673">
        <v>6888873</v>
      </c>
      <c r="V114" s="673">
        <v>7152587</v>
      </c>
      <c r="W114" s="673">
        <v>7410387</v>
      </c>
      <c r="X114" s="673">
        <v>7594019</v>
      </c>
      <c r="Y114" s="673">
        <v>7953554</v>
      </c>
      <c r="Z114" s="673">
        <v>8212636</v>
      </c>
      <c r="AA114" s="673">
        <v>8422283</v>
      </c>
      <c r="AB114" s="673">
        <v>8583289</v>
      </c>
      <c r="AC114" s="673">
        <v>9033777</v>
      </c>
      <c r="AD114" s="673">
        <v>9202023</v>
      </c>
      <c r="AE114" s="673">
        <v>9409635</v>
      </c>
      <c r="AF114" s="673">
        <v>9681415</v>
      </c>
      <c r="AG114" s="673">
        <v>10125436</v>
      </c>
      <c r="AH114" s="673">
        <v>10394435</v>
      </c>
      <c r="AI114" s="673">
        <v>10603544</v>
      </c>
      <c r="AJ114" s="673">
        <v>10768750</v>
      </c>
      <c r="AK114" s="673">
        <v>11057257</v>
      </c>
      <c r="AL114" s="673">
        <v>11374947</v>
      </c>
      <c r="AM114" s="673">
        <v>11610463</v>
      </c>
      <c r="AN114" s="673">
        <v>11652812</v>
      </c>
      <c r="AO114" s="673">
        <v>12056705</v>
      </c>
      <c r="AP114" s="673">
        <v>12396561</v>
      </c>
      <c r="AQ114" s="673">
        <v>12629838</v>
      </c>
      <c r="AR114" s="673">
        <v>12767334</v>
      </c>
      <c r="AS114" s="673">
        <v>13267798</v>
      </c>
      <c r="AT114" s="673">
        <v>13549396</v>
      </c>
    </row>
    <row r="115" spans="2:46" s="231" customFormat="1" ht="13.5" x14ac:dyDescent="0.4">
      <c r="C115" s="230" t="s">
        <v>281</v>
      </c>
      <c r="D115" s="636">
        <v>0</v>
      </c>
      <c r="E115" s="636">
        <v>0</v>
      </c>
      <c r="F115" s="636">
        <v>0</v>
      </c>
      <c r="G115" s="636">
        <v>0</v>
      </c>
      <c r="H115" s="636">
        <v>154020</v>
      </c>
      <c r="I115" s="674">
        <v>0</v>
      </c>
      <c r="J115" s="636">
        <v>200425</v>
      </c>
      <c r="K115" s="636">
        <v>201074</v>
      </c>
      <c r="L115" s="636">
        <v>184235</v>
      </c>
      <c r="M115" s="636">
        <v>176049</v>
      </c>
      <c r="N115" s="636">
        <v>187930</v>
      </c>
      <c r="O115" s="636">
        <v>211722</v>
      </c>
      <c r="P115" s="636">
        <v>234198</v>
      </c>
      <c r="Q115" s="636">
        <v>274044</v>
      </c>
      <c r="R115" s="636">
        <v>318122</v>
      </c>
      <c r="S115" s="636">
        <v>340157</v>
      </c>
      <c r="T115" s="636">
        <v>0</v>
      </c>
      <c r="U115" s="636">
        <v>404836</v>
      </c>
      <c r="V115" s="636">
        <v>0</v>
      </c>
      <c r="W115" s="636">
        <v>481369</v>
      </c>
      <c r="X115" s="636">
        <v>0</v>
      </c>
      <c r="Y115" s="636">
        <v>580780</v>
      </c>
      <c r="Z115" s="636">
        <v>0</v>
      </c>
      <c r="AA115" s="636">
        <v>514941</v>
      </c>
      <c r="AB115" s="636">
        <v>0</v>
      </c>
      <c r="AC115" s="636">
        <v>0</v>
      </c>
      <c r="AD115" s="636">
        <v>0</v>
      </c>
      <c r="AE115" s="636">
        <v>0</v>
      </c>
      <c r="AF115" s="636">
        <v>0</v>
      </c>
      <c r="AG115" s="636">
        <v>0</v>
      </c>
      <c r="AH115" s="636">
        <v>0</v>
      </c>
      <c r="AI115" s="636">
        <v>0</v>
      </c>
      <c r="AJ115" s="636">
        <v>0</v>
      </c>
      <c r="AK115" s="636">
        <v>0</v>
      </c>
      <c r="AL115" s="636">
        <v>0</v>
      </c>
      <c r="AM115" s="636">
        <v>0</v>
      </c>
      <c r="AN115" s="636">
        <v>0</v>
      </c>
      <c r="AO115" s="636">
        <v>0</v>
      </c>
      <c r="AP115" s="636">
        <v>0</v>
      </c>
      <c r="AQ115" s="636">
        <v>0</v>
      </c>
      <c r="AR115" s="636">
        <v>0</v>
      </c>
      <c r="AS115" s="636">
        <v>0</v>
      </c>
      <c r="AT115" s="636">
        <v>0</v>
      </c>
    </row>
    <row r="116" spans="2:46" s="429" customFormat="1" ht="13.5" thickBot="1" x14ac:dyDescent="0.45">
      <c r="D116" s="649"/>
      <c r="E116" s="649"/>
      <c r="F116" s="649"/>
      <c r="G116" s="649"/>
      <c r="H116" s="649"/>
      <c r="I116" s="649"/>
      <c r="J116" s="649"/>
      <c r="K116" s="649"/>
      <c r="L116" s="649"/>
      <c r="M116" s="649"/>
      <c r="N116" s="649"/>
      <c r="O116" s="649"/>
      <c r="P116" s="649"/>
      <c r="Q116" s="649"/>
      <c r="R116" s="649"/>
      <c r="S116" s="649"/>
      <c r="T116" s="649"/>
      <c r="U116" s="649"/>
      <c r="V116" s="649"/>
      <c r="W116" s="649"/>
      <c r="X116" s="649"/>
      <c r="Y116" s="649"/>
      <c r="Z116" s="649"/>
      <c r="AA116" s="649"/>
      <c r="AB116" s="649"/>
      <c r="AC116" s="649"/>
      <c r="AD116" s="649"/>
      <c r="AE116" s="649"/>
      <c r="AF116" s="649"/>
      <c r="AG116" s="675"/>
      <c r="AH116" s="649"/>
      <c r="AI116" s="649"/>
      <c r="AJ116" s="649"/>
      <c r="AK116" s="675"/>
      <c r="AL116" s="649"/>
      <c r="AM116" s="649"/>
      <c r="AN116" s="649"/>
      <c r="AO116" s="675"/>
      <c r="AP116" s="649"/>
      <c r="AQ116" s="649"/>
      <c r="AR116" s="649"/>
      <c r="AS116" s="675"/>
      <c r="AT116" s="649"/>
    </row>
    <row r="117" spans="2:46" ht="13.5" thickTop="1" x14ac:dyDescent="0.4">
      <c r="AD117" s="630"/>
      <c r="AH117" s="630"/>
      <c r="AL117" s="630"/>
    </row>
    <row r="118" spans="2:46" ht="13.9" thickBot="1" x14ac:dyDescent="0.45">
      <c r="B118" s="253" t="s">
        <v>325</v>
      </c>
      <c r="C118" s="262"/>
      <c r="D118" s="630"/>
      <c r="E118" s="630"/>
      <c r="F118" s="630"/>
      <c r="G118" s="630"/>
      <c r="H118" s="630"/>
      <c r="I118" s="630"/>
      <c r="J118" s="630"/>
      <c r="K118" s="630"/>
      <c r="L118" s="630"/>
      <c r="M118" s="630"/>
      <c r="N118" s="630"/>
      <c r="O118" s="630"/>
      <c r="P118" s="630"/>
      <c r="Q118" s="630"/>
      <c r="R118" s="630"/>
      <c r="S118" s="630"/>
      <c r="T118" s="630"/>
      <c r="U118" s="630"/>
      <c r="V118" s="630"/>
      <c r="W118" s="630"/>
      <c r="X118" s="630"/>
      <c r="Y118" s="630"/>
      <c r="Z118" s="630"/>
      <c r="AA118" s="630"/>
      <c r="AB118" s="630"/>
      <c r="AC118" s="630"/>
      <c r="AD118" s="630"/>
      <c r="AE118" s="630"/>
      <c r="AF118" s="630"/>
      <c r="AG118" s="630"/>
      <c r="AH118" s="630"/>
      <c r="AI118" s="630"/>
      <c r="AJ118" s="630"/>
      <c r="AK118" s="630"/>
      <c r="AL118" s="630"/>
      <c r="AM118" s="630"/>
      <c r="AN118" s="630"/>
      <c r="AO118" s="630"/>
      <c r="AP118" s="630"/>
      <c r="AQ118" s="630"/>
      <c r="AR118" s="630"/>
      <c r="AS118" s="630"/>
    </row>
    <row r="119" spans="2:46" ht="13.5" x14ac:dyDescent="0.4">
      <c r="B119" s="257"/>
      <c r="C119" s="256" t="s">
        <v>780</v>
      </c>
      <c r="D119" s="670">
        <v>0</v>
      </c>
      <c r="E119" s="670">
        <v>0</v>
      </c>
      <c r="F119" s="670">
        <v>0</v>
      </c>
      <c r="G119" s="670">
        <v>0</v>
      </c>
      <c r="H119" s="670">
        <v>3537398</v>
      </c>
      <c r="I119" s="670">
        <v>0</v>
      </c>
      <c r="J119" s="670">
        <v>3645947</v>
      </c>
      <c r="K119" s="670">
        <v>0</v>
      </c>
      <c r="L119" s="670">
        <v>3990043</v>
      </c>
      <c r="M119" s="670">
        <v>0</v>
      </c>
      <c r="N119" s="670">
        <v>4717082</v>
      </c>
      <c r="O119" s="670">
        <v>0</v>
      </c>
      <c r="P119" s="670">
        <v>4970896</v>
      </c>
      <c r="Q119" s="670">
        <v>0</v>
      </c>
      <c r="R119" s="670">
        <v>5503161</v>
      </c>
      <c r="S119" s="670">
        <v>0</v>
      </c>
      <c r="T119" s="670">
        <v>5798416</v>
      </c>
      <c r="U119" s="670">
        <v>0</v>
      </c>
      <c r="V119" s="670">
        <v>6241271</v>
      </c>
      <c r="W119" s="670">
        <v>0</v>
      </c>
      <c r="X119" s="670">
        <v>6307334</v>
      </c>
      <c r="Y119" s="670">
        <v>0</v>
      </c>
      <c r="Z119" s="670">
        <v>6502509</v>
      </c>
      <c r="AA119" s="670">
        <v>0</v>
      </c>
      <c r="AB119" s="670">
        <v>6793342</v>
      </c>
      <c r="AC119" s="670">
        <v>0</v>
      </c>
      <c r="AD119" s="670">
        <v>6961453</v>
      </c>
      <c r="AE119" s="670">
        <v>0</v>
      </c>
      <c r="AF119" s="670">
        <v>7033613</v>
      </c>
      <c r="AG119" s="670">
        <v>0</v>
      </c>
      <c r="AH119" s="670">
        <v>7553056</v>
      </c>
      <c r="AI119" s="670">
        <v>0</v>
      </c>
      <c r="AJ119" s="670">
        <v>7288645</v>
      </c>
      <c r="AK119" s="670">
        <v>0</v>
      </c>
      <c r="AL119" s="670">
        <v>7682586</v>
      </c>
      <c r="AM119" s="670">
        <v>0</v>
      </c>
      <c r="AN119" s="670">
        <v>7898175</v>
      </c>
      <c r="AO119" s="670">
        <v>0</v>
      </c>
      <c r="AP119" s="670">
        <v>8688175</v>
      </c>
      <c r="AQ119" s="670">
        <v>0</v>
      </c>
      <c r="AR119" s="670">
        <v>8992060</v>
      </c>
      <c r="AS119" s="670">
        <v>0</v>
      </c>
      <c r="AT119" s="670">
        <v>9540175</v>
      </c>
    </row>
    <row r="120" spans="2:46" ht="13.5" x14ac:dyDescent="0.4">
      <c r="B120" s="257"/>
      <c r="C120" s="256" t="s">
        <v>781</v>
      </c>
      <c r="D120" s="641">
        <v>0</v>
      </c>
      <c r="E120" s="641">
        <v>0</v>
      </c>
      <c r="F120" s="641">
        <v>0</v>
      </c>
      <c r="G120" s="641">
        <v>0</v>
      </c>
      <c r="H120" s="641">
        <v>2362830</v>
      </c>
      <c r="I120" s="641">
        <v>0</v>
      </c>
      <c r="J120" s="641">
        <v>2400159</v>
      </c>
      <c r="K120" s="641">
        <v>0</v>
      </c>
      <c r="L120" s="641">
        <v>2558060</v>
      </c>
      <c r="M120" s="641">
        <v>0</v>
      </c>
      <c r="N120" s="641">
        <v>2976113</v>
      </c>
      <c r="O120" s="641">
        <v>0</v>
      </c>
      <c r="P120" s="641">
        <v>3162661</v>
      </c>
      <c r="Q120" s="641">
        <v>0</v>
      </c>
      <c r="R120" s="641">
        <v>3448278</v>
      </c>
      <c r="S120" s="641">
        <v>0</v>
      </c>
      <c r="T120" s="641">
        <v>3545704</v>
      </c>
      <c r="U120" s="641">
        <v>0</v>
      </c>
      <c r="V120" s="641">
        <v>3788051</v>
      </c>
      <c r="W120" s="641">
        <v>0</v>
      </c>
      <c r="X120" s="641">
        <v>3759660</v>
      </c>
      <c r="Y120" s="641">
        <v>0</v>
      </c>
      <c r="Z120" s="641">
        <v>3838407</v>
      </c>
      <c r="AA120" s="641">
        <v>0</v>
      </c>
      <c r="AB120" s="641">
        <v>3993173</v>
      </c>
      <c r="AC120" s="641">
        <v>0</v>
      </c>
      <c r="AD120" s="641">
        <v>3954207</v>
      </c>
      <c r="AE120" s="641">
        <v>0</v>
      </c>
      <c r="AF120" s="641">
        <v>4038872</v>
      </c>
      <c r="AG120" s="641">
        <v>0</v>
      </c>
      <c r="AH120" s="641">
        <v>4276548</v>
      </c>
      <c r="AI120" s="641">
        <v>0</v>
      </c>
      <c r="AJ120" s="641">
        <v>4134828</v>
      </c>
      <c r="AK120" s="641">
        <v>0</v>
      </c>
      <c r="AL120" s="641">
        <v>4392924</v>
      </c>
      <c r="AM120" s="641">
        <v>0</v>
      </c>
      <c r="AN120" s="641">
        <v>4507661</v>
      </c>
      <c r="AO120" s="641">
        <v>0</v>
      </c>
      <c r="AP120" s="641">
        <v>5162202</v>
      </c>
      <c r="AQ120" s="641">
        <v>0</v>
      </c>
      <c r="AR120" s="641">
        <v>5271686</v>
      </c>
      <c r="AS120" s="641">
        <v>0</v>
      </c>
      <c r="AT120" s="641">
        <v>5749174</v>
      </c>
    </row>
    <row r="121" spans="2:46" ht="13.5" x14ac:dyDescent="0.4">
      <c r="B121" s="257"/>
      <c r="C121" s="256" t="s">
        <v>782</v>
      </c>
      <c r="D121" s="641">
        <v>0</v>
      </c>
      <c r="E121" s="641">
        <v>0</v>
      </c>
      <c r="F121" s="641">
        <v>0</v>
      </c>
      <c r="G121" s="641">
        <v>0</v>
      </c>
      <c r="H121" s="641">
        <v>1174568</v>
      </c>
      <c r="I121" s="641">
        <v>0</v>
      </c>
      <c r="J121" s="641">
        <v>1245788</v>
      </c>
      <c r="K121" s="641">
        <v>0</v>
      </c>
      <c r="L121" s="641">
        <v>1431983</v>
      </c>
      <c r="M121" s="641">
        <v>0</v>
      </c>
      <c r="N121" s="641">
        <v>1740969</v>
      </c>
      <c r="O121" s="641">
        <v>0</v>
      </c>
      <c r="P121" s="641">
        <v>1808235</v>
      </c>
      <c r="Q121" s="641">
        <v>0</v>
      </c>
      <c r="R121" s="641">
        <v>2054883</v>
      </c>
      <c r="S121" s="641">
        <v>0</v>
      </c>
      <c r="T121" s="641">
        <v>2252712</v>
      </c>
      <c r="U121" s="641">
        <v>0</v>
      </c>
      <c r="V121" s="641">
        <v>2453220</v>
      </c>
      <c r="W121" s="641">
        <v>0</v>
      </c>
      <c r="X121" s="641">
        <v>2547674</v>
      </c>
      <c r="Y121" s="641">
        <v>0</v>
      </c>
      <c r="Z121" s="641">
        <v>2664102</v>
      </c>
      <c r="AA121" s="641">
        <v>0</v>
      </c>
      <c r="AB121" s="641">
        <v>2800169</v>
      </c>
      <c r="AC121" s="641">
        <v>0</v>
      </c>
      <c r="AD121" s="641">
        <v>3007246</v>
      </c>
      <c r="AE121" s="641">
        <v>0</v>
      </c>
      <c r="AF121" s="641">
        <v>2994741</v>
      </c>
      <c r="AG121" s="641">
        <v>0</v>
      </c>
      <c r="AH121" s="641">
        <v>3276508</v>
      </c>
      <c r="AI121" s="641">
        <v>0</v>
      </c>
      <c r="AJ121" s="641">
        <v>3153817</v>
      </c>
      <c r="AK121" s="641">
        <v>0</v>
      </c>
      <c r="AL121" s="641">
        <v>3289662</v>
      </c>
      <c r="AM121" s="641">
        <v>0</v>
      </c>
      <c r="AN121" s="641">
        <v>3390514</v>
      </c>
      <c r="AO121" s="641">
        <v>0</v>
      </c>
      <c r="AP121" s="641">
        <v>3525973</v>
      </c>
      <c r="AQ121" s="641">
        <v>0</v>
      </c>
      <c r="AR121" s="641">
        <v>3720374</v>
      </c>
      <c r="AS121" s="641">
        <v>0</v>
      </c>
      <c r="AT121" s="641">
        <v>3791001</v>
      </c>
    </row>
    <row r="122" spans="2:46" ht="13.5" x14ac:dyDescent="0.4">
      <c r="B122" s="257"/>
      <c r="C122" s="256" t="s">
        <v>783</v>
      </c>
      <c r="D122" s="676">
        <v>0</v>
      </c>
      <c r="E122" s="676">
        <v>0</v>
      </c>
      <c r="F122" s="676">
        <v>0</v>
      </c>
      <c r="G122" s="676">
        <v>0</v>
      </c>
      <c r="H122" s="676">
        <v>3109359</v>
      </c>
      <c r="I122" s="676">
        <v>0</v>
      </c>
      <c r="J122" s="676">
        <v>3636003</v>
      </c>
      <c r="K122" s="676">
        <v>0</v>
      </c>
      <c r="L122" s="676">
        <v>3959172</v>
      </c>
      <c r="M122" s="676">
        <v>0</v>
      </c>
      <c r="N122" s="676">
        <v>4560500</v>
      </c>
      <c r="O122" s="676">
        <v>0</v>
      </c>
      <c r="P122" s="676">
        <v>4478026</v>
      </c>
      <c r="Q122" s="676">
        <v>0</v>
      </c>
      <c r="R122" s="676">
        <v>4952712</v>
      </c>
      <c r="S122" s="676">
        <v>0</v>
      </c>
      <c r="T122" s="676">
        <v>4916550</v>
      </c>
      <c r="U122" s="676">
        <v>0</v>
      </c>
      <c r="V122" s="676">
        <v>5338391</v>
      </c>
      <c r="W122" s="676">
        <v>0</v>
      </c>
      <c r="X122" s="676">
        <v>5465274</v>
      </c>
      <c r="Y122" s="676">
        <v>0</v>
      </c>
      <c r="Z122" s="676">
        <v>6175557</v>
      </c>
      <c r="AA122" s="676">
        <v>0</v>
      </c>
      <c r="AB122" s="676">
        <v>6669190</v>
      </c>
      <c r="AC122" s="676">
        <v>0</v>
      </c>
      <c r="AD122" s="676">
        <v>7302293</v>
      </c>
      <c r="AE122" s="676">
        <v>0</v>
      </c>
      <c r="AF122" s="676">
        <v>7365723</v>
      </c>
      <c r="AG122" s="676">
        <v>0</v>
      </c>
      <c r="AH122" s="676">
        <v>7897519</v>
      </c>
      <c r="AI122" s="676">
        <v>0</v>
      </c>
      <c r="AJ122" s="676">
        <v>7937095</v>
      </c>
      <c r="AK122" s="676">
        <v>0</v>
      </c>
      <c r="AL122" s="676">
        <v>8338031</v>
      </c>
      <c r="AM122" s="676">
        <v>0</v>
      </c>
      <c r="AN122" s="676">
        <v>8139953</v>
      </c>
      <c r="AO122" s="676">
        <v>0</v>
      </c>
      <c r="AP122" s="676">
        <v>8458634</v>
      </c>
      <c r="AQ122" s="676">
        <v>0</v>
      </c>
      <c r="AR122" s="676">
        <v>8596741</v>
      </c>
      <c r="AS122" s="676">
        <v>0</v>
      </c>
      <c r="AT122" s="676">
        <v>9282090</v>
      </c>
    </row>
    <row r="123" spans="2:46" ht="13.5" x14ac:dyDescent="0.4">
      <c r="B123" s="257"/>
      <c r="C123" s="256" t="s">
        <v>784</v>
      </c>
      <c r="D123" s="641">
        <v>0</v>
      </c>
      <c r="E123" s="641">
        <v>0</v>
      </c>
      <c r="F123" s="641">
        <v>0</v>
      </c>
      <c r="G123" s="641">
        <v>0</v>
      </c>
      <c r="H123" s="641">
        <v>1039853</v>
      </c>
      <c r="I123" s="641">
        <v>0</v>
      </c>
      <c r="J123" s="641">
        <v>1289722</v>
      </c>
      <c r="K123" s="641">
        <v>0</v>
      </c>
      <c r="L123" s="641">
        <v>1380907</v>
      </c>
      <c r="M123" s="641">
        <v>0</v>
      </c>
      <c r="N123" s="641">
        <v>1745091</v>
      </c>
      <c r="O123" s="641">
        <v>0</v>
      </c>
      <c r="P123" s="641">
        <v>1625829</v>
      </c>
      <c r="Q123" s="641">
        <v>0</v>
      </c>
      <c r="R123" s="641">
        <v>1914605</v>
      </c>
      <c r="S123" s="641">
        <v>0</v>
      </c>
      <c r="T123" s="641">
        <v>1925605</v>
      </c>
      <c r="U123" s="641">
        <v>0</v>
      </c>
      <c r="V123" s="641">
        <v>2112556</v>
      </c>
      <c r="W123" s="641">
        <v>0</v>
      </c>
      <c r="X123" s="641">
        <v>2169089</v>
      </c>
      <c r="Y123" s="641">
        <v>0</v>
      </c>
      <c r="Z123" s="641">
        <v>2533194</v>
      </c>
      <c r="AA123" s="641">
        <v>0</v>
      </c>
      <c r="AB123" s="641">
        <v>2915072</v>
      </c>
      <c r="AC123" s="641">
        <v>0</v>
      </c>
      <c r="AD123" s="641">
        <v>3323182</v>
      </c>
      <c r="AE123" s="641">
        <v>0</v>
      </c>
      <c r="AF123" s="641">
        <v>3464625</v>
      </c>
      <c r="AG123" s="641">
        <v>0</v>
      </c>
      <c r="AH123" s="641">
        <v>3843649</v>
      </c>
      <c r="AI123" s="641">
        <v>0</v>
      </c>
      <c r="AJ123" s="641">
        <v>3902305</v>
      </c>
      <c r="AK123" s="641">
        <v>0</v>
      </c>
      <c r="AL123" s="641">
        <v>4119119</v>
      </c>
      <c r="AM123" s="641">
        <v>0</v>
      </c>
      <c r="AN123" s="641">
        <v>3929353</v>
      </c>
      <c r="AO123" s="641">
        <v>0</v>
      </c>
      <c r="AP123" s="641">
        <v>4093814</v>
      </c>
      <c r="AQ123" s="641">
        <v>0</v>
      </c>
      <c r="AR123" s="641">
        <v>4176834</v>
      </c>
      <c r="AS123" s="641">
        <v>0</v>
      </c>
      <c r="AT123" s="641">
        <v>4583355</v>
      </c>
    </row>
    <row r="124" spans="2:46" ht="13.5" x14ac:dyDescent="0.4">
      <c r="B124" s="257"/>
      <c r="C124" s="256" t="s">
        <v>785</v>
      </c>
      <c r="D124" s="641">
        <v>0</v>
      </c>
      <c r="E124" s="641">
        <v>0</v>
      </c>
      <c r="F124" s="641">
        <v>0</v>
      </c>
      <c r="G124" s="641">
        <v>0</v>
      </c>
      <c r="H124" s="641">
        <v>2069506</v>
      </c>
      <c r="I124" s="641">
        <v>0</v>
      </c>
      <c r="J124" s="641">
        <v>2346281</v>
      </c>
      <c r="K124" s="641">
        <v>0</v>
      </c>
      <c r="L124" s="641">
        <v>2578265</v>
      </c>
      <c r="M124" s="641">
        <v>0</v>
      </c>
      <c r="N124" s="641">
        <v>2815409</v>
      </c>
      <c r="O124" s="641">
        <v>0</v>
      </c>
      <c r="P124" s="641">
        <v>2852197</v>
      </c>
      <c r="Q124" s="641">
        <v>0</v>
      </c>
      <c r="R124" s="641">
        <v>3038107</v>
      </c>
      <c r="S124" s="641">
        <v>0</v>
      </c>
      <c r="T124" s="641">
        <v>2990945</v>
      </c>
      <c r="U124" s="641">
        <v>0</v>
      </c>
      <c r="V124" s="641">
        <v>3225835</v>
      </c>
      <c r="W124" s="641">
        <v>0</v>
      </c>
      <c r="X124" s="641">
        <v>3296185</v>
      </c>
      <c r="Y124" s="641">
        <v>0</v>
      </c>
      <c r="Z124" s="641">
        <v>3642363</v>
      </c>
      <c r="AA124" s="641">
        <v>0</v>
      </c>
      <c r="AB124" s="641">
        <v>3754118</v>
      </c>
      <c r="AC124" s="641">
        <v>0</v>
      </c>
      <c r="AD124" s="641">
        <v>3979111</v>
      </c>
      <c r="AE124" s="641">
        <v>0</v>
      </c>
      <c r="AF124" s="641">
        <v>3901098</v>
      </c>
      <c r="AG124" s="641">
        <v>0</v>
      </c>
      <c r="AH124" s="641">
        <v>4053870</v>
      </c>
      <c r="AI124" s="641">
        <v>0</v>
      </c>
      <c r="AJ124" s="641">
        <v>4034790</v>
      </c>
      <c r="AK124" s="641">
        <v>0</v>
      </c>
      <c r="AL124" s="641">
        <v>4218912</v>
      </c>
      <c r="AM124" s="641">
        <v>0</v>
      </c>
      <c r="AN124" s="641">
        <v>4210600</v>
      </c>
      <c r="AO124" s="641">
        <v>0</v>
      </c>
      <c r="AP124" s="641">
        <v>4364820</v>
      </c>
      <c r="AQ124" s="641">
        <v>0</v>
      </c>
      <c r="AR124" s="641">
        <v>4419907</v>
      </c>
      <c r="AS124" s="641">
        <v>0</v>
      </c>
      <c r="AT124" s="641">
        <v>4698735</v>
      </c>
    </row>
    <row r="125" spans="2:46" ht="13.5" x14ac:dyDescent="0.4">
      <c r="B125" s="257"/>
      <c r="C125" s="256" t="s">
        <v>786</v>
      </c>
      <c r="D125" s="645">
        <v>0</v>
      </c>
      <c r="E125" s="645">
        <v>0</v>
      </c>
      <c r="F125" s="645">
        <v>0</v>
      </c>
      <c r="G125" s="645">
        <v>0</v>
      </c>
      <c r="H125" s="645">
        <v>251656</v>
      </c>
      <c r="I125" s="645">
        <v>0</v>
      </c>
      <c r="J125" s="645">
        <v>256798</v>
      </c>
      <c r="K125" s="645">
        <v>0</v>
      </c>
      <c r="L125" s="645">
        <v>274231</v>
      </c>
      <c r="M125" s="645">
        <v>0</v>
      </c>
      <c r="N125" s="645">
        <v>255535</v>
      </c>
      <c r="O125" s="645">
        <v>0</v>
      </c>
      <c r="P125" s="645">
        <v>322355</v>
      </c>
      <c r="Q125" s="645">
        <v>0</v>
      </c>
      <c r="R125" s="645">
        <v>376916</v>
      </c>
      <c r="S125" s="645">
        <v>0</v>
      </c>
      <c r="T125" s="645">
        <v>430591</v>
      </c>
      <c r="U125" s="645">
        <v>0</v>
      </c>
      <c r="V125" s="645">
        <v>467476</v>
      </c>
      <c r="W125" s="645">
        <v>0</v>
      </c>
      <c r="X125" s="645">
        <v>488611</v>
      </c>
      <c r="Y125" s="645">
        <v>0</v>
      </c>
      <c r="Z125" s="645">
        <v>502531</v>
      </c>
      <c r="AA125" s="645">
        <v>0</v>
      </c>
      <c r="AB125" s="645">
        <v>180378</v>
      </c>
      <c r="AC125" s="645">
        <v>0</v>
      </c>
      <c r="AD125" s="645">
        <v>244656</v>
      </c>
      <c r="AE125" s="645">
        <v>0</v>
      </c>
      <c r="AF125" s="645">
        <v>221489</v>
      </c>
      <c r="AG125" s="645">
        <v>0</v>
      </c>
      <c r="AH125" s="645">
        <v>277757</v>
      </c>
      <c r="AI125" s="645">
        <v>0</v>
      </c>
      <c r="AJ125" s="645">
        <v>330861</v>
      </c>
      <c r="AK125" s="645">
        <v>0</v>
      </c>
      <c r="AL125" s="645">
        <v>267151</v>
      </c>
      <c r="AM125" s="645">
        <v>0</v>
      </c>
      <c r="AN125" s="645">
        <v>243811</v>
      </c>
      <c r="AO125" s="645">
        <v>0</v>
      </c>
      <c r="AP125" s="645">
        <v>222715</v>
      </c>
      <c r="AQ125" s="645">
        <v>0</v>
      </c>
      <c r="AR125" s="645">
        <v>236501</v>
      </c>
      <c r="AS125" s="645">
        <v>0</v>
      </c>
      <c r="AT125" s="645">
        <v>198906</v>
      </c>
    </row>
    <row r="126" spans="2:46" ht="13.5" x14ac:dyDescent="0.4">
      <c r="B126" s="263"/>
      <c r="C126" s="265" t="s">
        <v>787</v>
      </c>
      <c r="D126" s="677">
        <v>0</v>
      </c>
      <c r="E126" s="677">
        <v>0</v>
      </c>
      <c r="F126" s="677">
        <v>0</v>
      </c>
      <c r="G126" s="677">
        <v>0</v>
      </c>
      <c r="H126" s="677">
        <v>3402683</v>
      </c>
      <c r="I126" s="677">
        <v>0</v>
      </c>
      <c r="J126" s="677">
        <v>3689881</v>
      </c>
      <c r="K126" s="677">
        <v>0</v>
      </c>
      <c r="L126" s="677">
        <v>3938967</v>
      </c>
      <c r="M126" s="677">
        <v>0</v>
      </c>
      <c r="N126" s="677">
        <v>4721204</v>
      </c>
      <c r="O126" s="677">
        <v>0</v>
      </c>
      <c r="P126" s="677">
        <v>4788490</v>
      </c>
      <c r="Q126" s="677">
        <v>0</v>
      </c>
      <c r="R126" s="677">
        <v>5362883</v>
      </c>
      <c r="S126" s="677">
        <v>0</v>
      </c>
      <c r="T126" s="677">
        <v>5471309</v>
      </c>
      <c r="U126" s="677">
        <v>0</v>
      </c>
      <c r="V126" s="677">
        <v>5900607</v>
      </c>
      <c r="W126" s="677">
        <v>0</v>
      </c>
      <c r="X126" s="677">
        <v>5928749</v>
      </c>
      <c r="Y126" s="677">
        <v>0</v>
      </c>
      <c r="Z126" s="677">
        <v>6371601</v>
      </c>
      <c r="AA126" s="677">
        <v>0</v>
      </c>
      <c r="AB126" s="677">
        <v>6908245</v>
      </c>
      <c r="AC126" s="677">
        <v>0</v>
      </c>
      <c r="AD126" s="677">
        <v>7277389</v>
      </c>
      <c r="AE126" s="677">
        <v>0</v>
      </c>
      <c r="AF126" s="677">
        <v>7503497</v>
      </c>
      <c r="AG126" s="677">
        <v>0</v>
      </c>
      <c r="AH126" s="677">
        <v>8120197</v>
      </c>
      <c r="AI126" s="677">
        <v>0</v>
      </c>
      <c r="AJ126" s="677">
        <v>8037133</v>
      </c>
      <c r="AK126" s="677">
        <v>0</v>
      </c>
      <c r="AL126" s="677">
        <v>8512043</v>
      </c>
      <c r="AM126" s="677">
        <v>0</v>
      </c>
      <c r="AN126" s="677">
        <v>8437014</v>
      </c>
      <c r="AO126" s="677">
        <v>0</v>
      </c>
      <c r="AP126" s="677">
        <v>9256016</v>
      </c>
      <c r="AQ126" s="677">
        <v>0</v>
      </c>
      <c r="AR126" s="677">
        <v>9448520</v>
      </c>
      <c r="AS126" s="677">
        <v>0</v>
      </c>
      <c r="AT126" s="677">
        <v>10332529</v>
      </c>
    </row>
    <row r="127" spans="2:46" ht="13.5" x14ac:dyDescent="0.4">
      <c r="B127" s="263"/>
      <c r="C127" s="256" t="s">
        <v>788</v>
      </c>
      <c r="D127" s="677">
        <v>0</v>
      </c>
      <c r="E127" s="677">
        <v>0</v>
      </c>
      <c r="F127" s="677">
        <v>0</v>
      </c>
      <c r="G127" s="677">
        <v>0</v>
      </c>
      <c r="H127" s="677">
        <v>3244074</v>
      </c>
      <c r="I127" s="677">
        <v>0</v>
      </c>
      <c r="J127" s="677">
        <v>3592069</v>
      </c>
      <c r="K127" s="677">
        <v>0</v>
      </c>
      <c r="L127" s="677">
        <v>4010248</v>
      </c>
      <c r="M127" s="677">
        <v>0</v>
      </c>
      <c r="N127" s="677">
        <v>4556378</v>
      </c>
      <c r="O127" s="677">
        <v>0</v>
      </c>
      <c r="P127" s="677">
        <v>4660432</v>
      </c>
      <c r="Q127" s="677">
        <v>0</v>
      </c>
      <c r="R127" s="677">
        <v>5092990</v>
      </c>
      <c r="S127" s="677">
        <v>0</v>
      </c>
      <c r="T127" s="677">
        <v>5243657</v>
      </c>
      <c r="U127" s="677">
        <v>0</v>
      </c>
      <c r="V127" s="677">
        <v>5679055</v>
      </c>
      <c r="W127" s="677">
        <v>0</v>
      </c>
      <c r="X127" s="677">
        <v>5843859</v>
      </c>
      <c r="Y127" s="677">
        <v>0</v>
      </c>
      <c r="Z127" s="677">
        <v>6306465</v>
      </c>
      <c r="AA127" s="677">
        <v>0</v>
      </c>
      <c r="AB127" s="677">
        <v>6554287</v>
      </c>
      <c r="AC127" s="677">
        <v>0</v>
      </c>
      <c r="AD127" s="677">
        <v>6986357</v>
      </c>
      <c r="AE127" s="677">
        <v>0</v>
      </c>
      <c r="AF127" s="677">
        <v>6895839</v>
      </c>
      <c r="AG127" s="677">
        <v>0</v>
      </c>
      <c r="AH127" s="677">
        <v>7330378</v>
      </c>
      <c r="AI127" s="677">
        <v>0</v>
      </c>
      <c r="AJ127" s="677">
        <v>7188607</v>
      </c>
      <c r="AK127" s="677">
        <v>0</v>
      </c>
      <c r="AL127" s="677">
        <v>7508574</v>
      </c>
      <c r="AM127" s="677">
        <v>0</v>
      </c>
      <c r="AN127" s="677">
        <v>7601114</v>
      </c>
      <c r="AO127" s="677">
        <v>0</v>
      </c>
      <c r="AP127" s="677">
        <v>7890793</v>
      </c>
      <c r="AQ127" s="677">
        <v>0</v>
      </c>
      <c r="AR127" s="677">
        <v>8140281</v>
      </c>
      <c r="AS127" s="677">
        <v>0</v>
      </c>
      <c r="AT127" s="677">
        <v>8489736</v>
      </c>
    </row>
    <row r="128" spans="2:46" ht="13.9" thickBot="1" x14ac:dyDescent="0.45">
      <c r="B128" s="263"/>
      <c r="C128" s="266" t="s">
        <v>333</v>
      </c>
      <c r="D128" s="647">
        <v>6351423</v>
      </c>
      <c r="E128" s="647">
        <v>6560019</v>
      </c>
      <c r="F128" s="647">
        <v>6692270</v>
      </c>
      <c r="G128" s="647">
        <v>6823165</v>
      </c>
      <c r="H128" s="647">
        <v>6898413</v>
      </c>
      <c r="I128" s="647">
        <v>7228839</v>
      </c>
      <c r="J128" s="647">
        <v>7538748</v>
      </c>
      <c r="K128" s="647">
        <v>7898299</v>
      </c>
      <c r="L128" s="647">
        <v>8223446</v>
      </c>
      <c r="M128" s="647">
        <v>9113767</v>
      </c>
      <c r="N128" s="647">
        <v>9533117</v>
      </c>
      <c r="O128" s="647">
        <v>9750836</v>
      </c>
      <c r="P128" s="647">
        <v>9771277</v>
      </c>
      <c r="Q128" s="647">
        <v>10332616</v>
      </c>
      <c r="R128" s="647">
        <v>10832789</v>
      </c>
      <c r="S128" s="647">
        <v>11282590</v>
      </c>
      <c r="T128" s="647">
        <v>11145557</v>
      </c>
      <c r="U128" s="647">
        <v>11764424</v>
      </c>
      <c r="V128" s="647">
        <v>12047138</v>
      </c>
      <c r="W128" s="647">
        <v>12144232</v>
      </c>
      <c r="X128" s="647">
        <v>12261219</v>
      </c>
      <c r="Y128" s="647">
        <v>12615281</v>
      </c>
      <c r="Z128" s="647">
        <v>13180597</v>
      </c>
      <c r="AA128" s="647">
        <v>13633502</v>
      </c>
      <c r="AB128" s="647">
        <v>13642910</v>
      </c>
      <c r="AC128" s="647">
        <v>14384273</v>
      </c>
      <c r="AD128" s="647">
        <v>14508402</v>
      </c>
      <c r="AE128" s="647">
        <v>14692718</v>
      </c>
      <c r="AF128" s="647">
        <v>14620825</v>
      </c>
      <c r="AG128" s="647">
        <v>15160980</v>
      </c>
      <c r="AH128" s="647">
        <v>15728332</v>
      </c>
      <c r="AI128" s="647">
        <v>15339964</v>
      </c>
      <c r="AJ128" s="647">
        <v>15556601</v>
      </c>
      <c r="AK128" s="647">
        <v>15848171</v>
      </c>
      <c r="AL128" s="647">
        <v>16287768</v>
      </c>
      <c r="AM128" s="647">
        <v>16521828</v>
      </c>
      <c r="AN128" s="647">
        <v>16281939</v>
      </c>
      <c r="AO128" s="647">
        <v>17038081</v>
      </c>
      <c r="AP128" s="647">
        <v>17369524</v>
      </c>
      <c r="AQ128" s="647">
        <v>17754418</v>
      </c>
      <c r="AR128" s="647">
        <v>17825302</v>
      </c>
      <c r="AS128" s="647">
        <v>18565009</v>
      </c>
      <c r="AT128" s="647">
        <v>19021171</v>
      </c>
    </row>
    <row r="129" spans="2:46" s="231" customFormat="1" ht="13.5" x14ac:dyDescent="0.4">
      <c r="B129" s="267"/>
      <c r="C129" s="230" t="s">
        <v>281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6">
        <v>0</v>
      </c>
      <c r="N129" s="636">
        <v>0</v>
      </c>
      <c r="O129" s="636">
        <v>0</v>
      </c>
      <c r="P129" s="636">
        <v>0</v>
      </c>
      <c r="Q129" s="636">
        <v>0</v>
      </c>
      <c r="R129" s="636">
        <v>0</v>
      </c>
      <c r="S129" s="636">
        <v>0</v>
      </c>
      <c r="T129" s="636">
        <v>0</v>
      </c>
      <c r="U129" s="636">
        <v>0</v>
      </c>
      <c r="V129" s="636">
        <v>0</v>
      </c>
      <c r="W129" s="636">
        <v>0</v>
      </c>
      <c r="X129" s="636">
        <v>0</v>
      </c>
      <c r="Y129" s="636">
        <v>0</v>
      </c>
      <c r="Z129" s="636">
        <v>0</v>
      </c>
      <c r="AA129" s="636">
        <v>0</v>
      </c>
      <c r="AB129" s="636">
        <v>0</v>
      </c>
      <c r="AC129" s="636">
        <v>0</v>
      </c>
      <c r="AD129" s="636">
        <v>0</v>
      </c>
      <c r="AE129" s="636">
        <v>0</v>
      </c>
      <c r="AF129" s="636">
        <v>0</v>
      </c>
      <c r="AG129" s="636">
        <v>0</v>
      </c>
      <c r="AH129" s="636">
        <v>0</v>
      </c>
      <c r="AI129" s="636">
        <v>0</v>
      </c>
      <c r="AJ129" s="636">
        <v>0</v>
      </c>
      <c r="AK129" s="636">
        <v>0</v>
      </c>
      <c r="AL129" s="636">
        <v>0</v>
      </c>
      <c r="AM129" s="636">
        <v>0</v>
      </c>
      <c r="AN129" s="636">
        <v>0</v>
      </c>
      <c r="AO129" s="636">
        <v>0</v>
      </c>
      <c r="AP129" s="636">
        <v>0</v>
      </c>
      <c r="AQ129" s="636">
        <v>0</v>
      </c>
      <c r="AR129" s="636">
        <v>0</v>
      </c>
      <c r="AS129" s="636">
        <v>0</v>
      </c>
      <c r="AT129" s="636">
        <v>0</v>
      </c>
    </row>
    <row r="130" spans="2:46" s="429" customFormat="1" ht="13.5" thickBot="1" x14ac:dyDescent="0.45">
      <c r="B130" s="580"/>
      <c r="C130" s="580"/>
      <c r="D130" s="649"/>
      <c r="E130" s="649"/>
      <c r="F130" s="649"/>
      <c r="G130" s="649"/>
      <c r="H130" s="649"/>
      <c r="I130" s="649"/>
      <c r="J130" s="649"/>
      <c r="K130" s="649"/>
      <c r="L130" s="649"/>
      <c r="M130" s="649"/>
      <c r="N130" s="649"/>
      <c r="O130" s="649"/>
      <c r="P130" s="649"/>
      <c r="Q130" s="649"/>
      <c r="R130" s="649"/>
      <c r="S130" s="649"/>
      <c r="T130" s="649"/>
      <c r="U130" s="649"/>
      <c r="V130" s="649"/>
      <c r="W130" s="649"/>
      <c r="X130" s="649"/>
      <c r="Y130" s="649"/>
      <c r="Z130" s="649"/>
      <c r="AA130" s="649"/>
      <c r="AB130" s="649"/>
      <c r="AC130" s="649"/>
      <c r="AD130" s="649"/>
      <c r="AE130" s="649"/>
      <c r="AF130" s="649"/>
      <c r="AG130" s="649"/>
      <c r="AH130" s="649"/>
      <c r="AI130" s="649"/>
      <c r="AJ130" s="649"/>
      <c r="AK130" s="649"/>
      <c r="AL130" s="675"/>
      <c r="AM130" s="678"/>
      <c r="AN130" s="649"/>
      <c r="AO130" s="649"/>
      <c r="AP130" s="649"/>
      <c r="AQ130" s="678"/>
      <c r="AR130" s="649"/>
      <c r="AS130" s="649"/>
      <c r="AT130" s="649"/>
    </row>
    <row r="131" spans="2:46" ht="13.5" thickTop="1" x14ac:dyDescent="0.4">
      <c r="AL131" s="630"/>
      <c r="AM131" s="679"/>
      <c r="AQ131" s="679"/>
    </row>
    <row r="132" spans="2:46" ht="13.5" x14ac:dyDescent="0.4">
      <c r="B132" s="253" t="s">
        <v>334</v>
      </c>
      <c r="AL132" s="630"/>
    </row>
    <row r="133" spans="2:46" ht="13.5" thickBot="1" x14ac:dyDescent="0.45">
      <c r="B133" s="268"/>
      <c r="C133" s="198"/>
      <c r="AB133" s="677">
        <v>15731814</v>
      </c>
      <c r="AF133" s="677">
        <v>17219456</v>
      </c>
      <c r="AH133" s="677">
        <v>18287223</v>
      </c>
      <c r="AI133" s="677">
        <v>0</v>
      </c>
      <c r="AJ133" s="677">
        <v>18561652</v>
      </c>
      <c r="AK133" s="677">
        <v>0</v>
      </c>
      <c r="AL133" s="677">
        <v>20122488</v>
      </c>
      <c r="AM133" s="677">
        <v>0</v>
      </c>
      <c r="AN133" s="677">
        <v>20550489</v>
      </c>
      <c r="AO133" s="677">
        <v>0</v>
      </c>
      <c r="AP133" s="677">
        <v>21282749</v>
      </c>
      <c r="AQ133" s="677">
        <v>0</v>
      </c>
      <c r="AR133" s="677">
        <v>21841527</v>
      </c>
      <c r="AS133" s="677">
        <v>0</v>
      </c>
      <c r="AT133" s="677">
        <v>23397250</v>
      </c>
    </row>
    <row r="134" spans="2:46" ht="13.5" x14ac:dyDescent="0.4">
      <c r="B134" s="269"/>
      <c r="C134" s="270" t="s">
        <v>789</v>
      </c>
      <c r="D134" s="680">
        <v>6838088</v>
      </c>
      <c r="E134" s="680">
        <v>0</v>
      </c>
      <c r="F134" s="680">
        <v>7707303</v>
      </c>
      <c r="G134" s="680">
        <v>0</v>
      </c>
      <c r="H134" s="680">
        <v>8029422</v>
      </c>
      <c r="I134" s="680">
        <v>0</v>
      </c>
      <c r="J134" s="680">
        <v>8763314</v>
      </c>
      <c r="K134" s="680">
        <v>0</v>
      </c>
      <c r="L134" s="680">
        <v>8920729</v>
      </c>
      <c r="M134" s="680">
        <v>0</v>
      </c>
      <c r="N134" s="680">
        <v>10333012</v>
      </c>
      <c r="O134" s="680">
        <v>0</v>
      </c>
      <c r="P134" s="680">
        <v>10858844</v>
      </c>
      <c r="Q134" s="680">
        <v>0</v>
      </c>
      <c r="R134" s="680">
        <v>12084333</v>
      </c>
      <c r="S134" s="680">
        <v>0</v>
      </c>
      <c r="T134" s="680">
        <v>12431871</v>
      </c>
      <c r="U134" s="680">
        <v>0</v>
      </c>
      <c r="V134" s="680">
        <v>13449234</v>
      </c>
      <c r="W134" s="680">
        <v>0</v>
      </c>
      <c r="X134" s="680">
        <v>13881755</v>
      </c>
      <c r="Y134" s="680">
        <v>0</v>
      </c>
      <c r="Z134" s="680">
        <v>15336626</v>
      </c>
      <c r="AA134" s="680">
        <v>0</v>
      </c>
      <c r="AB134" s="680">
        <v>15731814</v>
      </c>
      <c r="AC134" s="680">
        <v>0</v>
      </c>
      <c r="AD134" s="680">
        <v>16917260</v>
      </c>
      <c r="AE134" s="680">
        <v>0</v>
      </c>
      <c r="AF134" s="680">
        <v>17219456</v>
      </c>
      <c r="AG134" s="680">
        <v>0</v>
      </c>
      <c r="AH134" s="680">
        <v>18287223</v>
      </c>
      <c r="AI134" s="680">
        <v>0</v>
      </c>
      <c r="AJ134" s="680">
        <v>18561652</v>
      </c>
      <c r="AK134" s="680">
        <v>0</v>
      </c>
      <c r="AL134" s="680">
        <v>20122488</v>
      </c>
      <c r="AM134" s="680">
        <v>0</v>
      </c>
      <c r="AN134" s="680">
        <v>20550489</v>
      </c>
      <c r="AO134" s="680">
        <v>0</v>
      </c>
      <c r="AP134" s="680">
        <v>21282749</v>
      </c>
      <c r="AQ134" s="680">
        <v>0</v>
      </c>
      <c r="AR134" s="680">
        <v>21841527</v>
      </c>
      <c r="AS134" s="680">
        <v>0</v>
      </c>
      <c r="AT134" s="680">
        <v>23397250</v>
      </c>
    </row>
    <row r="135" spans="2:46" ht="13.5" x14ac:dyDescent="0.4">
      <c r="B135" s="269"/>
      <c r="C135" s="272" t="s">
        <v>790</v>
      </c>
      <c r="D135" s="681">
        <v>0</v>
      </c>
      <c r="E135" s="681">
        <v>0</v>
      </c>
      <c r="F135" s="681">
        <v>0</v>
      </c>
      <c r="G135" s="681">
        <v>0</v>
      </c>
      <c r="H135" s="681">
        <v>3761475</v>
      </c>
      <c r="I135" s="681">
        <v>0</v>
      </c>
      <c r="J135" s="681">
        <v>4088094</v>
      </c>
      <c r="K135" s="681">
        <v>0</v>
      </c>
      <c r="L135" s="681">
        <v>4162822</v>
      </c>
      <c r="M135" s="681">
        <v>0</v>
      </c>
      <c r="N135" s="681">
        <v>499948</v>
      </c>
      <c r="O135" s="681">
        <v>0</v>
      </c>
      <c r="P135" s="681">
        <v>5139158</v>
      </c>
      <c r="Q135" s="681">
        <v>0</v>
      </c>
      <c r="R135" s="681">
        <v>5847692</v>
      </c>
      <c r="S135" s="681">
        <v>0</v>
      </c>
      <c r="T135" s="681">
        <v>6031236</v>
      </c>
      <c r="U135" s="681">
        <v>0</v>
      </c>
      <c r="V135" s="681">
        <v>6681884</v>
      </c>
      <c r="W135" s="681">
        <v>0</v>
      </c>
      <c r="X135" s="681">
        <v>6898354</v>
      </c>
      <c r="Y135" s="681">
        <v>0</v>
      </c>
      <c r="Z135" s="681">
        <v>7578792</v>
      </c>
      <c r="AA135" s="681">
        <v>0</v>
      </c>
      <c r="AB135" s="681">
        <v>8386531</v>
      </c>
      <c r="AC135" s="681">
        <v>0</v>
      </c>
      <c r="AD135" s="681">
        <v>8718501</v>
      </c>
      <c r="AE135" s="681">
        <v>0</v>
      </c>
      <c r="AF135" s="681">
        <v>9457500</v>
      </c>
      <c r="AG135" s="681">
        <v>0</v>
      </c>
      <c r="AH135" s="681">
        <v>10349467</v>
      </c>
      <c r="AI135" s="681">
        <v>0</v>
      </c>
      <c r="AJ135" s="681">
        <v>10599094</v>
      </c>
      <c r="AK135" s="681">
        <v>0</v>
      </c>
      <c r="AL135" s="681">
        <v>11334692</v>
      </c>
      <c r="AM135" s="681">
        <v>0</v>
      </c>
      <c r="AN135" s="681">
        <v>11607327</v>
      </c>
      <c r="AO135" s="681">
        <v>0</v>
      </c>
      <c r="AP135" s="681">
        <v>12286073</v>
      </c>
      <c r="AQ135" s="681">
        <v>0</v>
      </c>
      <c r="AR135" s="681">
        <v>12658686</v>
      </c>
      <c r="AS135" s="681">
        <v>0</v>
      </c>
      <c r="AT135" s="681">
        <v>13585552</v>
      </c>
    </row>
    <row r="136" spans="2:46" ht="13.5" x14ac:dyDescent="0.4">
      <c r="B136" s="269"/>
      <c r="C136" s="274" t="s">
        <v>791</v>
      </c>
      <c r="D136" s="664">
        <v>0</v>
      </c>
      <c r="E136" s="664">
        <v>0</v>
      </c>
      <c r="F136" s="664">
        <v>0</v>
      </c>
      <c r="G136" s="664">
        <v>0</v>
      </c>
      <c r="H136" s="664">
        <v>3097341</v>
      </c>
      <c r="I136" s="664">
        <v>0</v>
      </c>
      <c r="J136" s="664">
        <v>3308457</v>
      </c>
      <c r="K136" s="664">
        <v>0</v>
      </c>
      <c r="L136" s="664">
        <v>3366059</v>
      </c>
      <c r="M136" s="664">
        <v>0</v>
      </c>
      <c r="N136" s="664">
        <v>499948</v>
      </c>
      <c r="O136" s="664">
        <v>0</v>
      </c>
      <c r="P136" s="664">
        <v>4155955</v>
      </c>
      <c r="Q136" s="664">
        <v>0</v>
      </c>
      <c r="R136" s="664">
        <v>4498070</v>
      </c>
      <c r="S136" s="664">
        <v>0</v>
      </c>
      <c r="T136" s="664">
        <v>4578527</v>
      </c>
      <c r="U136" s="664">
        <v>0</v>
      </c>
      <c r="V136" s="664">
        <v>4951865</v>
      </c>
      <c r="W136" s="664">
        <v>0</v>
      </c>
      <c r="X136" s="664">
        <v>5074962</v>
      </c>
      <c r="Y136" s="664">
        <v>0</v>
      </c>
      <c r="Z136" s="664">
        <v>5538831</v>
      </c>
      <c r="AA136" s="664">
        <v>0</v>
      </c>
      <c r="AB136" s="664">
        <v>5810519</v>
      </c>
      <c r="AC136" s="664">
        <v>0</v>
      </c>
      <c r="AD136" s="664">
        <v>6320910</v>
      </c>
      <c r="AE136" s="664">
        <v>0</v>
      </c>
      <c r="AF136" s="664">
        <v>6387662</v>
      </c>
      <c r="AG136" s="664">
        <v>0</v>
      </c>
      <c r="AH136" s="664">
        <v>6826231</v>
      </c>
      <c r="AI136" s="664">
        <v>0</v>
      </c>
      <c r="AJ136" s="664">
        <v>6971907</v>
      </c>
      <c r="AK136" s="664">
        <v>0</v>
      </c>
      <c r="AL136" s="664">
        <v>7403438</v>
      </c>
      <c r="AM136" s="664">
        <v>0</v>
      </c>
      <c r="AN136" s="664">
        <v>7492686</v>
      </c>
      <c r="AO136" s="664">
        <v>0</v>
      </c>
      <c r="AP136" s="664">
        <v>7718727</v>
      </c>
      <c r="AQ136" s="664">
        <v>0</v>
      </c>
      <c r="AR136" s="664">
        <v>7755028</v>
      </c>
      <c r="AS136" s="664">
        <v>0</v>
      </c>
      <c r="AT136" s="664">
        <v>7964919</v>
      </c>
    </row>
    <row r="137" spans="2:46" ht="13.5" x14ac:dyDescent="0.4">
      <c r="B137" s="269"/>
      <c r="C137" s="274" t="s">
        <v>792</v>
      </c>
      <c r="D137" s="641">
        <v>0</v>
      </c>
      <c r="E137" s="641">
        <v>0</v>
      </c>
      <c r="F137" s="641">
        <v>0</v>
      </c>
      <c r="G137" s="641">
        <v>0</v>
      </c>
      <c r="H137" s="641">
        <v>2743088</v>
      </c>
      <c r="I137" s="641">
        <v>0</v>
      </c>
      <c r="J137" s="641">
        <v>3094302</v>
      </c>
      <c r="K137" s="641">
        <v>0</v>
      </c>
      <c r="L137" s="641">
        <v>3135615</v>
      </c>
      <c r="M137" s="641">
        <v>0</v>
      </c>
      <c r="N137" s="641">
        <v>0</v>
      </c>
      <c r="O137" s="641">
        <v>0</v>
      </c>
      <c r="P137" s="641">
        <v>3698346</v>
      </c>
      <c r="Q137" s="641">
        <v>0</v>
      </c>
      <c r="R137" s="641">
        <v>4250234</v>
      </c>
      <c r="S137" s="641">
        <v>0</v>
      </c>
      <c r="T137" s="641">
        <v>4377715</v>
      </c>
      <c r="U137" s="641">
        <v>0</v>
      </c>
      <c r="V137" s="641">
        <v>4844073</v>
      </c>
      <c r="W137" s="641">
        <v>0</v>
      </c>
      <c r="X137" s="641">
        <v>4964056</v>
      </c>
      <c r="Y137" s="641">
        <v>0</v>
      </c>
      <c r="Z137" s="641">
        <v>5380460</v>
      </c>
      <c r="AA137" s="641">
        <v>0</v>
      </c>
      <c r="AB137" s="641">
        <v>5618165</v>
      </c>
      <c r="AC137" s="641">
        <v>0</v>
      </c>
      <c r="AD137" s="641">
        <v>6138785</v>
      </c>
      <c r="AE137" s="641">
        <v>0</v>
      </c>
      <c r="AF137" s="641">
        <v>6216071</v>
      </c>
      <c r="AG137" s="641">
        <v>0</v>
      </c>
      <c r="AH137" s="641">
        <v>6685215</v>
      </c>
      <c r="AI137" s="641">
        <v>0</v>
      </c>
      <c r="AJ137" s="641">
        <v>6750524</v>
      </c>
      <c r="AK137" s="641">
        <v>0</v>
      </c>
      <c r="AL137" s="641">
        <v>7029913</v>
      </c>
      <c r="AM137" s="641">
        <v>0</v>
      </c>
      <c r="AN137" s="641">
        <v>7060495</v>
      </c>
      <c r="AO137" s="641">
        <v>0</v>
      </c>
      <c r="AP137" s="641">
        <v>7149759</v>
      </c>
      <c r="AQ137" s="641">
        <v>0</v>
      </c>
      <c r="AR137" s="641">
        <v>7077009</v>
      </c>
      <c r="AS137" s="641">
        <v>0</v>
      </c>
      <c r="AT137" s="641">
        <v>7464190</v>
      </c>
    </row>
    <row r="138" spans="2:46" ht="13.5" x14ac:dyDescent="0.4">
      <c r="B138" s="269"/>
      <c r="C138" s="274" t="s">
        <v>793</v>
      </c>
      <c r="D138" s="641">
        <v>0</v>
      </c>
      <c r="E138" s="641">
        <v>0</v>
      </c>
      <c r="F138" s="641">
        <v>0</v>
      </c>
      <c r="G138" s="641">
        <v>0</v>
      </c>
      <c r="H138" s="641">
        <v>354253</v>
      </c>
      <c r="I138" s="641">
        <v>0</v>
      </c>
      <c r="J138" s="641">
        <v>214155</v>
      </c>
      <c r="K138" s="641">
        <v>0</v>
      </c>
      <c r="L138" s="641">
        <v>230444</v>
      </c>
      <c r="M138" s="641">
        <v>0</v>
      </c>
      <c r="N138" s="641">
        <v>499948</v>
      </c>
      <c r="O138" s="641">
        <v>0</v>
      </c>
      <c r="P138" s="641">
        <v>457609</v>
      </c>
      <c r="Q138" s="641">
        <v>0</v>
      </c>
      <c r="R138" s="641">
        <v>247836</v>
      </c>
      <c r="S138" s="641">
        <v>0</v>
      </c>
      <c r="T138" s="641">
        <v>200812</v>
      </c>
      <c r="U138" s="641">
        <v>0</v>
      </c>
      <c r="V138" s="641">
        <v>107792</v>
      </c>
      <c r="W138" s="641">
        <v>0</v>
      </c>
      <c r="X138" s="641">
        <v>110906</v>
      </c>
      <c r="Y138" s="641">
        <v>0</v>
      </c>
      <c r="Z138" s="641">
        <v>158371</v>
      </c>
      <c r="AA138" s="641">
        <v>0</v>
      </c>
      <c r="AB138" s="641">
        <v>192354</v>
      </c>
      <c r="AC138" s="641">
        <v>0</v>
      </c>
      <c r="AD138" s="641">
        <v>182125</v>
      </c>
      <c r="AE138" s="641">
        <v>0</v>
      </c>
      <c r="AF138" s="641">
        <v>171591</v>
      </c>
      <c r="AG138" s="641">
        <v>0</v>
      </c>
      <c r="AH138" s="641">
        <v>141016</v>
      </c>
      <c r="AI138" s="641">
        <v>0</v>
      </c>
      <c r="AJ138" s="641">
        <v>221383</v>
      </c>
      <c r="AK138" s="641">
        <v>0</v>
      </c>
      <c r="AL138" s="641">
        <v>373525</v>
      </c>
      <c r="AM138" s="641">
        <v>0</v>
      </c>
      <c r="AN138" s="641">
        <v>432191</v>
      </c>
      <c r="AO138" s="641">
        <v>0</v>
      </c>
      <c r="AP138" s="641">
        <v>568968</v>
      </c>
      <c r="AQ138" s="641">
        <v>0</v>
      </c>
      <c r="AR138" s="641">
        <v>678019</v>
      </c>
      <c r="AS138" s="641">
        <v>0</v>
      </c>
      <c r="AT138" s="641">
        <v>500729</v>
      </c>
    </row>
    <row r="139" spans="2:46" ht="13.5" x14ac:dyDescent="0.4">
      <c r="B139" s="269"/>
      <c r="C139" s="275" t="s">
        <v>794</v>
      </c>
      <c r="D139" s="642">
        <v>0</v>
      </c>
      <c r="E139" s="642">
        <v>0</v>
      </c>
      <c r="F139" s="642">
        <v>0</v>
      </c>
      <c r="G139" s="642">
        <v>0</v>
      </c>
      <c r="H139" s="642">
        <v>664134</v>
      </c>
      <c r="I139" s="642">
        <v>0</v>
      </c>
      <c r="J139" s="642">
        <v>779637</v>
      </c>
      <c r="K139" s="642">
        <v>0</v>
      </c>
      <c r="L139" s="642">
        <v>796763</v>
      </c>
      <c r="M139" s="642">
        <v>0</v>
      </c>
      <c r="N139" s="642">
        <v>0</v>
      </c>
      <c r="O139" s="642">
        <v>0</v>
      </c>
      <c r="P139" s="642">
        <v>983203</v>
      </c>
      <c r="Q139" s="642">
        <v>0</v>
      </c>
      <c r="R139" s="642">
        <v>1349622</v>
      </c>
      <c r="S139" s="642">
        <v>0</v>
      </c>
      <c r="T139" s="642">
        <v>1452709</v>
      </c>
      <c r="U139" s="642">
        <v>0</v>
      </c>
      <c r="V139" s="642">
        <v>1730019</v>
      </c>
      <c r="W139" s="642">
        <v>0</v>
      </c>
      <c r="X139" s="642">
        <v>1823392</v>
      </c>
      <c r="Y139" s="642">
        <v>0</v>
      </c>
      <c r="Z139" s="642">
        <v>2039961</v>
      </c>
      <c r="AA139" s="642">
        <v>0</v>
      </c>
      <c r="AB139" s="642">
        <v>2099358</v>
      </c>
      <c r="AC139" s="642">
        <v>0</v>
      </c>
      <c r="AD139" s="642">
        <v>2397591</v>
      </c>
      <c r="AE139" s="642">
        <v>0</v>
      </c>
      <c r="AF139" s="642">
        <v>2509792</v>
      </c>
      <c r="AG139" s="642">
        <v>0</v>
      </c>
      <c r="AH139" s="642">
        <v>2791921</v>
      </c>
      <c r="AI139" s="642">
        <v>0</v>
      </c>
      <c r="AJ139" s="642">
        <v>2873029</v>
      </c>
      <c r="AK139" s="642">
        <v>0</v>
      </c>
      <c r="AL139" s="642">
        <v>3113081</v>
      </c>
      <c r="AM139" s="642">
        <v>0</v>
      </c>
      <c r="AN139" s="642">
        <v>3228124</v>
      </c>
      <c r="AO139" s="642">
        <v>0</v>
      </c>
      <c r="AP139" s="642">
        <v>3625869</v>
      </c>
      <c r="AQ139" s="642">
        <v>0</v>
      </c>
      <c r="AR139" s="642">
        <v>3786442</v>
      </c>
      <c r="AS139" s="642">
        <v>0</v>
      </c>
      <c r="AT139" s="642">
        <v>4313598</v>
      </c>
    </row>
    <row r="140" spans="2:46" ht="13.5" x14ac:dyDescent="0.4">
      <c r="B140" s="269"/>
      <c r="C140" s="276" t="s">
        <v>795</v>
      </c>
      <c r="D140" s="1038"/>
      <c r="E140" s="1038"/>
      <c r="F140" s="1038"/>
      <c r="G140" s="1038"/>
      <c r="H140" s="1038"/>
      <c r="I140" s="1038"/>
      <c r="J140" s="1038"/>
      <c r="K140" s="1038"/>
      <c r="L140" s="1038"/>
      <c r="M140" s="1038"/>
      <c r="N140" s="1038"/>
      <c r="O140" s="1038"/>
      <c r="P140" s="1038"/>
      <c r="Q140" s="1038"/>
      <c r="R140" s="1038"/>
      <c r="S140" s="1038"/>
      <c r="T140" s="1038"/>
      <c r="U140" s="1038"/>
      <c r="V140" s="1038"/>
      <c r="W140" s="1038"/>
      <c r="X140" s="1038"/>
      <c r="Y140" s="1038"/>
      <c r="Z140" s="1038"/>
      <c r="AA140" s="1038"/>
      <c r="AB140" s="1038">
        <v>3839494.9999999995</v>
      </c>
      <c r="AC140" s="1038"/>
      <c r="AD140" s="1038"/>
      <c r="AE140" s="1038"/>
      <c r="AF140" s="1038">
        <v>3969162.0000000005</v>
      </c>
      <c r="AG140" s="1038"/>
      <c r="AH140" s="1038">
        <v>4006223.0000000005</v>
      </c>
      <c r="AI140" s="1038"/>
      <c r="AJ140" s="1038">
        <v>4047961</v>
      </c>
      <c r="AK140" s="1038"/>
      <c r="AL140" s="1038">
        <v>4169349</v>
      </c>
      <c r="AM140" s="1038"/>
      <c r="AN140" s="1038">
        <v>4333202</v>
      </c>
      <c r="AO140" s="1038"/>
      <c r="AP140" s="1038">
        <v>4781923</v>
      </c>
      <c r="AQ140" s="1038"/>
      <c r="AR140" s="1038">
        <v>4855583</v>
      </c>
      <c r="AS140" s="1038"/>
      <c r="AT140" s="1038">
        <v>5113807</v>
      </c>
    </row>
    <row r="141" spans="2:46" ht="13.5" x14ac:dyDescent="0.4">
      <c r="B141" s="269"/>
      <c r="C141" s="274" t="s">
        <v>796</v>
      </c>
      <c r="D141" s="651"/>
      <c r="E141" s="651"/>
      <c r="F141" s="651"/>
      <c r="G141" s="651"/>
      <c r="H141" s="651"/>
      <c r="I141" s="651"/>
      <c r="J141" s="651"/>
      <c r="K141" s="651"/>
      <c r="L141" s="651"/>
      <c r="M141" s="651"/>
      <c r="N141" s="651"/>
      <c r="O141" s="651"/>
      <c r="P141" s="651"/>
      <c r="Q141" s="651"/>
      <c r="R141" s="651"/>
      <c r="S141" s="651"/>
      <c r="T141" s="651"/>
      <c r="U141" s="651"/>
      <c r="V141" s="651"/>
      <c r="W141" s="651"/>
      <c r="X141" s="651"/>
      <c r="Y141" s="651"/>
      <c r="Z141" s="651"/>
      <c r="AA141" s="651"/>
      <c r="AB141" s="651"/>
      <c r="AC141" s="651"/>
      <c r="AD141" s="651"/>
      <c r="AE141" s="651"/>
      <c r="AF141" s="651"/>
      <c r="AG141" s="651"/>
      <c r="AH141" s="651"/>
      <c r="AI141" s="651"/>
      <c r="AJ141" s="651"/>
      <c r="AK141" s="651"/>
      <c r="AL141" s="651"/>
      <c r="AM141" s="651"/>
      <c r="AN141" s="651"/>
      <c r="AO141" s="651"/>
      <c r="AP141" s="651"/>
      <c r="AQ141" s="651"/>
      <c r="AR141" s="651"/>
      <c r="AS141" s="651"/>
      <c r="AT141" s="651"/>
    </row>
    <row r="142" spans="2:46" ht="13.5" x14ac:dyDescent="0.4">
      <c r="B142" s="269"/>
      <c r="C142" s="274" t="s">
        <v>797</v>
      </c>
      <c r="D142" s="651"/>
      <c r="E142" s="651"/>
      <c r="F142" s="651"/>
      <c r="G142" s="651"/>
      <c r="H142" s="651"/>
      <c r="I142" s="651"/>
      <c r="J142" s="651"/>
      <c r="K142" s="651"/>
      <c r="L142" s="651"/>
      <c r="M142" s="651"/>
      <c r="N142" s="651"/>
      <c r="O142" s="651"/>
      <c r="P142" s="651"/>
      <c r="Q142" s="651"/>
      <c r="R142" s="651"/>
      <c r="S142" s="651"/>
      <c r="T142" s="651"/>
      <c r="U142" s="651"/>
      <c r="V142" s="651"/>
      <c r="W142" s="651"/>
      <c r="X142" s="651"/>
      <c r="Y142" s="651"/>
      <c r="Z142" s="651"/>
      <c r="AA142" s="651"/>
      <c r="AB142" s="651"/>
      <c r="AC142" s="651"/>
      <c r="AD142" s="651"/>
      <c r="AE142" s="651"/>
      <c r="AF142" s="651"/>
      <c r="AG142" s="651"/>
      <c r="AH142" s="651"/>
      <c r="AI142" s="651"/>
      <c r="AJ142" s="651"/>
      <c r="AK142" s="651"/>
      <c r="AL142" s="651"/>
      <c r="AM142" s="651"/>
      <c r="AN142" s="651"/>
      <c r="AO142" s="651"/>
      <c r="AP142" s="651"/>
      <c r="AQ142" s="651"/>
      <c r="AR142" s="651"/>
      <c r="AS142" s="651"/>
      <c r="AT142" s="651"/>
    </row>
    <row r="143" spans="2:46" ht="13.5" x14ac:dyDescent="0.4">
      <c r="B143" s="269"/>
      <c r="C143" s="278" t="s">
        <v>798</v>
      </c>
      <c r="D143" s="651"/>
      <c r="E143" s="651"/>
      <c r="F143" s="651"/>
      <c r="G143" s="651"/>
      <c r="H143" s="651"/>
      <c r="I143" s="651"/>
      <c r="J143" s="651"/>
      <c r="K143" s="651"/>
      <c r="L143" s="651"/>
      <c r="M143" s="651"/>
      <c r="N143" s="651"/>
      <c r="O143" s="651"/>
      <c r="P143" s="651"/>
      <c r="Q143" s="651"/>
      <c r="R143" s="651"/>
      <c r="S143" s="651"/>
      <c r="T143" s="651"/>
      <c r="U143" s="651"/>
      <c r="V143" s="651"/>
      <c r="W143" s="651"/>
      <c r="X143" s="651"/>
      <c r="Y143" s="651"/>
      <c r="Z143" s="651"/>
      <c r="AA143" s="651"/>
      <c r="AB143" s="651"/>
      <c r="AC143" s="651"/>
      <c r="AD143" s="651"/>
      <c r="AE143" s="651"/>
      <c r="AF143" s="651"/>
      <c r="AG143" s="651"/>
      <c r="AH143" s="651"/>
      <c r="AI143" s="651"/>
      <c r="AJ143" s="651"/>
      <c r="AK143" s="651"/>
      <c r="AL143" s="651"/>
      <c r="AM143" s="651"/>
      <c r="AN143" s="651"/>
      <c r="AO143" s="651"/>
      <c r="AP143" s="651"/>
      <c r="AQ143" s="651"/>
      <c r="AR143" s="651"/>
      <c r="AS143" s="651"/>
      <c r="AT143" s="651"/>
    </row>
    <row r="144" spans="2:46" ht="13.5" x14ac:dyDescent="0.4">
      <c r="B144" s="269"/>
      <c r="C144" s="275" t="s">
        <v>799</v>
      </c>
      <c r="D144" s="682"/>
      <c r="E144" s="682"/>
      <c r="F144" s="682"/>
      <c r="G144" s="682"/>
      <c r="H144" s="682"/>
      <c r="I144" s="682"/>
      <c r="J144" s="682"/>
      <c r="K144" s="682"/>
      <c r="L144" s="682"/>
      <c r="M144" s="682"/>
      <c r="N144" s="682"/>
      <c r="O144" s="682"/>
      <c r="P144" s="682"/>
      <c r="Q144" s="682"/>
      <c r="R144" s="682"/>
      <c r="S144" s="682"/>
      <c r="T144" s="682"/>
      <c r="U144" s="682"/>
      <c r="V144" s="682"/>
      <c r="W144" s="682"/>
      <c r="X144" s="682"/>
      <c r="Y144" s="682"/>
      <c r="Z144" s="682"/>
      <c r="AA144" s="682"/>
      <c r="AB144" s="682"/>
      <c r="AC144" s="682"/>
      <c r="AD144" s="682"/>
      <c r="AE144" s="682"/>
      <c r="AF144" s="682"/>
      <c r="AG144" s="682"/>
      <c r="AH144" s="682"/>
      <c r="AI144" s="682"/>
      <c r="AJ144" s="682"/>
      <c r="AK144" s="682"/>
      <c r="AL144" s="682"/>
      <c r="AM144" s="682"/>
      <c r="AN144" s="682"/>
      <c r="AO144" s="682"/>
      <c r="AP144" s="682"/>
      <c r="AQ144" s="682"/>
      <c r="AR144" s="682"/>
      <c r="AS144" s="682"/>
      <c r="AT144" s="682"/>
    </row>
    <row r="145" spans="2:46" ht="13.5" x14ac:dyDescent="0.4">
      <c r="B145" s="269"/>
      <c r="C145" s="276" t="s">
        <v>800</v>
      </c>
      <c r="D145" s="1039"/>
      <c r="E145" s="1039"/>
      <c r="F145" s="1039"/>
      <c r="G145" s="1039"/>
      <c r="H145" s="1039"/>
      <c r="I145" s="1039"/>
      <c r="J145" s="1039"/>
      <c r="K145" s="1039"/>
      <c r="L145" s="1039"/>
      <c r="M145" s="1039"/>
      <c r="N145" s="1039"/>
      <c r="O145" s="1039"/>
      <c r="P145" s="1039"/>
      <c r="Q145" s="1039"/>
      <c r="R145" s="1039"/>
      <c r="S145" s="1039"/>
      <c r="T145" s="1039"/>
      <c r="U145" s="1039"/>
      <c r="V145" s="1039"/>
      <c r="W145" s="1039"/>
      <c r="X145" s="1039"/>
      <c r="Y145" s="1039"/>
      <c r="Z145" s="1039"/>
      <c r="AA145" s="1039"/>
      <c r="AB145" s="1039">
        <v>2652396</v>
      </c>
      <c r="AC145" s="1039"/>
      <c r="AD145" s="1039"/>
      <c r="AE145" s="1039"/>
      <c r="AF145" s="1039">
        <v>2883971</v>
      </c>
      <c r="AG145" s="1039"/>
      <c r="AH145" s="1039">
        <v>3046399</v>
      </c>
      <c r="AI145" s="1039"/>
      <c r="AJ145" s="1039">
        <v>3087982</v>
      </c>
      <c r="AK145" s="1039"/>
      <c r="AL145" s="1039">
        <v>3302124</v>
      </c>
      <c r="AM145" s="1039"/>
      <c r="AN145" s="1039">
        <v>3161562</v>
      </c>
      <c r="AO145" s="1039"/>
      <c r="AP145" s="1039">
        <v>2831848</v>
      </c>
      <c r="AQ145" s="1039"/>
      <c r="AR145" s="1039">
        <v>2915005</v>
      </c>
      <c r="AS145" s="1039"/>
      <c r="AT145" s="1039">
        <v>3049809</v>
      </c>
    </row>
    <row r="146" spans="2:46" ht="13.5" x14ac:dyDescent="0.4">
      <c r="B146" s="269"/>
      <c r="C146" s="272" t="s">
        <v>801</v>
      </c>
      <c r="D146" s="1040"/>
      <c r="E146" s="1040"/>
      <c r="F146" s="1040"/>
      <c r="G146" s="1040"/>
      <c r="H146" s="1038"/>
      <c r="I146" s="1038"/>
      <c r="J146" s="1038"/>
      <c r="K146" s="1038"/>
      <c r="L146" s="1038"/>
      <c r="M146" s="1038"/>
      <c r="N146" s="1038"/>
      <c r="O146" s="1038"/>
      <c r="P146" s="1038"/>
      <c r="Q146" s="1038"/>
      <c r="R146" s="1038"/>
      <c r="S146" s="1038"/>
      <c r="T146" s="1038"/>
      <c r="U146" s="1038"/>
      <c r="V146" s="1038"/>
      <c r="W146" s="1038"/>
      <c r="X146" s="1038"/>
      <c r="Y146" s="1038"/>
      <c r="Z146" s="1038"/>
      <c r="AA146" s="1038"/>
      <c r="AB146" s="1038">
        <v>853392</v>
      </c>
      <c r="AC146" s="1038"/>
      <c r="AD146" s="1038"/>
      <c r="AE146" s="1038"/>
      <c r="AF146" s="1038">
        <v>908823</v>
      </c>
      <c r="AG146" s="1038"/>
      <c r="AH146" s="1038">
        <v>885134</v>
      </c>
      <c r="AI146" s="1038"/>
      <c r="AJ146" s="1038">
        <v>826615</v>
      </c>
      <c r="AK146" s="1038"/>
      <c r="AL146" s="1038">
        <v>1316323</v>
      </c>
      <c r="AM146" s="1038"/>
      <c r="AN146" s="1038">
        <v>1448398</v>
      </c>
      <c r="AO146" s="1038"/>
      <c r="AP146" s="1038">
        <v>1382905</v>
      </c>
      <c r="AQ146" s="1038"/>
      <c r="AR146" s="1038">
        <v>1412253</v>
      </c>
      <c r="AS146" s="1038"/>
      <c r="AT146" s="1038">
        <v>1648082</v>
      </c>
    </row>
    <row r="147" spans="2:46" ht="13.5" x14ac:dyDescent="0.4">
      <c r="B147" s="269"/>
      <c r="C147" s="274" t="s">
        <v>802</v>
      </c>
      <c r="D147" s="684"/>
      <c r="E147" s="684"/>
      <c r="F147" s="684"/>
      <c r="G147" s="684"/>
      <c r="H147" s="684"/>
      <c r="I147" s="684"/>
      <c r="J147" s="684"/>
      <c r="K147" s="684"/>
      <c r="L147" s="684"/>
      <c r="M147" s="684"/>
      <c r="N147" s="684"/>
      <c r="O147" s="684"/>
      <c r="P147" s="684"/>
      <c r="Q147" s="684"/>
      <c r="R147" s="684"/>
      <c r="S147" s="684"/>
      <c r="T147" s="684"/>
      <c r="U147" s="684"/>
      <c r="V147" s="684"/>
      <c r="W147" s="684"/>
      <c r="X147" s="684"/>
      <c r="Y147" s="684"/>
      <c r="Z147" s="684"/>
      <c r="AA147" s="684"/>
      <c r="AB147" s="684"/>
      <c r="AC147" s="684"/>
      <c r="AD147" s="684"/>
      <c r="AE147" s="684"/>
      <c r="AF147" s="684"/>
      <c r="AG147" s="684"/>
      <c r="AH147" s="684"/>
      <c r="AI147" s="684"/>
      <c r="AJ147" s="684"/>
      <c r="AK147" s="684"/>
      <c r="AL147" s="684"/>
      <c r="AM147" s="684"/>
      <c r="AN147" s="684"/>
      <c r="AO147" s="684"/>
      <c r="AP147" s="684"/>
      <c r="AQ147" s="684"/>
      <c r="AR147" s="684"/>
      <c r="AS147" s="684"/>
      <c r="AT147" s="684"/>
    </row>
    <row r="148" spans="2:46" ht="13.5" x14ac:dyDescent="0.4">
      <c r="B148" s="269"/>
      <c r="C148" s="274" t="s">
        <v>803</v>
      </c>
      <c r="D148" s="651"/>
      <c r="E148" s="651"/>
      <c r="F148" s="651"/>
      <c r="G148" s="651"/>
      <c r="H148" s="651"/>
      <c r="I148" s="651"/>
      <c r="J148" s="651"/>
      <c r="K148" s="651"/>
      <c r="L148" s="651"/>
      <c r="M148" s="651"/>
      <c r="N148" s="651"/>
      <c r="O148" s="651"/>
      <c r="P148" s="651"/>
      <c r="Q148" s="651"/>
      <c r="R148" s="651"/>
      <c r="S148" s="651"/>
      <c r="T148" s="651"/>
      <c r="U148" s="651"/>
      <c r="V148" s="651"/>
      <c r="W148" s="651"/>
      <c r="X148" s="651"/>
      <c r="Y148" s="651"/>
      <c r="Z148" s="651"/>
      <c r="AA148" s="651"/>
      <c r="AB148" s="651"/>
      <c r="AC148" s="651"/>
      <c r="AD148" s="651"/>
      <c r="AE148" s="651"/>
      <c r="AF148" s="651"/>
      <c r="AG148" s="651"/>
      <c r="AH148" s="651"/>
      <c r="AI148" s="651"/>
      <c r="AJ148" s="651"/>
      <c r="AK148" s="651"/>
      <c r="AL148" s="651"/>
      <c r="AM148" s="651"/>
      <c r="AN148" s="651"/>
      <c r="AO148" s="651"/>
      <c r="AP148" s="651"/>
      <c r="AQ148" s="651"/>
      <c r="AR148" s="651"/>
      <c r="AS148" s="651"/>
      <c r="AT148" s="651"/>
    </row>
    <row r="149" spans="2:46" ht="13.5" x14ac:dyDescent="0.4">
      <c r="B149" s="269"/>
      <c r="C149" s="275" t="s">
        <v>804</v>
      </c>
      <c r="D149" s="661"/>
      <c r="E149" s="661"/>
      <c r="F149" s="661"/>
      <c r="G149" s="661"/>
      <c r="H149" s="661"/>
      <c r="I149" s="661"/>
      <c r="J149" s="661"/>
      <c r="K149" s="661"/>
      <c r="L149" s="661"/>
      <c r="M149" s="661"/>
      <c r="N149" s="661"/>
      <c r="O149" s="661"/>
      <c r="P149" s="661"/>
      <c r="Q149" s="661"/>
      <c r="R149" s="661"/>
      <c r="S149" s="661"/>
      <c r="T149" s="661"/>
      <c r="U149" s="661"/>
      <c r="V149" s="661"/>
      <c r="W149" s="661"/>
      <c r="X149" s="661"/>
      <c r="Y149" s="661"/>
      <c r="Z149" s="661"/>
      <c r="AA149" s="661"/>
      <c r="AB149" s="661"/>
      <c r="AC149" s="661"/>
      <c r="AD149" s="661"/>
      <c r="AE149" s="661"/>
      <c r="AF149" s="661"/>
      <c r="AG149" s="661"/>
      <c r="AH149" s="661"/>
      <c r="AI149" s="661"/>
      <c r="AJ149" s="661"/>
      <c r="AK149" s="661"/>
      <c r="AL149" s="661"/>
      <c r="AM149" s="661"/>
      <c r="AN149" s="661"/>
      <c r="AO149" s="661"/>
      <c r="AP149" s="661"/>
      <c r="AQ149" s="661"/>
      <c r="AR149" s="661"/>
      <c r="AS149" s="661"/>
      <c r="AT149" s="661"/>
    </row>
    <row r="150" spans="2:46" ht="13.9" thickBot="1" x14ac:dyDescent="0.45">
      <c r="B150" s="269"/>
      <c r="C150" s="280" t="s">
        <v>805</v>
      </c>
      <c r="D150" s="685"/>
      <c r="E150" s="685"/>
      <c r="F150" s="685"/>
      <c r="G150" s="685"/>
      <c r="H150" s="685"/>
      <c r="I150" s="685"/>
      <c r="J150" s="685"/>
      <c r="K150" s="685"/>
      <c r="L150" s="685"/>
      <c r="M150" s="685"/>
      <c r="N150" s="685"/>
      <c r="O150" s="685"/>
      <c r="P150" s="685"/>
      <c r="Q150" s="685"/>
      <c r="R150" s="685"/>
      <c r="S150" s="685"/>
      <c r="T150" s="685"/>
      <c r="U150" s="685"/>
      <c r="V150" s="685"/>
      <c r="W150" s="685"/>
      <c r="X150" s="685"/>
      <c r="Y150" s="685"/>
      <c r="Z150" s="685"/>
      <c r="AA150" s="685"/>
      <c r="AB150" s="685"/>
      <c r="AC150" s="685"/>
      <c r="AD150" s="685"/>
      <c r="AE150" s="685"/>
      <c r="AF150" s="685"/>
      <c r="AG150" s="685"/>
      <c r="AH150" s="685"/>
      <c r="AI150" s="685"/>
      <c r="AJ150" s="685"/>
      <c r="AK150" s="685"/>
      <c r="AL150" s="685"/>
      <c r="AM150" s="685"/>
      <c r="AN150" s="685"/>
      <c r="AO150" s="685"/>
      <c r="AP150" s="685"/>
      <c r="AQ150" s="685"/>
      <c r="AR150" s="685"/>
      <c r="AS150" s="685"/>
      <c r="AT150" s="685"/>
    </row>
    <row r="151" spans="2:46" x14ac:dyDescent="0.4">
      <c r="B151" s="268"/>
      <c r="C151" s="263"/>
      <c r="AR151" s="630"/>
    </row>
    <row r="152" spans="2:46" ht="13.5" thickBot="1" x14ac:dyDescent="0.45">
      <c r="B152" s="278"/>
      <c r="C152" s="281"/>
      <c r="AH152" s="630">
        <v>16628931</v>
      </c>
      <c r="AJ152" s="630">
        <v>16844587</v>
      </c>
      <c r="AL152" s="630">
        <v>18277530</v>
      </c>
      <c r="AN152" s="630">
        <v>18759070</v>
      </c>
      <c r="AP152" s="630">
        <v>19556519</v>
      </c>
      <c r="AR152" s="630">
        <v>19996202</v>
      </c>
    </row>
    <row r="153" spans="2:46" ht="13.5" x14ac:dyDescent="0.4">
      <c r="B153" s="268"/>
      <c r="C153" s="282" t="s">
        <v>806</v>
      </c>
      <c r="D153" s="686">
        <v>6478576</v>
      </c>
      <c r="E153" s="686">
        <v>0</v>
      </c>
      <c r="F153" s="686">
        <v>7195146</v>
      </c>
      <c r="G153" s="686">
        <v>0</v>
      </c>
      <c r="H153" s="686">
        <v>7480706</v>
      </c>
      <c r="I153" s="686">
        <v>0</v>
      </c>
      <c r="J153" s="686">
        <v>8182504</v>
      </c>
      <c r="K153" s="686">
        <v>0</v>
      </c>
      <c r="L153" s="686">
        <v>8312785</v>
      </c>
      <c r="M153" s="686">
        <v>0</v>
      </c>
      <c r="N153" s="686">
        <v>9644502</v>
      </c>
      <c r="O153" s="686">
        <v>0</v>
      </c>
      <c r="P153" s="686">
        <v>10159519</v>
      </c>
      <c r="Q153" s="686">
        <v>0</v>
      </c>
      <c r="R153" s="686">
        <v>11281047</v>
      </c>
      <c r="S153" s="686">
        <v>0</v>
      </c>
      <c r="T153" s="686">
        <v>11601100</v>
      </c>
      <c r="U153" s="686">
        <v>0</v>
      </c>
      <c r="V153" s="686">
        <v>12489166</v>
      </c>
      <c r="W153" s="686">
        <v>0</v>
      </c>
      <c r="X153" s="686">
        <v>12905068</v>
      </c>
      <c r="Y153" s="686">
        <v>0</v>
      </c>
      <c r="Z153" s="686">
        <v>14070357</v>
      </c>
      <c r="AA153" s="686">
        <v>0</v>
      </c>
      <c r="AB153" s="686">
        <v>14469308</v>
      </c>
      <c r="AC153" s="686">
        <v>0</v>
      </c>
      <c r="AD153" s="686">
        <v>15580577</v>
      </c>
      <c r="AE153" s="686">
        <v>0</v>
      </c>
      <c r="AF153" s="686">
        <v>15820472</v>
      </c>
      <c r="AG153" s="686">
        <v>0</v>
      </c>
      <c r="AH153" s="686">
        <v>16628931</v>
      </c>
      <c r="AI153" s="686">
        <v>0</v>
      </c>
      <c r="AJ153" s="686">
        <v>16844587</v>
      </c>
      <c r="AK153" s="686">
        <v>0</v>
      </c>
      <c r="AL153" s="686">
        <v>18277530</v>
      </c>
      <c r="AM153" s="686">
        <v>0</v>
      </c>
      <c r="AN153" s="686">
        <v>18759070</v>
      </c>
      <c r="AO153" s="686">
        <v>0</v>
      </c>
      <c r="AP153" s="686">
        <v>19556519</v>
      </c>
      <c r="AQ153" s="686">
        <v>0</v>
      </c>
      <c r="AR153" s="686">
        <v>19996202</v>
      </c>
      <c r="AS153" s="686">
        <v>0</v>
      </c>
      <c r="AT153" s="686">
        <v>21317929</v>
      </c>
    </row>
    <row r="154" spans="2:46" ht="13.5" x14ac:dyDescent="0.4">
      <c r="B154" s="268"/>
      <c r="C154" s="272" t="s">
        <v>807</v>
      </c>
      <c r="D154" s="683">
        <v>0</v>
      </c>
      <c r="E154" s="683">
        <v>0</v>
      </c>
      <c r="F154" s="683">
        <v>0</v>
      </c>
      <c r="G154" s="683">
        <v>0</v>
      </c>
      <c r="H154" s="683">
        <v>6440360</v>
      </c>
      <c r="I154" s="683">
        <v>0</v>
      </c>
      <c r="J154" s="683">
        <v>6895458</v>
      </c>
      <c r="K154" s="683">
        <v>0</v>
      </c>
      <c r="L154" s="683">
        <v>7224883</v>
      </c>
      <c r="M154" s="683">
        <v>0</v>
      </c>
      <c r="N154" s="683">
        <v>8561126</v>
      </c>
      <c r="O154" s="683">
        <v>0</v>
      </c>
      <c r="P154" s="683">
        <v>8937086</v>
      </c>
      <c r="Q154" s="683">
        <v>0</v>
      </c>
      <c r="R154" s="683">
        <v>9858639</v>
      </c>
      <c r="S154" s="683">
        <v>0</v>
      </c>
      <c r="T154" s="683">
        <v>10168318</v>
      </c>
      <c r="U154" s="683">
        <v>0</v>
      </c>
      <c r="V154" s="683">
        <v>10887141</v>
      </c>
      <c r="W154" s="683">
        <v>0</v>
      </c>
      <c r="X154" s="683">
        <v>11090308</v>
      </c>
      <c r="Y154" s="683">
        <v>0</v>
      </c>
      <c r="Z154" s="683">
        <v>11696950</v>
      </c>
      <c r="AA154" s="683">
        <v>0</v>
      </c>
      <c r="AB154" s="683">
        <v>12183705</v>
      </c>
      <c r="AC154" s="683">
        <v>0</v>
      </c>
      <c r="AD154" s="683">
        <v>13203875</v>
      </c>
      <c r="AE154" s="683">
        <v>0</v>
      </c>
      <c r="AF154" s="683">
        <v>13448107</v>
      </c>
      <c r="AG154" s="683">
        <v>0</v>
      </c>
      <c r="AH154" s="683">
        <v>14402012</v>
      </c>
      <c r="AI154" s="683">
        <v>0</v>
      </c>
      <c r="AJ154" s="683">
        <v>14627258</v>
      </c>
      <c r="AK154" s="683">
        <v>0</v>
      </c>
      <c r="AL154" s="683">
        <v>15201636</v>
      </c>
      <c r="AM154" s="683">
        <v>0</v>
      </c>
      <c r="AN154" s="683">
        <v>15579271</v>
      </c>
      <c r="AO154" s="683">
        <v>0</v>
      </c>
      <c r="AP154" s="683">
        <v>16373524</v>
      </c>
      <c r="AQ154" s="683">
        <v>0</v>
      </c>
      <c r="AR154" s="683">
        <v>16878531</v>
      </c>
      <c r="AS154" s="683">
        <v>0</v>
      </c>
      <c r="AT154" s="683">
        <v>17952242</v>
      </c>
    </row>
    <row r="155" spans="2:46" ht="13.5" x14ac:dyDescent="0.4">
      <c r="B155" s="268"/>
      <c r="C155" s="274" t="s">
        <v>808</v>
      </c>
      <c r="D155" s="677">
        <v>0</v>
      </c>
      <c r="E155" s="677">
        <v>0</v>
      </c>
      <c r="F155" s="677">
        <v>0</v>
      </c>
      <c r="G155" s="677">
        <v>0</v>
      </c>
      <c r="H155" s="677">
        <v>3329531</v>
      </c>
      <c r="I155" s="677">
        <v>0</v>
      </c>
      <c r="J155" s="677">
        <v>3532189</v>
      </c>
      <c r="K155" s="677">
        <v>0</v>
      </c>
      <c r="L155" s="677">
        <v>3720832</v>
      </c>
      <c r="M155" s="677">
        <v>0</v>
      </c>
      <c r="N155" s="677">
        <v>4123623</v>
      </c>
      <c r="O155" s="677">
        <v>0</v>
      </c>
      <c r="P155" s="677">
        <v>4449487</v>
      </c>
      <c r="Q155" s="677">
        <v>0</v>
      </c>
      <c r="R155" s="677">
        <v>5211360</v>
      </c>
      <c r="S155" s="677">
        <v>0</v>
      </c>
      <c r="T155" s="677">
        <v>5346351</v>
      </c>
      <c r="U155" s="677">
        <v>0</v>
      </c>
      <c r="V155" s="677">
        <v>5759046</v>
      </c>
      <c r="W155" s="677">
        <v>0</v>
      </c>
      <c r="X155" s="677">
        <v>5830898</v>
      </c>
      <c r="Y155" s="677">
        <v>0</v>
      </c>
      <c r="Z155" s="677">
        <v>5978523</v>
      </c>
      <c r="AA155" s="677">
        <v>0</v>
      </c>
      <c r="AB155" s="677">
        <v>6177935</v>
      </c>
      <c r="AC155" s="677">
        <v>0</v>
      </c>
      <c r="AD155" s="677">
        <v>6474914</v>
      </c>
      <c r="AE155" s="677">
        <v>0</v>
      </c>
      <c r="AF155" s="677">
        <v>6578416</v>
      </c>
      <c r="AG155" s="677">
        <v>0</v>
      </c>
      <c r="AH155" s="677">
        <v>6705842</v>
      </c>
      <c r="AI155" s="677">
        <v>0</v>
      </c>
      <c r="AJ155" s="677">
        <v>6805798</v>
      </c>
      <c r="AK155" s="677">
        <v>0</v>
      </c>
      <c r="AL155" s="677">
        <v>6964384</v>
      </c>
      <c r="AM155" s="677">
        <v>0</v>
      </c>
      <c r="AN155" s="677">
        <v>7246013</v>
      </c>
      <c r="AO155" s="677">
        <v>0</v>
      </c>
      <c r="AP155" s="677">
        <v>7896405</v>
      </c>
      <c r="AQ155" s="677">
        <v>0</v>
      </c>
      <c r="AR155" s="677">
        <v>8248188</v>
      </c>
      <c r="AS155" s="677">
        <v>0</v>
      </c>
      <c r="AT155" s="677">
        <v>8833891</v>
      </c>
    </row>
    <row r="156" spans="2:46" ht="13.5" x14ac:dyDescent="0.4">
      <c r="B156" s="268"/>
      <c r="C156" s="274" t="s">
        <v>809</v>
      </c>
      <c r="D156" s="641">
        <v>0</v>
      </c>
      <c r="E156" s="641">
        <v>0</v>
      </c>
      <c r="F156" s="641">
        <v>0</v>
      </c>
      <c r="G156" s="641">
        <v>0</v>
      </c>
      <c r="H156" s="641">
        <v>2192679</v>
      </c>
      <c r="I156" s="641">
        <v>0</v>
      </c>
      <c r="J156" s="641">
        <v>2353749</v>
      </c>
      <c r="K156" s="641">
        <v>0</v>
      </c>
      <c r="L156" s="641">
        <v>2439832</v>
      </c>
      <c r="M156" s="641">
        <v>0</v>
      </c>
      <c r="N156" s="641">
        <v>2676108</v>
      </c>
      <c r="O156" s="641">
        <v>0</v>
      </c>
      <c r="P156" s="641">
        <v>2911786</v>
      </c>
      <c r="Q156" s="641">
        <v>0</v>
      </c>
      <c r="R156" s="641">
        <v>3291916</v>
      </c>
      <c r="S156" s="641">
        <v>0</v>
      </c>
      <c r="T156" s="641">
        <v>3403001</v>
      </c>
      <c r="U156" s="641">
        <v>0</v>
      </c>
      <c r="V156" s="641">
        <v>3567215</v>
      </c>
      <c r="W156" s="641">
        <v>0</v>
      </c>
      <c r="X156" s="641">
        <v>3636027</v>
      </c>
      <c r="Y156" s="641">
        <v>0</v>
      </c>
      <c r="Z156" s="641">
        <v>3544438</v>
      </c>
      <c r="AA156" s="641">
        <v>0</v>
      </c>
      <c r="AB156" s="641">
        <v>3668004</v>
      </c>
      <c r="AC156" s="641">
        <v>0</v>
      </c>
      <c r="AD156" s="641">
        <v>3668012</v>
      </c>
      <c r="AE156" s="641">
        <v>0</v>
      </c>
      <c r="AF156" s="641">
        <v>3771329</v>
      </c>
      <c r="AG156" s="641">
        <v>0</v>
      </c>
      <c r="AH156" s="641">
        <v>3738446</v>
      </c>
      <c r="AI156" s="641">
        <v>0</v>
      </c>
      <c r="AJ156" s="641">
        <v>3853902</v>
      </c>
      <c r="AK156" s="641">
        <v>0</v>
      </c>
      <c r="AL156" s="641">
        <v>3882374</v>
      </c>
      <c r="AM156" s="641">
        <v>0</v>
      </c>
      <c r="AN156" s="641">
        <v>4114568</v>
      </c>
      <c r="AO156" s="641">
        <v>0</v>
      </c>
      <c r="AP156" s="641">
        <v>4469017</v>
      </c>
      <c r="AQ156" s="641">
        <v>0</v>
      </c>
      <c r="AR156" s="641">
        <v>4807607</v>
      </c>
      <c r="AS156" s="641">
        <v>0</v>
      </c>
      <c r="AT156" s="641">
        <v>5180872</v>
      </c>
    </row>
    <row r="157" spans="2:46" ht="13.5" x14ac:dyDescent="0.4">
      <c r="B157" s="268"/>
      <c r="C157" s="274" t="s">
        <v>810</v>
      </c>
      <c r="D157" s="641">
        <v>0</v>
      </c>
      <c r="E157" s="641">
        <v>0</v>
      </c>
      <c r="F157" s="641">
        <v>0</v>
      </c>
      <c r="G157" s="641">
        <v>0</v>
      </c>
      <c r="H157" s="641">
        <v>1136852</v>
      </c>
      <c r="I157" s="641">
        <v>0</v>
      </c>
      <c r="J157" s="641">
        <v>1178440</v>
      </c>
      <c r="K157" s="641">
        <v>0</v>
      </c>
      <c r="L157" s="641">
        <v>1281000</v>
      </c>
      <c r="M157" s="641">
        <v>0</v>
      </c>
      <c r="N157" s="641">
        <v>1447515</v>
      </c>
      <c r="O157" s="641">
        <v>0</v>
      </c>
      <c r="P157" s="641">
        <v>1537701</v>
      </c>
      <c r="Q157" s="641">
        <v>0</v>
      </c>
      <c r="R157" s="641">
        <v>1919444</v>
      </c>
      <c r="S157" s="641">
        <v>0</v>
      </c>
      <c r="T157" s="641">
        <v>1943350</v>
      </c>
      <c r="U157" s="641">
        <v>0</v>
      </c>
      <c r="V157" s="641">
        <v>2191831</v>
      </c>
      <c r="W157" s="641">
        <v>0</v>
      </c>
      <c r="X157" s="641">
        <v>2194871</v>
      </c>
      <c r="Y157" s="641">
        <v>0</v>
      </c>
      <c r="Z157" s="641">
        <v>2434085</v>
      </c>
      <c r="AA157" s="641">
        <v>0</v>
      </c>
      <c r="AB157" s="641">
        <v>2509931</v>
      </c>
      <c r="AC157" s="641">
        <v>0</v>
      </c>
      <c r="AD157" s="641">
        <v>2806902</v>
      </c>
      <c r="AE157" s="641">
        <v>0</v>
      </c>
      <c r="AF157" s="641">
        <v>2807087</v>
      </c>
      <c r="AG157" s="641">
        <v>0</v>
      </c>
      <c r="AH157" s="641">
        <v>2967396</v>
      </c>
      <c r="AI157" s="641">
        <v>0</v>
      </c>
      <c r="AJ157" s="641">
        <v>2951896</v>
      </c>
      <c r="AK157" s="641">
        <v>0</v>
      </c>
      <c r="AL157" s="641">
        <v>3082010</v>
      </c>
      <c r="AM157" s="641">
        <v>0</v>
      </c>
      <c r="AN157" s="641">
        <v>3131445</v>
      </c>
      <c r="AO157" s="641">
        <v>0</v>
      </c>
      <c r="AP157" s="641">
        <v>3427388</v>
      </c>
      <c r="AQ157" s="641">
        <v>0</v>
      </c>
      <c r="AR157" s="641">
        <v>3440581</v>
      </c>
      <c r="AS157" s="641">
        <v>0</v>
      </c>
      <c r="AT157" s="641">
        <v>3653019</v>
      </c>
    </row>
    <row r="158" spans="2:46" ht="13.5" x14ac:dyDescent="0.4">
      <c r="B158" s="268"/>
      <c r="C158" s="274" t="s">
        <v>811</v>
      </c>
      <c r="D158" s="506">
        <v>0</v>
      </c>
      <c r="E158" s="506">
        <v>0</v>
      </c>
      <c r="F158" s="506">
        <v>0</v>
      </c>
      <c r="G158" s="506">
        <v>0</v>
      </c>
      <c r="H158" s="506">
        <v>3110829</v>
      </c>
      <c r="I158" s="506">
        <v>0</v>
      </c>
      <c r="J158" s="506">
        <v>3363269</v>
      </c>
      <c r="K158" s="506">
        <v>0</v>
      </c>
      <c r="L158" s="506">
        <v>3504051</v>
      </c>
      <c r="M158" s="506">
        <v>0</v>
      </c>
      <c r="N158" s="506">
        <v>4437503</v>
      </c>
      <c r="O158" s="506">
        <v>0</v>
      </c>
      <c r="P158" s="506">
        <v>4487599</v>
      </c>
      <c r="Q158" s="506">
        <v>0</v>
      </c>
      <c r="R158" s="506">
        <v>4647279</v>
      </c>
      <c r="S158" s="506">
        <v>0</v>
      </c>
      <c r="T158" s="506">
        <v>4821967</v>
      </c>
      <c r="U158" s="506">
        <v>0</v>
      </c>
      <c r="V158" s="506">
        <v>5128095</v>
      </c>
      <c r="W158" s="506">
        <v>0</v>
      </c>
      <c r="X158" s="506">
        <v>5259410</v>
      </c>
      <c r="Y158" s="506">
        <v>0</v>
      </c>
      <c r="Z158" s="506">
        <v>5718427</v>
      </c>
      <c r="AA158" s="506">
        <v>0</v>
      </c>
      <c r="AB158" s="506">
        <v>6005770</v>
      </c>
      <c r="AC158" s="506">
        <v>0</v>
      </c>
      <c r="AD158" s="506">
        <v>6728961</v>
      </c>
      <c r="AE158" s="506">
        <v>0</v>
      </c>
      <c r="AF158" s="506">
        <v>6869691</v>
      </c>
      <c r="AG158" s="506">
        <v>0</v>
      </c>
      <c r="AH158" s="506">
        <v>7209324</v>
      </c>
      <c r="AI158" s="506">
        <v>0</v>
      </c>
      <c r="AJ158" s="506">
        <v>7309861</v>
      </c>
      <c r="AK158" s="506">
        <v>0</v>
      </c>
      <c r="AL158" s="506">
        <v>7659306</v>
      </c>
      <c r="AM158" s="506">
        <v>0</v>
      </c>
      <c r="AN158" s="506">
        <v>7729239</v>
      </c>
      <c r="AO158" s="506">
        <v>0</v>
      </c>
      <c r="AP158" s="506">
        <v>7891789</v>
      </c>
      <c r="AQ158" s="506">
        <v>0</v>
      </c>
      <c r="AR158" s="506">
        <v>7937305</v>
      </c>
      <c r="AS158" s="506">
        <v>0</v>
      </c>
      <c r="AT158" s="506">
        <v>8393947</v>
      </c>
    </row>
    <row r="159" spans="2:46" ht="13.5" x14ac:dyDescent="0.4">
      <c r="B159" s="268"/>
      <c r="C159" s="274" t="s">
        <v>812</v>
      </c>
      <c r="D159" s="641">
        <v>0</v>
      </c>
      <c r="E159" s="641">
        <v>0</v>
      </c>
      <c r="F159" s="641">
        <v>0</v>
      </c>
      <c r="G159" s="641">
        <v>0</v>
      </c>
      <c r="H159" s="641">
        <v>979717</v>
      </c>
      <c r="I159" s="641">
        <v>0</v>
      </c>
      <c r="J159" s="641">
        <v>1157765</v>
      </c>
      <c r="K159" s="641">
        <v>0</v>
      </c>
      <c r="L159" s="641">
        <v>1227435</v>
      </c>
      <c r="M159" s="641">
        <v>0</v>
      </c>
      <c r="N159" s="641">
        <v>1560086</v>
      </c>
      <c r="O159" s="641">
        <v>0</v>
      </c>
      <c r="P159" s="641">
        <v>1618171</v>
      </c>
      <c r="Q159" s="641">
        <v>0</v>
      </c>
      <c r="R159" s="641">
        <v>1763274</v>
      </c>
      <c r="S159" s="641">
        <v>0</v>
      </c>
      <c r="T159" s="641">
        <v>1869683</v>
      </c>
      <c r="U159" s="641">
        <v>0</v>
      </c>
      <c r="V159" s="641">
        <v>2001320</v>
      </c>
      <c r="W159" s="641">
        <v>0</v>
      </c>
      <c r="X159" s="641">
        <v>2071114</v>
      </c>
      <c r="Y159" s="641">
        <v>0</v>
      </c>
      <c r="Z159" s="641">
        <v>2241789</v>
      </c>
      <c r="AA159" s="641">
        <v>0</v>
      </c>
      <c r="AB159" s="641">
        <v>2443236</v>
      </c>
      <c r="AC159" s="641">
        <v>0</v>
      </c>
      <c r="AD159" s="641">
        <v>2893288</v>
      </c>
      <c r="AE159" s="641">
        <v>0</v>
      </c>
      <c r="AF159" s="641">
        <v>3011134</v>
      </c>
      <c r="AG159" s="641">
        <v>0</v>
      </c>
      <c r="AH159" s="641">
        <v>3310621</v>
      </c>
      <c r="AI159" s="641">
        <v>0</v>
      </c>
      <c r="AJ159" s="641">
        <v>3398080</v>
      </c>
      <c r="AK159" s="641">
        <v>0</v>
      </c>
      <c r="AL159" s="641">
        <v>3615510</v>
      </c>
      <c r="AM159" s="641">
        <v>0</v>
      </c>
      <c r="AN159" s="641">
        <v>3655043</v>
      </c>
      <c r="AO159" s="641">
        <v>0</v>
      </c>
      <c r="AP159" s="641">
        <v>3653960</v>
      </c>
      <c r="AQ159" s="641">
        <v>0</v>
      </c>
      <c r="AR159" s="641">
        <v>3674017</v>
      </c>
      <c r="AS159" s="641">
        <v>0</v>
      </c>
      <c r="AT159" s="641">
        <v>3948889</v>
      </c>
    </row>
    <row r="160" spans="2:46" ht="13.5" x14ac:dyDescent="0.4">
      <c r="B160" s="268"/>
      <c r="C160" s="274" t="s">
        <v>813</v>
      </c>
      <c r="D160" s="641">
        <v>0</v>
      </c>
      <c r="E160" s="641">
        <v>0</v>
      </c>
      <c r="F160" s="641">
        <v>0</v>
      </c>
      <c r="G160" s="641">
        <v>0</v>
      </c>
      <c r="H160" s="641">
        <v>2131112</v>
      </c>
      <c r="I160" s="641">
        <v>0</v>
      </c>
      <c r="J160" s="641">
        <v>2205504</v>
      </c>
      <c r="K160" s="641">
        <v>0</v>
      </c>
      <c r="L160" s="641">
        <v>2276616</v>
      </c>
      <c r="M160" s="641">
        <v>0</v>
      </c>
      <c r="N160" s="641">
        <v>2877417</v>
      </c>
      <c r="O160" s="641">
        <v>0</v>
      </c>
      <c r="P160" s="641">
        <v>2869428</v>
      </c>
      <c r="Q160" s="641">
        <v>0</v>
      </c>
      <c r="R160" s="641">
        <v>2884005</v>
      </c>
      <c r="S160" s="641">
        <v>0</v>
      </c>
      <c r="T160" s="641">
        <v>2952284</v>
      </c>
      <c r="U160" s="641">
        <v>0</v>
      </c>
      <c r="V160" s="641">
        <v>3126775</v>
      </c>
      <c r="W160" s="641">
        <v>0</v>
      </c>
      <c r="X160" s="641">
        <v>3188296</v>
      </c>
      <c r="Y160" s="641">
        <v>0</v>
      </c>
      <c r="Z160" s="641">
        <v>3476638</v>
      </c>
      <c r="AA160" s="641">
        <v>0</v>
      </c>
      <c r="AB160" s="641">
        <v>3562534</v>
      </c>
      <c r="AC160" s="641">
        <v>0</v>
      </c>
      <c r="AD160" s="641">
        <v>3835673</v>
      </c>
      <c r="AE160" s="641">
        <v>0</v>
      </c>
      <c r="AF160" s="641">
        <v>3858557</v>
      </c>
      <c r="AG160" s="641">
        <v>0</v>
      </c>
      <c r="AH160" s="641">
        <v>3898703</v>
      </c>
      <c r="AI160" s="641">
        <v>0</v>
      </c>
      <c r="AJ160" s="641">
        <v>3911781</v>
      </c>
      <c r="AK160" s="641">
        <v>0</v>
      </c>
      <c r="AL160" s="641">
        <v>4043796</v>
      </c>
      <c r="AM160" s="641">
        <v>0</v>
      </c>
      <c r="AN160" s="641">
        <v>4074196</v>
      </c>
      <c r="AO160" s="641">
        <v>0</v>
      </c>
      <c r="AP160" s="641">
        <v>4237829</v>
      </c>
      <c r="AQ160" s="641">
        <v>0</v>
      </c>
      <c r="AR160" s="641">
        <v>4263288</v>
      </c>
      <c r="AS160" s="641">
        <v>0</v>
      </c>
      <c r="AT160" s="641">
        <v>4445058</v>
      </c>
    </row>
    <row r="161" spans="2:46" ht="13.5" x14ac:dyDescent="0.4">
      <c r="B161" s="268"/>
      <c r="C161" s="275" t="s">
        <v>814</v>
      </c>
      <c r="D161" s="642">
        <v>0</v>
      </c>
      <c r="E161" s="642">
        <v>0</v>
      </c>
      <c r="F161" s="642">
        <v>0</v>
      </c>
      <c r="G161" s="642">
        <v>0</v>
      </c>
      <c r="H161" s="642">
        <v>0</v>
      </c>
      <c r="I161" s="642">
        <v>0</v>
      </c>
      <c r="J161" s="642">
        <v>0</v>
      </c>
      <c r="K161" s="642">
        <v>0</v>
      </c>
      <c r="L161" s="642">
        <v>0</v>
      </c>
      <c r="M161" s="642">
        <v>0</v>
      </c>
      <c r="N161" s="642">
        <v>0</v>
      </c>
      <c r="O161" s="642">
        <v>0</v>
      </c>
      <c r="P161" s="642">
        <v>0</v>
      </c>
      <c r="Q161" s="642">
        <v>0</v>
      </c>
      <c r="R161" s="642">
        <v>0</v>
      </c>
      <c r="S161" s="642">
        <v>0</v>
      </c>
      <c r="T161" s="642">
        <v>0</v>
      </c>
      <c r="U161" s="642">
        <v>0</v>
      </c>
      <c r="V161" s="642">
        <v>0</v>
      </c>
      <c r="W161" s="642">
        <v>0</v>
      </c>
      <c r="X161" s="642">
        <v>0</v>
      </c>
      <c r="Y161" s="642">
        <v>0</v>
      </c>
      <c r="Z161" s="642">
        <v>0</v>
      </c>
      <c r="AA161" s="642">
        <v>0</v>
      </c>
      <c r="AB161" s="642">
        <v>0</v>
      </c>
      <c r="AC161" s="642">
        <v>0</v>
      </c>
      <c r="AD161" s="642">
        <v>0</v>
      </c>
      <c r="AE161" s="642">
        <v>0</v>
      </c>
      <c r="AF161" s="642">
        <v>0</v>
      </c>
      <c r="AG161" s="642">
        <v>0</v>
      </c>
      <c r="AH161" s="642">
        <v>486846</v>
      </c>
      <c r="AI161" s="642">
        <v>0</v>
      </c>
      <c r="AJ161" s="642">
        <v>511599</v>
      </c>
      <c r="AK161" s="642">
        <v>0</v>
      </c>
      <c r="AL161" s="642">
        <v>577946</v>
      </c>
      <c r="AM161" s="642">
        <v>0</v>
      </c>
      <c r="AN161" s="642">
        <v>604019</v>
      </c>
      <c r="AO161" s="642">
        <v>0</v>
      </c>
      <c r="AP161" s="642">
        <v>585330</v>
      </c>
      <c r="AQ161" s="642">
        <v>0</v>
      </c>
      <c r="AR161" s="642">
        <v>693038</v>
      </c>
      <c r="AS161" s="642">
        <v>0</v>
      </c>
      <c r="AT161" s="642">
        <v>724404</v>
      </c>
    </row>
    <row r="162" spans="2:46" ht="13.5" x14ac:dyDescent="0.4">
      <c r="B162" s="268"/>
      <c r="C162" s="276" t="s">
        <v>815</v>
      </c>
      <c r="D162" s="1040"/>
      <c r="E162" s="1040"/>
      <c r="F162" s="1040"/>
      <c r="G162" s="1040"/>
      <c r="H162" s="1040"/>
      <c r="I162" s="1040"/>
      <c r="J162" s="1040"/>
      <c r="K162" s="1040"/>
      <c r="L162" s="1040"/>
      <c r="M162" s="1040"/>
      <c r="N162" s="1040"/>
      <c r="O162" s="1040"/>
      <c r="P162" s="1040"/>
      <c r="Q162" s="1040"/>
      <c r="R162" s="1040"/>
      <c r="S162" s="1040"/>
      <c r="T162" s="1040"/>
      <c r="U162" s="1040"/>
      <c r="V162" s="1040"/>
      <c r="W162" s="1040"/>
      <c r="X162" s="1040"/>
      <c r="Y162" s="1040"/>
      <c r="Z162" s="1040"/>
      <c r="AA162" s="1040"/>
      <c r="AB162" s="1040">
        <v>264493</v>
      </c>
      <c r="AC162" s="1040"/>
      <c r="AD162" s="1040"/>
      <c r="AE162" s="1040"/>
      <c r="AF162" s="1040">
        <v>291733</v>
      </c>
      <c r="AG162" s="1040"/>
      <c r="AH162" s="1040">
        <v>383933</v>
      </c>
      <c r="AI162" s="1040"/>
      <c r="AJ162" s="1040">
        <v>397785</v>
      </c>
      <c r="AK162" s="1040"/>
      <c r="AL162" s="1040">
        <v>418878</v>
      </c>
      <c r="AM162" s="1040"/>
      <c r="AN162" s="1040">
        <v>435460.00000000006</v>
      </c>
      <c r="AO162" s="1040"/>
      <c r="AP162" s="1040">
        <v>486426</v>
      </c>
      <c r="AQ162" s="1040"/>
      <c r="AR162" s="1040">
        <v>521697</v>
      </c>
      <c r="AS162" s="1040"/>
      <c r="AT162" s="1040">
        <v>622388</v>
      </c>
    </row>
    <row r="163" spans="2:46" ht="13.5" x14ac:dyDescent="0.4">
      <c r="B163" s="268"/>
      <c r="C163" s="285" t="s">
        <v>816</v>
      </c>
      <c r="D163" s="1040"/>
      <c r="E163" s="1040"/>
      <c r="F163" s="1040"/>
      <c r="G163" s="1040"/>
      <c r="H163" s="1040"/>
      <c r="I163" s="1040"/>
      <c r="J163" s="1040"/>
      <c r="K163" s="1040"/>
      <c r="L163" s="1040"/>
      <c r="M163" s="1040"/>
      <c r="N163" s="1040"/>
      <c r="O163" s="1040"/>
      <c r="P163" s="1040"/>
      <c r="Q163" s="1040"/>
      <c r="R163" s="1040"/>
      <c r="S163" s="1040"/>
      <c r="T163" s="1040"/>
      <c r="U163" s="1040"/>
      <c r="V163" s="1040"/>
      <c r="W163" s="1040"/>
      <c r="X163" s="1040"/>
      <c r="Y163" s="1040"/>
      <c r="Z163" s="1040"/>
      <c r="AA163" s="1040"/>
      <c r="AB163" s="1040">
        <v>1694972</v>
      </c>
      <c r="AC163" s="1040"/>
      <c r="AD163" s="1040"/>
      <c r="AE163" s="1040"/>
      <c r="AF163" s="1040">
        <v>1685541.9999999998</v>
      </c>
      <c r="AG163" s="1040"/>
      <c r="AH163" s="1040">
        <v>1842986</v>
      </c>
      <c r="AI163" s="1040"/>
      <c r="AJ163" s="1040">
        <v>1819543.9999999998</v>
      </c>
      <c r="AK163" s="1040"/>
      <c r="AL163" s="1040">
        <v>2657016</v>
      </c>
      <c r="AM163" s="1040"/>
      <c r="AN163" s="1040">
        <v>2744339</v>
      </c>
      <c r="AO163" s="1040"/>
      <c r="AP163" s="1040">
        <v>2696569</v>
      </c>
      <c r="AQ163" s="1040"/>
      <c r="AR163" s="1040">
        <v>2595974</v>
      </c>
      <c r="AS163" s="1040"/>
      <c r="AT163" s="1040">
        <v>2743299</v>
      </c>
    </row>
    <row r="164" spans="2:46" ht="13.5" x14ac:dyDescent="0.4">
      <c r="B164" s="268"/>
      <c r="C164" s="274" t="s">
        <v>817</v>
      </c>
      <c r="D164" s="683"/>
      <c r="E164" s="683"/>
      <c r="F164" s="683"/>
      <c r="G164" s="683"/>
      <c r="H164" s="683"/>
      <c r="I164" s="683"/>
      <c r="J164" s="683"/>
      <c r="K164" s="683"/>
      <c r="L164" s="683"/>
      <c r="M164" s="683"/>
      <c r="N164" s="683"/>
      <c r="O164" s="683"/>
      <c r="P164" s="683"/>
      <c r="Q164" s="683"/>
      <c r="R164" s="683"/>
      <c r="S164" s="683"/>
      <c r="T164" s="683"/>
      <c r="U164" s="683"/>
      <c r="V164" s="683"/>
      <c r="W164" s="683"/>
      <c r="X164" s="683"/>
      <c r="Y164" s="683"/>
      <c r="Z164" s="683"/>
      <c r="AA164" s="683"/>
      <c r="AB164" s="683"/>
      <c r="AC164" s="683"/>
      <c r="AD164" s="683"/>
      <c r="AE164" s="683"/>
      <c r="AF164" s="683"/>
      <c r="AG164" s="683"/>
      <c r="AH164" s="683"/>
      <c r="AI164" s="683"/>
      <c r="AJ164" s="683"/>
      <c r="AK164" s="683"/>
      <c r="AL164" s="683"/>
      <c r="AM164" s="683"/>
      <c r="AN164" s="683"/>
      <c r="AO164" s="683"/>
      <c r="AP164" s="683"/>
      <c r="AQ164" s="683"/>
      <c r="AR164" s="683"/>
      <c r="AS164" s="683"/>
      <c r="AT164" s="683"/>
    </row>
    <row r="165" spans="2:46" ht="13.5" x14ac:dyDescent="0.4">
      <c r="B165" s="268"/>
      <c r="C165" s="274" t="s">
        <v>818</v>
      </c>
      <c r="D165" s="684"/>
      <c r="E165" s="684"/>
      <c r="F165" s="684"/>
      <c r="G165" s="684"/>
      <c r="H165" s="684"/>
      <c r="I165" s="684"/>
      <c r="J165" s="684"/>
      <c r="K165" s="684"/>
      <c r="L165" s="684"/>
      <c r="M165" s="684"/>
      <c r="N165" s="684"/>
      <c r="O165" s="684"/>
      <c r="P165" s="684"/>
      <c r="Q165" s="684"/>
      <c r="R165" s="684"/>
      <c r="S165" s="684"/>
      <c r="T165" s="684"/>
      <c r="U165" s="684"/>
      <c r="V165" s="684"/>
      <c r="W165" s="684"/>
      <c r="X165" s="684"/>
      <c r="Y165" s="684"/>
      <c r="Z165" s="684"/>
      <c r="AA165" s="684"/>
      <c r="AB165" s="684"/>
      <c r="AC165" s="684"/>
      <c r="AD165" s="684"/>
      <c r="AE165" s="684"/>
      <c r="AF165" s="684"/>
      <c r="AG165" s="684"/>
      <c r="AH165" s="684"/>
      <c r="AI165" s="684"/>
      <c r="AJ165" s="684"/>
      <c r="AK165" s="684"/>
      <c r="AL165" s="684"/>
      <c r="AM165" s="684"/>
      <c r="AN165" s="684"/>
      <c r="AO165" s="684"/>
      <c r="AP165" s="684"/>
      <c r="AQ165" s="684"/>
      <c r="AR165" s="684"/>
      <c r="AS165" s="684"/>
      <c r="AT165" s="684"/>
    </row>
    <row r="166" spans="2:46" ht="13.5" x14ac:dyDescent="0.4">
      <c r="B166" s="268"/>
      <c r="C166" s="274" t="s">
        <v>819</v>
      </c>
      <c r="D166" s="684"/>
      <c r="E166" s="684"/>
      <c r="F166" s="684"/>
      <c r="G166" s="684"/>
      <c r="H166" s="684"/>
      <c r="I166" s="684"/>
      <c r="J166" s="684"/>
      <c r="K166" s="684"/>
      <c r="L166" s="684"/>
      <c r="M166" s="684"/>
      <c r="N166" s="684"/>
      <c r="O166" s="684"/>
      <c r="P166" s="684"/>
      <c r="Q166" s="684"/>
      <c r="R166" s="684"/>
      <c r="S166" s="684"/>
      <c r="T166" s="684"/>
      <c r="U166" s="684"/>
      <c r="V166" s="684"/>
      <c r="W166" s="684"/>
      <c r="X166" s="684"/>
      <c r="Y166" s="684"/>
      <c r="Z166" s="684"/>
      <c r="AA166" s="684"/>
      <c r="AB166" s="684"/>
      <c r="AC166" s="684"/>
      <c r="AD166" s="684"/>
      <c r="AE166" s="684"/>
      <c r="AF166" s="684"/>
      <c r="AG166" s="684"/>
      <c r="AH166" s="684"/>
      <c r="AI166" s="684"/>
      <c r="AJ166" s="684"/>
      <c r="AK166" s="684"/>
      <c r="AL166" s="684"/>
      <c r="AM166" s="684"/>
      <c r="AN166" s="684"/>
      <c r="AO166" s="684"/>
      <c r="AP166" s="684"/>
      <c r="AQ166" s="684"/>
      <c r="AR166" s="684"/>
      <c r="AS166" s="684"/>
      <c r="AT166" s="684"/>
    </row>
    <row r="167" spans="2:46" ht="13.5" x14ac:dyDescent="0.4">
      <c r="B167" s="268"/>
      <c r="C167" s="286" t="s">
        <v>820</v>
      </c>
      <c r="D167" s="687"/>
      <c r="E167" s="687"/>
      <c r="F167" s="687"/>
      <c r="G167" s="687"/>
      <c r="H167" s="687"/>
      <c r="I167" s="687"/>
      <c r="J167" s="687"/>
      <c r="K167" s="687"/>
      <c r="L167" s="687"/>
      <c r="M167" s="687"/>
      <c r="N167" s="687"/>
      <c r="O167" s="687"/>
      <c r="P167" s="687"/>
      <c r="Q167" s="687"/>
      <c r="R167" s="687"/>
      <c r="S167" s="687"/>
      <c r="T167" s="687"/>
      <c r="U167" s="687"/>
      <c r="V167" s="687"/>
      <c r="W167" s="687"/>
      <c r="X167" s="687"/>
      <c r="Y167" s="687"/>
      <c r="Z167" s="687"/>
      <c r="AA167" s="687"/>
      <c r="AB167" s="687"/>
      <c r="AC167" s="687"/>
      <c r="AD167" s="687"/>
      <c r="AE167" s="687"/>
      <c r="AF167" s="687"/>
      <c r="AG167" s="687"/>
      <c r="AH167" s="687">
        <v>0</v>
      </c>
      <c r="AI167" s="687"/>
      <c r="AJ167" s="687"/>
      <c r="AK167" s="687"/>
      <c r="AL167" s="687"/>
      <c r="AM167" s="687"/>
      <c r="AN167" s="687"/>
      <c r="AO167" s="687"/>
      <c r="AP167" s="687"/>
      <c r="AQ167" s="687"/>
      <c r="AR167" s="687"/>
      <c r="AS167" s="687"/>
      <c r="AT167" s="687"/>
    </row>
    <row r="168" spans="2:46" ht="13.9" thickBot="1" x14ac:dyDescent="0.45">
      <c r="B168" s="268"/>
      <c r="C168" s="280" t="s">
        <v>821</v>
      </c>
      <c r="D168" s="685"/>
      <c r="E168" s="685"/>
      <c r="F168" s="685"/>
      <c r="G168" s="685"/>
      <c r="H168" s="685"/>
      <c r="I168" s="685"/>
      <c r="J168" s="685"/>
      <c r="K168" s="685"/>
      <c r="L168" s="685"/>
      <c r="M168" s="685"/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/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</row>
    <row r="169" spans="2:46" s="429" customFormat="1" ht="13.5" thickBot="1" x14ac:dyDescent="0.45">
      <c r="B169" s="581"/>
      <c r="C169" s="580"/>
      <c r="D169" s="688"/>
      <c r="E169" s="688"/>
      <c r="F169" s="688"/>
      <c r="G169" s="688"/>
      <c r="H169" s="688"/>
      <c r="I169" s="688"/>
      <c r="J169" s="688"/>
      <c r="K169" s="688"/>
      <c r="L169" s="688"/>
      <c r="M169" s="688"/>
      <c r="N169" s="688"/>
      <c r="O169" s="688"/>
      <c r="P169" s="688"/>
      <c r="Q169" s="688"/>
      <c r="R169" s="688"/>
      <c r="S169" s="688"/>
      <c r="T169" s="688"/>
      <c r="U169" s="688"/>
      <c r="V169" s="688"/>
      <c r="W169" s="688"/>
      <c r="X169" s="688"/>
      <c r="Y169" s="688"/>
      <c r="Z169" s="688"/>
      <c r="AA169" s="688"/>
      <c r="AB169" s="688"/>
      <c r="AC169" s="688"/>
      <c r="AD169" s="688"/>
      <c r="AE169" s="688"/>
      <c r="AF169" s="688"/>
      <c r="AG169" s="688"/>
      <c r="AH169" s="688"/>
      <c r="AI169" s="688"/>
      <c r="AJ169" s="688"/>
      <c r="AK169" s="688"/>
      <c r="AL169" s="688"/>
      <c r="AM169" s="688"/>
      <c r="AN169" s="688"/>
      <c r="AO169" s="688"/>
      <c r="AP169" s="688"/>
      <c r="AQ169" s="688"/>
      <c r="AR169" s="688"/>
      <c r="AS169" s="688"/>
      <c r="AT169" s="649"/>
    </row>
    <row r="170" spans="2:46" ht="13.5" thickTop="1" x14ac:dyDescent="0.4">
      <c r="AN170" s="689"/>
      <c r="AR170" s="689"/>
    </row>
    <row r="171" spans="2:46" ht="13.5" x14ac:dyDescent="0.4">
      <c r="B171" s="253" t="s">
        <v>363</v>
      </c>
    </row>
    <row r="172" spans="2:46" ht="13.5" thickBot="1" x14ac:dyDescent="0.45">
      <c r="B172" s="268"/>
      <c r="C172" s="198"/>
      <c r="Z172" s="630"/>
      <c r="AB172" s="630">
        <v>721439</v>
      </c>
      <c r="AF172" s="630">
        <v>767111</v>
      </c>
      <c r="AJ172" s="630">
        <v>849879</v>
      </c>
      <c r="AL172" s="630">
        <v>437295</v>
      </c>
      <c r="AN172" s="630">
        <v>871779</v>
      </c>
      <c r="AR172" s="630">
        <v>791480</v>
      </c>
      <c r="AT172" s="630">
        <v>418353</v>
      </c>
    </row>
    <row r="173" spans="2:46" ht="13.5" x14ac:dyDescent="0.4">
      <c r="B173" s="200"/>
      <c r="C173" s="270" t="s">
        <v>580</v>
      </c>
      <c r="D173" s="650">
        <v>272941</v>
      </c>
      <c r="E173" s="650">
        <v>78476</v>
      </c>
      <c r="F173" s="650">
        <v>163798</v>
      </c>
      <c r="G173" s="650">
        <v>256255</v>
      </c>
      <c r="H173" s="650">
        <v>357287</v>
      </c>
      <c r="I173" s="650">
        <v>105609</v>
      </c>
      <c r="J173" s="650">
        <v>215011</v>
      </c>
      <c r="K173" s="650">
        <v>327426</v>
      </c>
      <c r="L173" s="650">
        <v>440574</v>
      </c>
      <c r="M173" s="650">
        <v>100066</v>
      </c>
      <c r="N173" s="650">
        <v>199277</v>
      </c>
      <c r="O173" s="650">
        <v>300819</v>
      </c>
      <c r="P173" s="650">
        <v>405878</v>
      </c>
      <c r="Q173" s="650">
        <v>106036</v>
      </c>
      <c r="R173" s="650">
        <v>219865</v>
      </c>
      <c r="S173" s="650">
        <v>338818</v>
      </c>
      <c r="T173" s="650">
        <v>462762</v>
      </c>
      <c r="U173" s="650">
        <v>130893</v>
      </c>
      <c r="V173" s="650">
        <v>272719</v>
      </c>
      <c r="W173" s="650">
        <v>426187</v>
      </c>
      <c r="X173" s="650">
        <v>589580</v>
      </c>
      <c r="Y173" s="650">
        <v>174348</v>
      </c>
      <c r="Z173" s="650">
        <v>354522</v>
      </c>
      <c r="AA173" s="650">
        <v>537317</v>
      </c>
      <c r="AB173" s="650">
        <v>721439</v>
      </c>
      <c r="AC173" s="650">
        <v>184303</v>
      </c>
      <c r="AD173" s="650">
        <v>372507</v>
      </c>
      <c r="AE173" s="650">
        <v>566769</v>
      </c>
      <c r="AF173" s="650">
        <v>767111</v>
      </c>
      <c r="AG173" s="650">
        <v>203145</v>
      </c>
      <c r="AH173" s="650">
        <v>412613</v>
      </c>
      <c r="AI173" s="650">
        <v>627651</v>
      </c>
      <c r="AJ173" s="650">
        <v>849879</v>
      </c>
      <c r="AK173" s="650">
        <v>216836</v>
      </c>
      <c r="AL173" s="650">
        <v>437295</v>
      </c>
      <c r="AM173" s="650">
        <v>656988</v>
      </c>
      <c r="AN173" s="650">
        <v>871779</v>
      </c>
      <c r="AO173" s="650">
        <v>200475</v>
      </c>
      <c r="AP173" s="650">
        <v>395228</v>
      </c>
      <c r="AQ173" s="650">
        <v>590694</v>
      </c>
      <c r="AR173" s="650">
        <v>791480</v>
      </c>
      <c r="AS173" s="650">
        <v>203987</v>
      </c>
      <c r="AT173" s="650">
        <v>418353</v>
      </c>
    </row>
    <row r="174" spans="2:46" ht="13.5" x14ac:dyDescent="0.4">
      <c r="B174" s="269"/>
      <c r="C174" s="272" t="s">
        <v>822</v>
      </c>
      <c r="D174" s="690"/>
      <c r="E174" s="690"/>
      <c r="F174" s="690"/>
      <c r="G174" s="690"/>
      <c r="H174" s="690"/>
      <c r="I174" s="690"/>
      <c r="J174" s="690"/>
      <c r="K174" s="690"/>
      <c r="L174" s="690"/>
      <c r="M174" s="690"/>
      <c r="N174" s="690"/>
      <c r="O174" s="690"/>
      <c r="P174" s="690"/>
      <c r="Q174" s="690"/>
      <c r="R174" s="690"/>
      <c r="S174" s="690"/>
      <c r="T174" s="690"/>
      <c r="U174" s="690"/>
      <c r="V174" s="690"/>
      <c r="W174" s="690"/>
      <c r="X174" s="509"/>
      <c r="Y174" s="510"/>
      <c r="Z174" s="510"/>
      <c r="AA174" s="510"/>
      <c r="AB174" s="510">
        <v>519852</v>
      </c>
      <c r="AC174" s="510"/>
      <c r="AD174" s="510"/>
      <c r="AE174" s="510"/>
      <c r="AF174" s="510">
        <v>548640</v>
      </c>
      <c r="AG174" s="510"/>
      <c r="AH174" s="510">
        <v>297753</v>
      </c>
      <c r="AI174" s="510"/>
      <c r="AJ174" s="510">
        <v>615488</v>
      </c>
      <c r="AK174" s="510"/>
      <c r="AL174" s="510">
        <v>311862</v>
      </c>
      <c r="AM174" s="510"/>
      <c r="AN174" s="510">
        <v>616541</v>
      </c>
      <c r="AO174" s="510"/>
      <c r="AP174" s="510">
        <v>270749</v>
      </c>
      <c r="AQ174" s="510"/>
      <c r="AR174" s="510">
        <v>538219</v>
      </c>
      <c r="AS174" s="510">
        <v>35502</v>
      </c>
      <c r="AT174" s="510">
        <v>278043</v>
      </c>
    </row>
    <row r="175" spans="2:46" ht="13.5" x14ac:dyDescent="0.4">
      <c r="B175" s="269"/>
      <c r="C175" s="274" t="s">
        <v>823</v>
      </c>
      <c r="D175" s="691">
        <v>0</v>
      </c>
      <c r="E175" s="691">
        <v>0</v>
      </c>
      <c r="F175" s="691">
        <v>0</v>
      </c>
      <c r="G175" s="691">
        <v>0</v>
      </c>
      <c r="H175" s="691">
        <v>188784</v>
      </c>
      <c r="I175" s="691">
        <v>0</v>
      </c>
      <c r="J175" s="691">
        <v>116892</v>
      </c>
      <c r="K175" s="691">
        <v>0</v>
      </c>
      <c r="L175" s="691">
        <v>242175</v>
      </c>
      <c r="M175" s="691">
        <v>0</v>
      </c>
      <c r="N175" s="691">
        <v>6054</v>
      </c>
      <c r="O175" s="691">
        <v>0</v>
      </c>
      <c r="P175" s="691">
        <v>223709</v>
      </c>
      <c r="Q175" s="691">
        <v>0</v>
      </c>
      <c r="R175" s="691">
        <v>114674</v>
      </c>
      <c r="S175" s="691">
        <v>0</v>
      </c>
      <c r="T175" s="691">
        <v>237634</v>
      </c>
      <c r="U175" s="691">
        <v>0</v>
      </c>
      <c r="V175" s="691">
        <v>139471</v>
      </c>
      <c r="W175" s="691">
        <v>0</v>
      </c>
      <c r="X175" s="691">
        <v>304593</v>
      </c>
      <c r="Y175" s="691">
        <v>0</v>
      </c>
      <c r="Z175" s="691">
        <v>183912</v>
      </c>
      <c r="AA175" s="691">
        <v>0</v>
      </c>
      <c r="AB175" s="691">
        <v>378959</v>
      </c>
      <c r="AC175" s="691">
        <v>0</v>
      </c>
      <c r="AD175" s="691">
        <v>190237</v>
      </c>
      <c r="AE175" s="691">
        <v>0</v>
      </c>
      <c r="AF175" s="691">
        <v>389318</v>
      </c>
      <c r="AG175" s="691">
        <v>0</v>
      </c>
      <c r="AH175" s="691">
        <v>207102</v>
      </c>
      <c r="AI175" s="691">
        <v>0</v>
      </c>
      <c r="AJ175" s="691">
        <v>426497</v>
      </c>
      <c r="AK175" s="691">
        <v>0</v>
      </c>
      <c r="AL175" s="691">
        <v>214174</v>
      </c>
      <c r="AM175" s="691">
        <v>0</v>
      </c>
      <c r="AN175" s="691">
        <v>413892</v>
      </c>
      <c r="AO175" s="691">
        <v>0</v>
      </c>
      <c r="AP175" s="691">
        <v>178055</v>
      </c>
      <c r="AQ175" s="691">
        <v>0</v>
      </c>
      <c r="AR175" s="691">
        <v>346059</v>
      </c>
      <c r="AS175" s="691">
        <v>0</v>
      </c>
      <c r="AT175" s="691">
        <v>170143</v>
      </c>
    </row>
    <row r="176" spans="2:46" ht="13.5" x14ac:dyDescent="0.4">
      <c r="B176" s="269"/>
      <c r="C176" s="274" t="s">
        <v>824</v>
      </c>
      <c r="D176" s="692">
        <v>0</v>
      </c>
      <c r="E176" s="692">
        <v>0</v>
      </c>
      <c r="F176" s="692">
        <v>0</v>
      </c>
      <c r="G176" s="692">
        <v>0</v>
      </c>
      <c r="H176" s="692">
        <v>174441</v>
      </c>
      <c r="I176" s="692">
        <v>0</v>
      </c>
      <c r="J176" s="692">
        <v>108880</v>
      </c>
      <c r="K176" s="692">
        <v>0</v>
      </c>
      <c r="L176" s="692">
        <v>226646</v>
      </c>
      <c r="M176" s="692">
        <v>0</v>
      </c>
      <c r="N176" s="692">
        <v>0</v>
      </c>
      <c r="O176" s="692">
        <v>0</v>
      </c>
      <c r="P176" s="692">
        <v>213084</v>
      </c>
      <c r="Q176" s="692">
        <v>0</v>
      </c>
      <c r="R176" s="692">
        <v>110729</v>
      </c>
      <c r="S176" s="692">
        <v>0</v>
      </c>
      <c r="T176" s="692">
        <v>230183</v>
      </c>
      <c r="U176" s="692">
        <v>0</v>
      </c>
      <c r="V176" s="692">
        <v>135258</v>
      </c>
      <c r="W176" s="692">
        <v>0</v>
      </c>
      <c r="X176" s="692">
        <v>294291</v>
      </c>
      <c r="Y176" s="692">
        <v>0</v>
      </c>
      <c r="Z176" s="692">
        <v>176289</v>
      </c>
      <c r="AA176" s="692">
        <v>0</v>
      </c>
      <c r="AB176" s="692">
        <v>364464</v>
      </c>
      <c r="AC176" s="692">
        <v>0</v>
      </c>
      <c r="AD176" s="692">
        <v>185025</v>
      </c>
      <c r="AE176" s="692">
        <v>0</v>
      </c>
      <c r="AF176" s="692">
        <v>378988</v>
      </c>
      <c r="AG176" s="692">
        <v>0</v>
      </c>
      <c r="AH176" s="692">
        <v>202508</v>
      </c>
      <c r="AI176" s="692">
        <v>0</v>
      </c>
      <c r="AJ176" s="692">
        <v>413751</v>
      </c>
      <c r="AK176" s="692">
        <v>0</v>
      </c>
      <c r="AL176" s="692">
        <v>204597</v>
      </c>
      <c r="AM176" s="692">
        <v>0</v>
      </c>
      <c r="AN176" s="692">
        <v>394299</v>
      </c>
      <c r="AO176" s="692">
        <v>0</v>
      </c>
      <c r="AP176" s="692">
        <v>167945</v>
      </c>
      <c r="AQ176" s="692">
        <v>0</v>
      </c>
      <c r="AR176" s="692">
        <v>323952</v>
      </c>
      <c r="AS176" s="692">
        <v>0</v>
      </c>
      <c r="AT176" s="692">
        <v>161385</v>
      </c>
    </row>
    <row r="177" spans="2:46" ht="13.5" x14ac:dyDescent="0.4">
      <c r="B177" s="269"/>
      <c r="C177" s="274" t="s">
        <v>825</v>
      </c>
      <c r="D177" s="654">
        <v>0</v>
      </c>
      <c r="E177" s="654">
        <v>0</v>
      </c>
      <c r="F177" s="654">
        <v>0</v>
      </c>
      <c r="G177" s="654">
        <v>0</v>
      </c>
      <c r="H177" s="654">
        <v>14343</v>
      </c>
      <c r="I177" s="654">
        <v>0</v>
      </c>
      <c r="J177" s="654">
        <v>8012</v>
      </c>
      <c r="K177" s="654">
        <v>0</v>
      </c>
      <c r="L177" s="654">
        <v>15529</v>
      </c>
      <c r="M177" s="654">
        <v>0</v>
      </c>
      <c r="N177" s="654">
        <v>6054</v>
      </c>
      <c r="O177" s="654">
        <v>0</v>
      </c>
      <c r="P177" s="654">
        <v>10625</v>
      </c>
      <c r="Q177" s="654">
        <v>0</v>
      </c>
      <c r="R177" s="654">
        <v>3945</v>
      </c>
      <c r="S177" s="654">
        <v>0</v>
      </c>
      <c r="T177" s="654">
        <v>7451</v>
      </c>
      <c r="U177" s="654">
        <v>0</v>
      </c>
      <c r="V177" s="654">
        <v>4213</v>
      </c>
      <c r="W177" s="654">
        <v>0</v>
      </c>
      <c r="X177" s="654">
        <v>10302</v>
      </c>
      <c r="Y177" s="654">
        <v>0</v>
      </c>
      <c r="Z177" s="654">
        <v>7623</v>
      </c>
      <c r="AA177" s="654">
        <v>0</v>
      </c>
      <c r="AB177" s="654">
        <v>14495</v>
      </c>
      <c r="AC177" s="654">
        <v>0</v>
      </c>
      <c r="AD177" s="654">
        <v>5212</v>
      </c>
      <c r="AE177" s="654">
        <v>0</v>
      </c>
      <c r="AF177" s="654">
        <v>10330</v>
      </c>
      <c r="AG177" s="654">
        <v>0</v>
      </c>
      <c r="AH177" s="654">
        <v>4594</v>
      </c>
      <c r="AI177" s="654">
        <v>0</v>
      </c>
      <c r="AJ177" s="654">
        <v>12746</v>
      </c>
      <c r="AK177" s="654">
        <v>0</v>
      </c>
      <c r="AL177" s="654">
        <v>9577</v>
      </c>
      <c r="AM177" s="654">
        <v>0</v>
      </c>
      <c r="AN177" s="654">
        <v>19593</v>
      </c>
      <c r="AO177" s="654">
        <v>0</v>
      </c>
      <c r="AP177" s="654">
        <v>10110</v>
      </c>
      <c r="AQ177" s="654">
        <v>0</v>
      </c>
      <c r="AR177" s="654">
        <v>22107</v>
      </c>
      <c r="AS177" s="654">
        <v>0</v>
      </c>
      <c r="AT177" s="654">
        <v>8758</v>
      </c>
    </row>
    <row r="178" spans="2:46" ht="13.5" x14ac:dyDescent="0.4">
      <c r="B178" s="269"/>
      <c r="C178" s="275" t="s">
        <v>826</v>
      </c>
      <c r="D178" s="654">
        <v>0</v>
      </c>
      <c r="E178" s="654">
        <v>0</v>
      </c>
      <c r="F178" s="654">
        <v>0</v>
      </c>
      <c r="G178" s="654">
        <v>0</v>
      </c>
      <c r="H178" s="654">
        <v>41869</v>
      </c>
      <c r="I178" s="654">
        <v>0</v>
      </c>
      <c r="J178" s="654">
        <v>27730</v>
      </c>
      <c r="K178" s="654">
        <v>0</v>
      </c>
      <c r="L178" s="654">
        <v>56776</v>
      </c>
      <c r="M178" s="654">
        <v>0</v>
      </c>
      <c r="N178" s="654">
        <v>0</v>
      </c>
      <c r="O178" s="654">
        <v>0</v>
      </c>
      <c r="P178" s="654">
        <v>48445</v>
      </c>
      <c r="Q178" s="654">
        <v>0</v>
      </c>
      <c r="R178" s="654">
        <v>32049</v>
      </c>
      <c r="S178" s="654">
        <v>0</v>
      </c>
      <c r="T178" s="654">
        <v>69229</v>
      </c>
      <c r="U178" s="654">
        <v>0</v>
      </c>
      <c r="V178" s="654">
        <v>44829</v>
      </c>
      <c r="W178" s="654">
        <v>0</v>
      </c>
      <c r="X178" s="654">
        <v>96736</v>
      </c>
      <c r="Y178" s="654">
        <v>0</v>
      </c>
      <c r="Z178" s="654">
        <v>60990</v>
      </c>
      <c r="AA178" s="654">
        <v>0</v>
      </c>
      <c r="AB178" s="654">
        <v>125775</v>
      </c>
      <c r="AC178" s="654">
        <v>0</v>
      </c>
      <c r="AD178" s="654">
        <v>66741</v>
      </c>
      <c r="AE178" s="654">
        <v>0</v>
      </c>
      <c r="AF178" s="654">
        <v>140608</v>
      </c>
      <c r="AG178" s="654">
        <v>0</v>
      </c>
      <c r="AH178" s="654">
        <v>78055</v>
      </c>
      <c r="AI178" s="654">
        <v>0</v>
      </c>
      <c r="AJ178" s="654">
        <v>162346</v>
      </c>
      <c r="AK178" s="654">
        <v>0</v>
      </c>
      <c r="AL178" s="654">
        <v>82958</v>
      </c>
      <c r="AM178" s="654">
        <v>0</v>
      </c>
      <c r="AN178" s="654">
        <v>171894</v>
      </c>
      <c r="AO178" s="654">
        <v>0</v>
      </c>
      <c r="AP178" s="654">
        <v>76150</v>
      </c>
      <c r="AQ178" s="654">
        <v>0</v>
      </c>
      <c r="AR178" s="654">
        <v>156658</v>
      </c>
      <c r="AS178" s="654">
        <v>0</v>
      </c>
      <c r="AT178" s="654">
        <v>87103</v>
      </c>
    </row>
    <row r="179" spans="2:46" ht="13.5" x14ac:dyDescent="0.4">
      <c r="B179" s="269"/>
      <c r="C179" s="276" t="s">
        <v>827</v>
      </c>
      <c r="D179" s="1038"/>
      <c r="E179" s="1038"/>
      <c r="F179" s="1038"/>
      <c r="G179" s="1038"/>
      <c r="H179" s="1038"/>
      <c r="I179" s="1038"/>
      <c r="J179" s="1038"/>
      <c r="K179" s="1038"/>
      <c r="L179" s="1038"/>
      <c r="M179" s="1038"/>
      <c r="N179" s="1038"/>
      <c r="O179" s="1038"/>
      <c r="P179" s="1038"/>
      <c r="Q179" s="1038"/>
      <c r="R179" s="1038"/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>
        <v>138159</v>
      </c>
      <c r="AC179" s="1038"/>
      <c r="AD179" s="1038"/>
      <c r="AE179" s="1038"/>
      <c r="AF179" s="1038">
        <v>148514</v>
      </c>
      <c r="AG179" s="1038"/>
      <c r="AH179" s="1038">
        <v>77490</v>
      </c>
      <c r="AI179" s="1038"/>
      <c r="AJ179" s="1038">
        <v>159262</v>
      </c>
      <c r="AK179" s="1038"/>
      <c r="AL179" s="1038">
        <v>82664</v>
      </c>
      <c r="AM179" s="1038"/>
      <c r="AN179" s="1038">
        <v>170833</v>
      </c>
      <c r="AO179" s="1038"/>
      <c r="AP179" s="1038">
        <v>87675</v>
      </c>
      <c r="AQ179" s="1038"/>
      <c r="AR179" s="1038">
        <v>177298</v>
      </c>
      <c r="AS179" s="1038"/>
      <c r="AT179" s="1038">
        <v>90927</v>
      </c>
    </row>
    <row r="180" spans="2:46" ht="13.5" x14ac:dyDescent="0.4">
      <c r="B180" s="269"/>
      <c r="C180" s="274" t="s">
        <v>828</v>
      </c>
      <c r="D180" s="651"/>
      <c r="E180" s="651"/>
      <c r="F180" s="651"/>
      <c r="G180" s="651"/>
      <c r="H180" s="651"/>
      <c r="I180" s="651"/>
      <c r="J180" s="651"/>
      <c r="K180" s="651"/>
      <c r="L180" s="651"/>
      <c r="M180" s="651"/>
      <c r="N180" s="651"/>
      <c r="O180" s="651"/>
      <c r="P180" s="651"/>
      <c r="Q180" s="651"/>
      <c r="R180" s="651"/>
      <c r="S180" s="651"/>
      <c r="T180" s="651"/>
      <c r="U180" s="651"/>
      <c r="V180" s="651"/>
      <c r="W180" s="651"/>
      <c r="X180" s="651"/>
      <c r="Y180" s="651"/>
      <c r="Z180" s="651"/>
      <c r="AA180" s="651"/>
      <c r="AB180" s="651"/>
      <c r="AC180" s="651"/>
      <c r="AD180" s="651"/>
      <c r="AE180" s="651"/>
      <c r="AF180" s="651"/>
      <c r="AG180" s="651"/>
      <c r="AH180" s="651"/>
      <c r="AI180" s="651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</row>
    <row r="181" spans="2:46" ht="13.5" x14ac:dyDescent="0.4">
      <c r="B181" s="269"/>
      <c r="C181" s="274" t="s">
        <v>829</v>
      </c>
      <c r="D181" s="651"/>
      <c r="E181" s="651"/>
      <c r="F181" s="651"/>
      <c r="G181" s="651"/>
      <c r="H181" s="651"/>
      <c r="I181" s="651"/>
      <c r="J181" s="651"/>
      <c r="K181" s="651"/>
      <c r="L181" s="651"/>
      <c r="M181" s="651"/>
      <c r="N181" s="651"/>
      <c r="O181" s="651"/>
      <c r="P181" s="651"/>
      <c r="Q181" s="651"/>
      <c r="R181" s="651"/>
      <c r="S181" s="651"/>
      <c r="T181" s="651"/>
      <c r="U181" s="651"/>
      <c r="V181" s="651"/>
      <c r="W181" s="651"/>
      <c r="X181" s="651"/>
      <c r="Y181" s="651"/>
      <c r="Z181" s="651"/>
      <c r="AA181" s="651"/>
      <c r="AB181" s="651"/>
      <c r="AC181" s="651"/>
      <c r="AD181" s="651"/>
      <c r="AE181" s="651"/>
      <c r="AF181" s="651"/>
      <c r="AG181" s="651"/>
      <c r="AH181" s="651"/>
      <c r="AI181" s="651"/>
      <c r="AJ181" s="651"/>
      <c r="AK181" s="651"/>
      <c r="AL181" s="651"/>
      <c r="AM181" s="651"/>
      <c r="AN181" s="651"/>
      <c r="AO181" s="651"/>
      <c r="AP181" s="651"/>
      <c r="AQ181" s="651"/>
      <c r="AR181" s="651"/>
      <c r="AS181" s="651"/>
      <c r="AT181" s="651"/>
    </row>
    <row r="182" spans="2:46" ht="13.5" x14ac:dyDescent="0.4">
      <c r="B182" s="269"/>
      <c r="C182" s="278" t="s">
        <v>830</v>
      </c>
      <c r="D182" s="651"/>
      <c r="E182" s="651"/>
      <c r="F182" s="651"/>
      <c r="G182" s="651"/>
      <c r="H182" s="651"/>
      <c r="I182" s="651"/>
      <c r="J182" s="651"/>
      <c r="K182" s="651"/>
      <c r="L182" s="651"/>
      <c r="M182" s="651"/>
      <c r="N182" s="651"/>
      <c r="O182" s="651"/>
      <c r="P182" s="651"/>
      <c r="Q182" s="651"/>
      <c r="R182" s="651"/>
      <c r="S182" s="651"/>
      <c r="T182" s="651"/>
      <c r="U182" s="651"/>
      <c r="V182" s="651"/>
      <c r="W182" s="651"/>
      <c r="X182" s="651"/>
      <c r="Y182" s="651"/>
      <c r="Z182" s="651"/>
      <c r="AA182" s="651"/>
      <c r="AB182" s="651"/>
      <c r="AC182" s="651"/>
      <c r="AD182" s="651"/>
      <c r="AE182" s="651"/>
      <c r="AF182" s="651"/>
      <c r="AG182" s="651"/>
      <c r="AH182" s="651"/>
      <c r="AI182" s="651"/>
      <c r="AJ182" s="651"/>
      <c r="AK182" s="651"/>
      <c r="AL182" s="651"/>
      <c r="AM182" s="651"/>
      <c r="AN182" s="651"/>
      <c r="AO182" s="651"/>
      <c r="AP182" s="651"/>
      <c r="AQ182" s="651"/>
      <c r="AR182" s="651"/>
      <c r="AS182" s="651"/>
      <c r="AT182" s="651"/>
    </row>
    <row r="183" spans="2:46" ht="13.5" x14ac:dyDescent="0.4">
      <c r="B183" s="269"/>
      <c r="C183" s="275" t="s">
        <v>831</v>
      </c>
      <c r="D183" s="682"/>
      <c r="E183" s="682"/>
      <c r="F183" s="682"/>
      <c r="G183" s="682"/>
      <c r="H183" s="682"/>
      <c r="I183" s="682"/>
      <c r="J183" s="682"/>
      <c r="K183" s="682"/>
      <c r="L183" s="682"/>
      <c r="M183" s="682"/>
      <c r="N183" s="682"/>
      <c r="O183" s="682"/>
      <c r="P183" s="682"/>
      <c r="Q183" s="682"/>
      <c r="R183" s="682"/>
      <c r="S183" s="682"/>
      <c r="T183" s="682"/>
      <c r="U183" s="682"/>
      <c r="V183" s="682"/>
      <c r="W183" s="682"/>
      <c r="X183" s="682"/>
      <c r="Y183" s="682"/>
      <c r="Z183" s="682"/>
      <c r="AA183" s="682"/>
      <c r="AB183" s="682"/>
      <c r="AC183" s="682"/>
      <c r="AD183" s="682"/>
      <c r="AE183" s="682"/>
      <c r="AF183" s="682"/>
      <c r="AG183" s="682"/>
      <c r="AH183" s="682"/>
      <c r="AI183" s="682"/>
      <c r="AJ183" s="682"/>
      <c r="AK183" s="682"/>
      <c r="AL183" s="682"/>
      <c r="AM183" s="682"/>
      <c r="AN183" s="682"/>
      <c r="AO183" s="682"/>
      <c r="AP183" s="682"/>
      <c r="AQ183" s="682"/>
      <c r="AR183" s="682"/>
      <c r="AS183" s="682"/>
      <c r="AT183" s="682"/>
    </row>
    <row r="184" spans="2:46" ht="13.5" x14ac:dyDescent="0.4">
      <c r="B184" s="269"/>
      <c r="C184" s="276" t="s">
        <v>832</v>
      </c>
      <c r="D184" s="1039"/>
      <c r="E184" s="1039"/>
      <c r="F184" s="1039"/>
      <c r="G184" s="1039"/>
      <c r="H184" s="1039"/>
      <c r="I184" s="1039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AB184" s="1039">
        <v>41766</v>
      </c>
      <c r="AC184" s="1039"/>
      <c r="AD184" s="1039"/>
      <c r="AE184" s="1039"/>
      <c r="AF184" s="1039">
        <v>45487</v>
      </c>
      <c r="AG184" s="1039"/>
      <c r="AH184" s="1039">
        <v>23695</v>
      </c>
      <c r="AI184" s="1039"/>
      <c r="AJ184" s="1039">
        <v>48384</v>
      </c>
      <c r="AK184" s="1039"/>
      <c r="AL184" s="1039">
        <v>24538</v>
      </c>
      <c r="AM184" s="1039"/>
      <c r="AN184" s="1039">
        <v>47867</v>
      </c>
      <c r="AO184" s="1039"/>
      <c r="AP184" s="1039">
        <v>21730</v>
      </c>
      <c r="AQ184" s="1039"/>
      <c r="AR184" s="1039">
        <v>44678</v>
      </c>
      <c r="AS184" s="1039"/>
      <c r="AT184" s="1039">
        <v>23018</v>
      </c>
    </row>
    <row r="185" spans="2:46" ht="13.5" x14ac:dyDescent="0.4">
      <c r="B185" s="269"/>
      <c r="C185" s="272" t="s">
        <v>833</v>
      </c>
      <c r="D185" s="1041"/>
      <c r="E185" s="1041"/>
      <c r="F185" s="1041"/>
      <c r="G185" s="1041"/>
      <c r="H185" s="1041"/>
      <c r="I185" s="1041"/>
      <c r="J185" s="1041"/>
      <c r="K185" s="1041"/>
      <c r="L185" s="1041"/>
      <c r="M185" s="1041"/>
      <c r="N185" s="1041"/>
      <c r="O185" s="1041"/>
      <c r="P185" s="1041"/>
      <c r="Q185" s="1041"/>
      <c r="R185" s="1041"/>
      <c r="S185" s="1041"/>
      <c r="T185" s="1041"/>
      <c r="U185" s="1041"/>
      <c r="V185" s="1041"/>
      <c r="W185" s="1041"/>
      <c r="X185" s="1041"/>
      <c r="Y185" s="1041"/>
      <c r="Z185" s="1041"/>
      <c r="AA185" s="1041"/>
      <c r="AB185" s="1041">
        <v>21662</v>
      </c>
      <c r="AC185" s="1041"/>
      <c r="AD185" s="1041"/>
      <c r="AE185" s="1041"/>
      <c r="AF185" s="1041">
        <v>24470</v>
      </c>
      <c r="AG185" s="1041"/>
      <c r="AH185" s="1041">
        <v>13675</v>
      </c>
      <c r="AI185" s="1041"/>
      <c r="AJ185" s="1041">
        <v>26745</v>
      </c>
      <c r="AK185" s="1041"/>
      <c r="AL185" s="1041">
        <v>18231</v>
      </c>
      <c r="AM185" s="1041"/>
      <c r="AN185" s="1041">
        <v>36538</v>
      </c>
      <c r="AO185" s="1041"/>
      <c r="AP185" s="1041">
        <v>15074</v>
      </c>
      <c r="AQ185" s="1041"/>
      <c r="AR185" s="1041">
        <v>31285.000000000004</v>
      </c>
      <c r="AS185" s="1041"/>
      <c r="AT185" s="1041">
        <v>26365</v>
      </c>
    </row>
    <row r="186" spans="2:46" ht="13.5" x14ac:dyDescent="0.4">
      <c r="B186" s="269"/>
      <c r="C186" s="274" t="s">
        <v>834</v>
      </c>
      <c r="D186" s="684"/>
      <c r="E186" s="684"/>
      <c r="F186" s="684"/>
      <c r="G186" s="684"/>
      <c r="H186" s="684"/>
      <c r="I186" s="684"/>
      <c r="J186" s="684"/>
      <c r="K186" s="684"/>
      <c r="L186" s="684"/>
      <c r="M186" s="684"/>
      <c r="N186" s="684"/>
      <c r="O186" s="684"/>
      <c r="P186" s="684"/>
      <c r="Q186" s="684"/>
      <c r="R186" s="684"/>
      <c r="S186" s="684"/>
      <c r="T186" s="684"/>
      <c r="U186" s="684"/>
      <c r="V186" s="684"/>
      <c r="W186" s="684"/>
      <c r="X186" s="684"/>
      <c r="Y186" s="684"/>
      <c r="Z186" s="684"/>
      <c r="AA186" s="684"/>
      <c r="AB186" s="684"/>
      <c r="AC186" s="684"/>
      <c r="AD186" s="684"/>
      <c r="AE186" s="684"/>
      <c r="AF186" s="684"/>
      <c r="AG186" s="684"/>
      <c r="AH186" s="684"/>
      <c r="AI186" s="684"/>
      <c r="AJ186" s="684"/>
      <c r="AK186" s="684"/>
      <c r="AL186" s="684"/>
      <c r="AM186" s="684"/>
      <c r="AN186" s="684"/>
      <c r="AO186" s="684"/>
      <c r="AP186" s="684"/>
      <c r="AQ186" s="684"/>
      <c r="AR186" s="684"/>
      <c r="AS186" s="684"/>
    </row>
    <row r="187" spans="2:46" ht="13.5" x14ac:dyDescent="0.4">
      <c r="B187" s="269"/>
      <c r="C187" s="274" t="s">
        <v>835</v>
      </c>
      <c r="D187" s="651"/>
      <c r="E187" s="651"/>
      <c r="F187" s="651"/>
      <c r="G187" s="651"/>
      <c r="H187" s="651"/>
      <c r="I187" s="651"/>
      <c r="J187" s="651"/>
      <c r="K187" s="651"/>
      <c r="L187" s="651"/>
      <c r="M187" s="651"/>
      <c r="N187" s="651"/>
      <c r="O187" s="651"/>
      <c r="P187" s="651"/>
      <c r="Q187" s="651"/>
      <c r="R187" s="651"/>
      <c r="S187" s="651"/>
      <c r="T187" s="651"/>
      <c r="U187" s="651"/>
      <c r="V187" s="651"/>
      <c r="W187" s="651"/>
      <c r="X187" s="651"/>
      <c r="Y187" s="651"/>
      <c r="Z187" s="651"/>
      <c r="AA187" s="651"/>
      <c r="AB187" s="651"/>
      <c r="AC187" s="651"/>
      <c r="AD187" s="651"/>
      <c r="AE187" s="651"/>
      <c r="AF187" s="651"/>
      <c r="AG187" s="651"/>
      <c r="AH187" s="651"/>
      <c r="AI187" s="651"/>
      <c r="AJ187" s="651"/>
      <c r="AK187" s="651"/>
      <c r="AL187" s="651"/>
      <c r="AM187" s="651"/>
      <c r="AN187" s="651"/>
      <c r="AO187" s="651"/>
      <c r="AP187" s="651"/>
      <c r="AQ187" s="651"/>
      <c r="AR187" s="651"/>
      <c r="AS187" s="651"/>
    </row>
    <row r="188" spans="2:46" ht="13.5" x14ac:dyDescent="0.4">
      <c r="B188" s="269"/>
      <c r="C188" s="275" t="s">
        <v>836</v>
      </c>
      <c r="D188" s="661"/>
      <c r="E188" s="661"/>
      <c r="F188" s="661"/>
      <c r="G188" s="661"/>
      <c r="H188" s="661"/>
      <c r="I188" s="661"/>
      <c r="J188" s="661"/>
      <c r="K188" s="661"/>
      <c r="L188" s="661"/>
      <c r="M188" s="661"/>
      <c r="N188" s="661"/>
      <c r="O188" s="661"/>
      <c r="P188" s="661"/>
      <c r="Q188" s="661"/>
      <c r="R188" s="661"/>
      <c r="S188" s="661"/>
      <c r="T188" s="661"/>
      <c r="U188" s="661"/>
      <c r="V188" s="661"/>
      <c r="W188" s="661"/>
      <c r="X188" s="661"/>
      <c r="Y188" s="661"/>
      <c r="Z188" s="661"/>
      <c r="AA188" s="661"/>
      <c r="AB188" s="661"/>
      <c r="AC188" s="661"/>
      <c r="AD188" s="661"/>
      <c r="AE188" s="661"/>
      <c r="AF188" s="661"/>
      <c r="AG188" s="661"/>
      <c r="AH188" s="661"/>
      <c r="AI188" s="661"/>
      <c r="AJ188" s="661"/>
      <c r="AK188" s="661"/>
      <c r="AL188" s="661"/>
      <c r="AM188" s="661"/>
      <c r="AN188" s="661"/>
      <c r="AO188" s="661"/>
      <c r="AP188" s="661"/>
      <c r="AQ188" s="661"/>
      <c r="AR188" s="661"/>
      <c r="AS188" s="661"/>
    </row>
    <row r="189" spans="2:46" ht="13.9" thickBot="1" x14ac:dyDescent="0.45">
      <c r="B189" s="269"/>
      <c r="C189" s="280" t="s">
        <v>837</v>
      </c>
      <c r="D189" s="685"/>
      <c r="E189" s="685"/>
      <c r="F189" s="685"/>
      <c r="G189" s="685"/>
      <c r="H189" s="685"/>
      <c r="I189" s="685"/>
      <c r="J189" s="685"/>
      <c r="K189" s="685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</row>
    <row r="190" spans="2:46" s="231" customFormat="1" ht="13.5" x14ac:dyDescent="0.4">
      <c r="B190" s="292"/>
      <c r="C190" s="230" t="s">
        <v>281</v>
      </c>
      <c r="D190" s="636">
        <v>0</v>
      </c>
      <c r="E190" s="636">
        <v>0</v>
      </c>
      <c r="F190" s="636">
        <v>0</v>
      </c>
      <c r="G190" s="636">
        <v>0</v>
      </c>
      <c r="H190" s="636">
        <v>0</v>
      </c>
      <c r="I190" s="636">
        <v>0</v>
      </c>
      <c r="J190" s="636">
        <v>0</v>
      </c>
      <c r="K190" s="636">
        <v>0</v>
      </c>
      <c r="L190" s="636">
        <v>0</v>
      </c>
      <c r="M190" s="636">
        <v>0</v>
      </c>
      <c r="N190" s="636">
        <v>0</v>
      </c>
      <c r="O190" s="636">
        <v>0</v>
      </c>
      <c r="P190" s="636">
        <v>0</v>
      </c>
      <c r="Q190" s="636">
        <v>0</v>
      </c>
      <c r="R190" s="636">
        <v>0</v>
      </c>
      <c r="S190" s="636">
        <v>0</v>
      </c>
      <c r="T190" s="636">
        <v>0</v>
      </c>
      <c r="U190" s="636">
        <v>0</v>
      </c>
      <c r="V190" s="636">
        <v>0</v>
      </c>
      <c r="W190" s="636">
        <v>0</v>
      </c>
      <c r="X190" s="636">
        <v>0</v>
      </c>
      <c r="Y190" s="636">
        <v>0</v>
      </c>
      <c r="Z190" s="636">
        <v>0</v>
      </c>
      <c r="AA190" s="636">
        <v>0</v>
      </c>
      <c r="AB190" s="636">
        <v>0</v>
      </c>
      <c r="AC190" s="636">
        <v>0</v>
      </c>
      <c r="AD190" s="636">
        <v>0</v>
      </c>
      <c r="AE190" s="636">
        <v>0</v>
      </c>
      <c r="AF190" s="636">
        <v>0</v>
      </c>
      <c r="AG190" s="636">
        <v>0</v>
      </c>
      <c r="AH190" s="636">
        <v>0</v>
      </c>
      <c r="AI190" s="636">
        <v>0</v>
      </c>
      <c r="AJ190" s="636">
        <v>0</v>
      </c>
      <c r="AK190" s="636">
        <v>0</v>
      </c>
      <c r="AL190" s="636">
        <v>0</v>
      </c>
      <c r="AM190" s="636">
        <v>0</v>
      </c>
      <c r="AN190" s="636">
        <v>0</v>
      </c>
      <c r="AO190" s="636">
        <v>0</v>
      </c>
      <c r="AP190" s="636">
        <v>0</v>
      </c>
      <c r="AQ190" s="636">
        <v>0</v>
      </c>
      <c r="AR190" s="636">
        <v>-3.637978807091713E-12</v>
      </c>
      <c r="AS190" s="636">
        <v>0</v>
      </c>
      <c r="AT190" s="648"/>
    </row>
    <row r="191" spans="2:46" x14ac:dyDescent="0.4">
      <c r="B191" s="268"/>
      <c r="C191" s="263"/>
      <c r="AL191" s="630"/>
    </row>
    <row r="192" spans="2:46" ht="13.5" thickBot="1" x14ac:dyDescent="0.45">
      <c r="B192" s="278"/>
      <c r="C192" s="281"/>
      <c r="T192" s="630"/>
      <c r="U192" s="630"/>
      <c r="V192" s="630"/>
      <c r="W192" s="630"/>
      <c r="X192" s="630"/>
      <c r="Y192" s="630"/>
      <c r="Z192" s="630"/>
      <c r="AA192" s="630"/>
      <c r="AB192" s="630">
        <v>-303611</v>
      </c>
      <c r="AC192" s="630"/>
      <c r="AD192" s="630"/>
      <c r="AE192" s="630"/>
      <c r="AF192" s="630">
        <v>-323776</v>
      </c>
      <c r="AG192" s="630"/>
      <c r="AH192" s="630">
        <v>-175006</v>
      </c>
      <c r="AI192" s="630"/>
      <c r="AJ192" s="630">
        <v>-356357</v>
      </c>
      <c r="AK192" s="630"/>
      <c r="AL192" s="630">
        <v>-185208</v>
      </c>
      <c r="AM192" s="630"/>
      <c r="AN192" s="630">
        <v>-363912</v>
      </c>
      <c r="AO192" s="630"/>
      <c r="AP192" s="630">
        <v>-160948</v>
      </c>
      <c r="AQ192" s="630"/>
      <c r="AR192" s="630">
        <v>-319634</v>
      </c>
      <c r="AS192" s="630"/>
    </row>
    <row r="193" spans="2:46" ht="13.5" x14ac:dyDescent="0.4">
      <c r="B193" s="268"/>
      <c r="C193" s="282" t="s">
        <v>597</v>
      </c>
      <c r="D193" s="650">
        <v>-109823</v>
      </c>
      <c r="E193" s="650">
        <v>-30374</v>
      </c>
      <c r="F193" s="650">
        <v>-61589</v>
      </c>
      <c r="G193" s="650">
        <v>-96550</v>
      </c>
      <c r="H193" s="650">
        <v>-132822</v>
      </c>
      <c r="I193" s="650">
        <v>-39322</v>
      </c>
      <c r="J193" s="650">
        <v>-83226</v>
      </c>
      <c r="K193" s="650">
        <v>-130859</v>
      </c>
      <c r="L193" s="650">
        <v>-177537</v>
      </c>
      <c r="M193" s="650">
        <v>-42318</v>
      </c>
      <c r="N193" s="650">
        <v>-83239</v>
      </c>
      <c r="O193" s="650">
        <v>-122570</v>
      </c>
      <c r="P193" s="650">
        <v>-160057</v>
      </c>
      <c r="Q193" s="650">
        <v>-37635</v>
      </c>
      <c r="R193" s="650">
        <v>-76553</v>
      </c>
      <c r="S193" s="650">
        <v>-117155</v>
      </c>
      <c r="T193" s="650">
        <v>-159013</v>
      </c>
      <c r="U193" s="650">
        <v>-45517</v>
      </c>
      <c r="V193" s="650">
        <v>-98215</v>
      </c>
      <c r="W193" s="650">
        <v>-159100</v>
      </c>
      <c r="X193" s="650">
        <v>-226816</v>
      </c>
      <c r="Y193" s="650">
        <v>-75532</v>
      </c>
      <c r="Z193" s="650">
        <v>-150464</v>
      </c>
      <c r="AA193" s="650">
        <v>-225948</v>
      </c>
      <c r="AB193" s="650">
        <v>-303611</v>
      </c>
      <c r="AC193" s="650">
        <v>-77586</v>
      </c>
      <c r="AD193" s="650">
        <v>-156618</v>
      </c>
      <c r="AE193" s="650">
        <v>-239133</v>
      </c>
      <c r="AF193" s="650">
        <v>-323776</v>
      </c>
      <c r="AG193" s="650">
        <v>-87320</v>
      </c>
      <c r="AH193" s="650">
        <v>-175006</v>
      </c>
      <c r="AI193" s="650">
        <v>-264717</v>
      </c>
      <c r="AJ193" s="650">
        <v>-356357</v>
      </c>
      <c r="AK193" s="650">
        <v>-91553</v>
      </c>
      <c r="AL193" s="650">
        <v>-185208</v>
      </c>
      <c r="AM193" s="650">
        <v>-277043</v>
      </c>
      <c r="AN193" s="650">
        <v>-363912</v>
      </c>
      <c r="AO193" s="650">
        <v>-81665</v>
      </c>
      <c r="AP193" s="650">
        <v>-160948</v>
      </c>
      <c r="AQ193" s="650">
        <v>-239336</v>
      </c>
      <c r="AR193" s="650">
        <v>-319634</v>
      </c>
      <c r="AS193" s="650">
        <v>-82017</v>
      </c>
      <c r="AT193" s="650">
        <v>-167431</v>
      </c>
    </row>
    <row r="194" spans="2:46" ht="13.5" x14ac:dyDescent="0.4">
      <c r="B194" s="268"/>
      <c r="C194" s="272" t="s">
        <v>838</v>
      </c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514">
        <v>-143823</v>
      </c>
      <c r="Q194" s="514">
        <v>0</v>
      </c>
      <c r="R194" s="514">
        <v>-67181</v>
      </c>
      <c r="S194" s="514">
        <v>0</v>
      </c>
      <c r="T194" s="514">
        <v>-138565</v>
      </c>
      <c r="U194" s="514">
        <v>0</v>
      </c>
      <c r="V194" s="514">
        <v>-82781</v>
      </c>
      <c r="W194" s="514">
        <v>0</v>
      </c>
      <c r="X194" s="514">
        <v>-185129</v>
      </c>
      <c r="Y194" s="514">
        <v>0</v>
      </c>
      <c r="Z194" s="514">
        <v>-117041</v>
      </c>
      <c r="AA194" s="514">
        <v>0</v>
      </c>
      <c r="AB194" s="514">
        <v>-249422</v>
      </c>
      <c r="AC194" s="514">
        <v>0</v>
      </c>
      <c r="AD194" s="514">
        <v>-129058</v>
      </c>
      <c r="AE194" s="514">
        <v>0</v>
      </c>
      <c r="AF194" s="514">
        <v>-273797</v>
      </c>
      <c r="AG194" s="514">
        <v>0</v>
      </c>
      <c r="AH194" s="514">
        <v>-146493</v>
      </c>
      <c r="AI194" s="514">
        <v>0</v>
      </c>
      <c r="AJ194" s="514">
        <v>-298941</v>
      </c>
      <c r="AK194" s="514">
        <v>0</v>
      </c>
      <c r="AL194" s="514">
        <v>-151971</v>
      </c>
      <c r="AM194" s="514">
        <v>0</v>
      </c>
      <c r="AN194" s="514">
        <v>-298010</v>
      </c>
      <c r="AO194" s="514">
        <v>0</v>
      </c>
      <c r="AP194" s="514">
        <v>-129967</v>
      </c>
      <c r="AQ194" s="514">
        <v>0</v>
      </c>
      <c r="AR194" s="514">
        <v>-257850</v>
      </c>
      <c r="AS194" s="514">
        <v>0</v>
      </c>
      <c r="AT194" s="514">
        <v>-127754</v>
      </c>
    </row>
    <row r="195" spans="2:46" s="207" customFormat="1" ht="13.5" x14ac:dyDescent="0.4">
      <c r="B195" s="268"/>
      <c r="C195" s="295" t="s">
        <v>839</v>
      </c>
      <c r="D195" s="579"/>
      <c r="E195" s="579"/>
      <c r="F195" s="579"/>
      <c r="G195" s="579"/>
      <c r="H195" s="579"/>
      <c r="I195" s="579"/>
      <c r="J195" s="579"/>
      <c r="K195" s="579"/>
      <c r="L195" s="579"/>
      <c r="M195" s="579"/>
      <c r="N195" s="579"/>
      <c r="O195" s="579"/>
      <c r="P195" s="693">
        <v>-24024</v>
      </c>
      <c r="Q195" s="693">
        <v>0</v>
      </c>
      <c r="R195" s="693">
        <v>-13742</v>
      </c>
      <c r="S195" s="693">
        <v>0</v>
      </c>
      <c r="T195" s="693">
        <v>-28805</v>
      </c>
      <c r="U195" s="693">
        <v>0</v>
      </c>
      <c r="V195" s="693">
        <v>-18738</v>
      </c>
      <c r="W195" s="693">
        <v>0</v>
      </c>
      <c r="X195" s="693">
        <v>-39981</v>
      </c>
      <c r="Y195" s="693">
        <v>0</v>
      </c>
      <c r="Z195" s="693">
        <v>-20866</v>
      </c>
      <c r="AA195" s="693">
        <v>0</v>
      </c>
      <c r="AB195" s="693">
        <v>-40033</v>
      </c>
      <c r="AC195" s="693">
        <v>0</v>
      </c>
      <c r="AD195" s="693">
        <v>-18143</v>
      </c>
      <c r="AE195" s="693">
        <v>0</v>
      </c>
      <c r="AF195" s="693">
        <v>-38338</v>
      </c>
      <c r="AG195" s="693">
        <v>0</v>
      </c>
      <c r="AH195" s="693">
        <v>-19602</v>
      </c>
      <c r="AI195" s="693">
        <v>0</v>
      </c>
      <c r="AJ195" s="693">
        <v>-40623</v>
      </c>
      <c r="AK195" s="693">
        <v>0</v>
      </c>
      <c r="AL195" s="693">
        <v>-20141</v>
      </c>
      <c r="AM195" s="693">
        <v>0</v>
      </c>
      <c r="AN195" s="693">
        <v>-40609</v>
      </c>
      <c r="AO195" s="693">
        <v>0</v>
      </c>
      <c r="AP195" s="693">
        <v>-19377</v>
      </c>
      <c r="AQ195" s="693">
        <v>0</v>
      </c>
      <c r="AR195" s="693">
        <v>-42452</v>
      </c>
      <c r="AS195" s="693">
        <v>0</v>
      </c>
      <c r="AT195" s="693">
        <v>-24071</v>
      </c>
    </row>
    <row r="196" spans="2:46" ht="13.5" x14ac:dyDescent="0.4">
      <c r="B196" s="268"/>
      <c r="C196" s="274" t="s">
        <v>840</v>
      </c>
      <c r="D196" s="651">
        <v>0</v>
      </c>
      <c r="E196" s="651">
        <v>0</v>
      </c>
      <c r="F196" s="651">
        <v>0</v>
      </c>
      <c r="G196" s="651">
        <v>0</v>
      </c>
      <c r="H196" s="651">
        <v>-21607</v>
      </c>
      <c r="I196" s="651">
        <v>0</v>
      </c>
      <c r="J196" s="651">
        <v>-12021</v>
      </c>
      <c r="K196" s="651">
        <v>0</v>
      </c>
      <c r="L196" s="651">
        <v>-24721</v>
      </c>
      <c r="M196" s="651">
        <v>0</v>
      </c>
      <c r="N196" s="651">
        <v>-8232</v>
      </c>
      <c r="O196" s="651">
        <v>0</v>
      </c>
      <c r="P196" s="651">
        <v>-18456</v>
      </c>
      <c r="Q196" s="651">
        <v>0</v>
      </c>
      <c r="R196" s="651">
        <v>-10287</v>
      </c>
      <c r="S196" s="651">
        <v>0</v>
      </c>
      <c r="T196" s="651">
        <v>-21595</v>
      </c>
      <c r="U196" s="651">
        <v>0</v>
      </c>
      <c r="V196" s="651">
        <v>-13466</v>
      </c>
      <c r="W196" s="651">
        <v>0</v>
      </c>
      <c r="X196" s="651">
        <v>-29318</v>
      </c>
      <c r="Y196" s="651">
        <v>0</v>
      </c>
      <c r="Z196" s="651">
        <v>-15276</v>
      </c>
      <c r="AA196" s="651">
        <v>0</v>
      </c>
      <c r="AB196" s="651">
        <v>-30046</v>
      </c>
      <c r="AC196" s="651">
        <v>0</v>
      </c>
      <c r="AD196" s="651">
        <v>-13269</v>
      </c>
      <c r="AE196" s="651">
        <v>0</v>
      </c>
      <c r="AF196" s="651">
        <v>-28454</v>
      </c>
      <c r="AG196" s="651">
        <v>0</v>
      </c>
      <c r="AH196" s="651">
        <v>-14460</v>
      </c>
      <c r="AI196" s="651">
        <v>0</v>
      </c>
      <c r="AJ196" s="651">
        <v>-30297</v>
      </c>
      <c r="AK196" s="651">
        <v>0</v>
      </c>
      <c r="AL196" s="651">
        <v>-14797</v>
      </c>
      <c r="AM196" s="651">
        <v>0</v>
      </c>
      <c r="AN196" s="651">
        <v>-30170</v>
      </c>
      <c r="AO196" s="651">
        <v>0</v>
      </c>
      <c r="AP196" s="651">
        <v>-14238</v>
      </c>
      <c r="AQ196" s="651">
        <v>0</v>
      </c>
      <c r="AR196" s="651">
        <v>-31855</v>
      </c>
      <c r="AS196" s="651">
        <v>0</v>
      </c>
      <c r="AT196" s="651">
        <v>-17032</v>
      </c>
    </row>
    <row r="197" spans="2:46" ht="13.5" x14ac:dyDescent="0.4">
      <c r="B197" s="268"/>
      <c r="C197" s="274" t="s">
        <v>841</v>
      </c>
      <c r="D197" s="651">
        <v>0</v>
      </c>
      <c r="E197" s="651">
        <v>0</v>
      </c>
      <c r="F197" s="651">
        <v>0</v>
      </c>
      <c r="G197" s="651">
        <v>0</v>
      </c>
      <c r="H197" s="651">
        <v>-9150</v>
      </c>
      <c r="I197" s="651">
        <v>0</v>
      </c>
      <c r="J197" s="651">
        <v>-4250</v>
      </c>
      <c r="K197" s="651">
        <v>0</v>
      </c>
      <c r="L197" s="651">
        <v>-7590</v>
      </c>
      <c r="M197" s="651">
        <v>0</v>
      </c>
      <c r="N197" s="651">
        <v>-2638</v>
      </c>
      <c r="O197" s="651">
        <v>0</v>
      </c>
      <c r="P197" s="651">
        <v>-5568</v>
      </c>
      <c r="Q197" s="651">
        <v>0</v>
      </c>
      <c r="R197" s="651">
        <v>-3455</v>
      </c>
      <c r="S197" s="651">
        <v>0</v>
      </c>
      <c r="T197" s="651">
        <v>-7210</v>
      </c>
      <c r="U197" s="651">
        <v>0</v>
      </c>
      <c r="V197" s="651">
        <v>-5272</v>
      </c>
      <c r="W197" s="651">
        <v>0</v>
      </c>
      <c r="X197" s="651">
        <v>-10663</v>
      </c>
      <c r="Y197" s="651">
        <v>0</v>
      </c>
      <c r="Z197" s="651">
        <v>-5590</v>
      </c>
      <c r="AA197" s="651">
        <v>0</v>
      </c>
      <c r="AB197" s="651">
        <v>-9987</v>
      </c>
      <c r="AC197" s="651">
        <v>0</v>
      </c>
      <c r="AD197" s="651">
        <v>-4874</v>
      </c>
      <c r="AE197" s="651">
        <v>0</v>
      </c>
      <c r="AF197" s="651">
        <v>-9884</v>
      </c>
      <c r="AG197" s="651">
        <v>0</v>
      </c>
      <c r="AH197" s="651">
        <v>-5142</v>
      </c>
      <c r="AI197" s="651">
        <v>0</v>
      </c>
      <c r="AJ197" s="651">
        <v>-10326</v>
      </c>
      <c r="AK197" s="651">
        <v>0</v>
      </c>
      <c r="AL197" s="651">
        <v>-5344</v>
      </c>
      <c r="AM197" s="651">
        <v>0</v>
      </c>
      <c r="AN197" s="651">
        <v>-10439</v>
      </c>
      <c r="AO197" s="651">
        <v>0</v>
      </c>
      <c r="AP197" s="651">
        <v>-5139</v>
      </c>
      <c r="AQ197" s="651">
        <v>0</v>
      </c>
      <c r="AR197" s="651">
        <v>-10597</v>
      </c>
      <c r="AS197" s="651">
        <v>0</v>
      </c>
      <c r="AT197" s="651">
        <v>-7039</v>
      </c>
    </row>
    <row r="198" spans="2:46" s="207" customFormat="1" ht="13.5" x14ac:dyDescent="0.4">
      <c r="B198" s="268"/>
      <c r="C198" s="295" t="s">
        <v>842</v>
      </c>
      <c r="D198" s="517"/>
      <c r="E198" s="517"/>
      <c r="F198" s="517"/>
      <c r="G198" s="517"/>
      <c r="H198" s="517">
        <v>-80337</v>
      </c>
      <c r="I198" s="517">
        <v>0</v>
      </c>
      <c r="J198" s="517">
        <v>-55204</v>
      </c>
      <c r="K198" s="517">
        <v>0</v>
      </c>
      <c r="L198" s="517">
        <v>-124251</v>
      </c>
      <c r="M198" s="517">
        <v>0</v>
      </c>
      <c r="N198" s="517">
        <v>-64757</v>
      </c>
      <c r="O198" s="517">
        <v>0</v>
      </c>
      <c r="P198" s="517">
        <v>-119799</v>
      </c>
      <c r="Q198" s="517">
        <v>0</v>
      </c>
      <c r="R198" s="517">
        <v>-53439</v>
      </c>
      <c r="S198" s="517">
        <v>0</v>
      </c>
      <c r="T198" s="517">
        <v>-109760</v>
      </c>
      <c r="U198" s="517">
        <v>0</v>
      </c>
      <c r="V198" s="517">
        <v>-64043</v>
      </c>
      <c r="W198" s="517">
        <v>0</v>
      </c>
      <c r="X198" s="517">
        <v>-145148</v>
      </c>
      <c r="Y198" s="517">
        <v>0</v>
      </c>
      <c r="Z198" s="517">
        <v>-96175</v>
      </c>
      <c r="AA198" s="517">
        <v>0</v>
      </c>
      <c r="AB198" s="517">
        <v>-203830</v>
      </c>
      <c r="AC198" s="517">
        <v>0</v>
      </c>
      <c r="AD198" s="517">
        <v>-110915</v>
      </c>
      <c r="AE198" s="517">
        <v>0</v>
      </c>
      <c r="AF198" s="517">
        <v>-228946</v>
      </c>
      <c r="AG198" s="517">
        <v>0</v>
      </c>
      <c r="AH198" s="517">
        <v>-122174</v>
      </c>
      <c r="AI198" s="517">
        <v>0</v>
      </c>
      <c r="AJ198" s="517">
        <v>-248810</v>
      </c>
      <c r="AK198" s="517">
        <v>0</v>
      </c>
      <c r="AL198" s="517">
        <v>-127053</v>
      </c>
      <c r="AM198" s="517">
        <v>0</v>
      </c>
      <c r="AN198" s="517">
        <v>-248330</v>
      </c>
      <c r="AO198" s="517">
        <v>0</v>
      </c>
      <c r="AP198" s="517">
        <v>-105953</v>
      </c>
      <c r="AQ198" s="517">
        <v>0</v>
      </c>
      <c r="AR198" s="517">
        <v>-205666</v>
      </c>
      <c r="AS198" s="517">
        <v>0</v>
      </c>
      <c r="AT198" s="517">
        <v>-98475</v>
      </c>
    </row>
    <row r="199" spans="2:46" ht="13.5" x14ac:dyDescent="0.4">
      <c r="B199" s="268"/>
      <c r="C199" s="274" t="s">
        <v>843</v>
      </c>
      <c r="D199" s="651">
        <v>0</v>
      </c>
      <c r="E199" s="651">
        <v>0</v>
      </c>
      <c r="F199" s="651">
        <v>0</v>
      </c>
      <c r="G199" s="651">
        <v>0</v>
      </c>
      <c r="H199" s="651">
        <v>-25445</v>
      </c>
      <c r="I199" s="651">
        <v>0</v>
      </c>
      <c r="J199" s="651">
        <v>-18804</v>
      </c>
      <c r="K199" s="651">
        <v>0</v>
      </c>
      <c r="L199" s="651">
        <v>-41938</v>
      </c>
      <c r="M199" s="651">
        <v>0</v>
      </c>
      <c r="N199" s="651">
        <v>-21377</v>
      </c>
      <c r="O199" s="651">
        <v>0</v>
      </c>
      <c r="P199" s="651">
        <v>-39705</v>
      </c>
      <c r="Q199" s="651">
        <v>0</v>
      </c>
      <c r="R199" s="651">
        <v>-18629</v>
      </c>
      <c r="S199" s="651">
        <v>0</v>
      </c>
      <c r="T199" s="651">
        <v>-40330</v>
      </c>
      <c r="U199" s="651">
        <v>0</v>
      </c>
      <c r="V199" s="651">
        <v>-24365</v>
      </c>
      <c r="W199" s="651">
        <v>0</v>
      </c>
      <c r="X199" s="651">
        <v>-56395</v>
      </c>
      <c r="Y199" s="651">
        <v>0</v>
      </c>
      <c r="Z199" s="651">
        <v>-36878</v>
      </c>
      <c r="AA199" s="651">
        <v>0</v>
      </c>
      <c r="AB199" s="651">
        <v>-81383</v>
      </c>
      <c r="AC199" s="651">
        <v>0</v>
      </c>
      <c r="AD199" s="651">
        <v>-46691</v>
      </c>
      <c r="AE199" s="651">
        <v>0</v>
      </c>
      <c r="AF199" s="651">
        <v>-99468</v>
      </c>
      <c r="AG199" s="651">
        <v>0</v>
      </c>
      <c r="AH199" s="651">
        <v>-56533</v>
      </c>
      <c r="AI199" s="651">
        <v>0</v>
      </c>
      <c r="AJ199" s="651">
        <v>-116431</v>
      </c>
      <c r="AK199" s="651">
        <v>0</v>
      </c>
      <c r="AL199" s="651">
        <v>-59213</v>
      </c>
      <c r="AM199" s="651">
        <v>0</v>
      </c>
      <c r="AN199" s="651">
        <v>-115366</v>
      </c>
      <c r="AO199" s="651">
        <v>0</v>
      </c>
      <c r="AP199" s="651">
        <v>-47091</v>
      </c>
      <c r="AQ199" s="651">
        <v>0</v>
      </c>
      <c r="AR199" s="651">
        <v>-91153</v>
      </c>
      <c r="AS199" s="651">
        <v>0</v>
      </c>
      <c r="AT199" s="651">
        <v>-44418</v>
      </c>
    </row>
    <row r="200" spans="2:46" ht="13.5" x14ac:dyDescent="0.4">
      <c r="B200" s="268"/>
      <c r="C200" s="274" t="s">
        <v>844</v>
      </c>
      <c r="D200" s="651">
        <v>0</v>
      </c>
      <c r="E200" s="651">
        <v>0</v>
      </c>
      <c r="F200" s="651">
        <v>0</v>
      </c>
      <c r="G200" s="651">
        <v>0</v>
      </c>
      <c r="H200" s="651">
        <v>-54892</v>
      </c>
      <c r="I200" s="651">
        <v>0</v>
      </c>
      <c r="J200" s="651">
        <v>-36400</v>
      </c>
      <c r="K200" s="651">
        <v>0</v>
      </c>
      <c r="L200" s="651">
        <v>-82313</v>
      </c>
      <c r="M200" s="651">
        <v>0</v>
      </c>
      <c r="N200" s="651">
        <v>-43380</v>
      </c>
      <c r="O200" s="651">
        <v>0</v>
      </c>
      <c r="P200" s="651">
        <v>-80094</v>
      </c>
      <c r="Q200" s="651">
        <v>0</v>
      </c>
      <c r="R200" s="651">
        <v>-34810</v>
      </c>
      <c r="S200" s="651">
        <v>0</v>
      </c>
      <c r="T200" s="651">
        <v>-69430</v>
      </c>
      <c r="U200" s="651">
        <v>0</v>
      </c>
      <c r="V200" s="651">
        <v>-39678</v>
      </c>
      <c r="W200" s="651">
        <v>0</v>
      </c>
      <c r="X200" s="651">
        <v>-88753</v>
      </c>
      <c r="Y200" s="651">
        <v>0</v>
      </c>
      <c r="Z200" s="651">
        <v>-59297</v>
      </c>
      <c r="AA200" s="651">
        <v>0</v>
      </c>
      <c r="AB200" s="651">
        <v>-122447</v>
      </c>
      <c r="AC200" s="651">
        <v>0</v>
      </c>
      <c r="AD200" s="651">
        <v>-64224</v>
      </c>
      <c r="AE200" s="651">
        <v>0</v>
      </c>
      <c r="AF200" s="651">
        <v>-129478</v>
      </c>
      <c r="AG200" s="651">
        <v>0</v>
      </c>
      <c r="AH200" s="651">
        <v>-65641</v>
      </c>
      <c r="AI200" s="651">
        <v>0</v>
      </c>
      <c r="AJ200" s="651">
        <v>-132379</v>
      </c>
      <c r="AK200" s="651">
        <v>0</v>
      </c>
      <c r="AL200" s="651">
        <v>-67840</v>
      </c>
      <c r="AM200" s="651">
        <v>0</v>
      </c>
      <c r="AN200" s="651">
        <v>-132964</v>
      </c>
      <c r="AO200" s="651">
        <v>0</v>
      </c>
      <c r="AP200" s="651">
        <v>-58862</v>
      </c>
      <c r="AQ200" s="651">
        <v>0</v>
      </c>
      <c r="AR200" s="651">
        <v>-114513</v>
      </c>
      <c r="AS200" s="651">
        <v>0</v>
      </c>
      <c r="AT200" s="651">
        <v>-54057</v>
      </c>
    </row>
    <row r="201" spans="2:46" ht="13.5" x14ac:dyDescent="0.4">
      <c r="B201" s="268"/>
      <c r="C201" s="275" t="s">
        <v>845</v>
      </c>
      <c r="D201" s="735"/>
      <c r="E201" s="735"/>
      <c r="F201" s="735"/>
      <c r="G201" s="735"/>
      <c r="H201" s="735"/>
      <c r="I201" s="735"/>
      <c r="J201" s="735"/>
      <c r="K201" s="735"/>
      <c r="L201" s="735"/>
      <c r="M201" s="735"/>
      <c r="N201" s="735"/>
      <c r="O201" s="735"/>
      <c r="P201" s="735"/>
      <c r="Q201" s="735"/>
      <c r="R201" s="735"/>
      <c r="S201" s="735"/>
      <c r="T201" s="735"/>
      <c r="U201" s="735"/>
      <c r="V201" s="735"/>
      <c r="W201" s="735"/>
      <c r="X201" s="735"/>
      <c r="Y201" s="735"/>
      <c r="Z201" s="735"/>
      <c r="AA201" s="735"/>
      <c r="AB201" s="735">
        <v>-5559</v>
      </c>
      <c r="AC201" s="735"/>
      <c r="AD201" s="735"/>
      <c r="AE201" s="735"/>
      <c r="AF201" s="735">
        <v>-6513</v>
      </c>
      <c r="AG201" s="735"/>
      <c r="AH201" s="735">
        <v>-4717</v>
      </c>
      <c r="AI201" s="735"/>
      <c r="AJ201" s="735">
        <v>-9508</v>
      </c>
      <c r="AK201" s="735"/>
      <c r="AL201" s="735">
        <v>-4777</v>
      </c>
      <c r="AM201" s="735"/>
      <c r="AN201" s="735">
        <v>-9071</v>
      </c>
      <c r="AO201" s="735"/>
      <c r="AP201" s="735">
        <v>-4637</v>
      </c>
      <c r="AQ201" s="735"/>
      <c r="AR201" s="1042">
        <v>-9732</v>
      </c>
      <c r="AS201" s="1042"/>
      <c r="AT201" s="1042">
        <v>-5208</v>
      </c>
    </row>
    <row r="202" spans="2:46" ht="13.5" x14ac:dyDescent="0.4">
      <c r="B202" s="268"/>
      <c r="C202" s="276" t="s">
        <v>846</v>
      </c>
      <c r="D202" s="1040"/>
      <c r="E202" s="1040"/>
      <c r="F202" s="1040"/>
      <c r="G202" s="1040"/>
      <c r="H202" s="1040"/>
      <c r="I202" s="1040"/>
      <c r="J202" s="1040"/>
      <c r="K202" s="1040"/>
      <c r="L202" s="1040"/>
      <c r="M202" s="1040"/>
      <c r="N202" s="1040"/>
      <c r="O202" s="1040"/>
      <c r="P202" s="1040"/>
      <c r="Q202" s="1040"/>
      <c r="R202" s="1040"/>
      <c r="S202" s="1040"/>
      <c r="T202" s="1040"/>
      <c r="U202" s="1040"/>
      <c r="V202" s="1040"/>
      <c r="W202" s="1040"/>
      <c r="X202" s="1040"/>
      <c r="Y202" s="1040"/>
      <c r="Z202" s="1040"/>
      <c r="AA202" s="1040"/>
      <c r="AB202" s="1040">
        <v>-10728</v>
      </c>
      <c r="AC202" s="1040"/>
      <c r="AD202" s="1040"/>
      <c r="AE202" s="1040"/>
      <c r="AF202" s="1040">
        <v>-11770</v>
      </c>
      <c r="AG202" s="1040"/>
      <c r="AH202" s="1040">
        <v>-7039</v>
      </c>
      <c r="AI202" s="1040"/>
      <c r="AJ202" s="1040">
        <v>-14615</v>
      </c>
      <c r="AK202" s="1040"/>
      <c r="AL202" s="1040">
        <v>-7809</v>
      </c>
      <c r="AM202" s="1040"/>
      <c r="AN202" s="1040">
        <v>-16101</v>
      </c>
      <c r="AO202" s="1040"/>
      <c r="AP202" s="1040">
        <v>-8383</v>
      </c>
      <c r="AQ202" s="1040"/>
      <c r="AR202" s="1040">
        <v>-17470</v>
      </c>
      <c r="AS202" s="1040"/>
      <c r="AT202" s="1040">
        <v>-9479</v>
      </c>
    </row>
    <row r="203" spans="2:46" ht="13.5" x14ac:dyDescent="0.4">
      <c r="B203" s="268"/>
      <c r="C203" s="285" t="s">
        <v>847</v>
      </c>
      <c r="D203" s="1040"/>
      <c r="E203" s="1040"/>
      <c r="F203" s="1040"/>
      <c r="G203" s="1040"/>
      <c r="H203" s="1040"/>
      <c r="I203" s="1040"/>
      <c r="J203" s="1040"/>
      <c r="K203" s="1040"/>
      <c r="L203" s="1040"/>
      <c r="M203" s="1040"/>
      <c r="N203" s="1040"/>
      <c r="O203" s="1040"/>
      <c r="P203" s="1040"/>
      <c r="Q203" s="1040"/>
      <c r="R203" s="1040"/>
      <c r="S203" s="1040"/>
      <c r="T203" s="1040"/>
      <c r="U203" s="1040"/>
      <c r="V203" s="1040"/>
      <c r="W203" s="1040"/>
      <c r="X203" s="1040"/>
      <c r="Y203" s="1040"/>
      <c r="Z203" s="1040"/>
      <c r="AA203" s="1040"/>
      <c r="AB203" s="1040">
        <v>-43461</v>
      </c>
      <c r="AC203" s="1040"/>
      <c r="AD203" s="1040"/>
      <c r="AE203" s="1040"/>
      <c r="AF203" s="1040">
        <v>-38209</v>
      </c>
      <c r="AG203" s="1040"/>
      <c r="AH203" s="1040">
        <v>-21474</v>
      </c>
      <c r="AI203" s="1040"/>
      <c r="AJ203" s="1040">
        <v>-42801</v>
      </c>
      <c r="AK203" s="1040"/>
      <c r="AL203" s="1040">
        <v>-25428</v>
      </c>
      <c r="AM203" s="1040"/>
      <c r="AN203" s="1040">
        <v>-49801</v>
      </c>
      <c r="AO203" s="1040"/>
      <c r="AP203" s="1040">
        <v>-22598</v>
      </c>
      <c r="AQ203" s="1040"/>
      <c r="AR203" s="1040">
        <v>-44314</v>
      </c>
      <c r="AS203" s="1040"/>
      <c r="AT203" s="1040">
        <v>-30198</v>
      </c>
    </row>
    <row r="204" spans="2:46" ht="13.5" x14ac:dyDescent="0.4">
      <c r="B204" s="268"/>
      <c r="C204" s="274" t="s">
        <v>848</v>
      </c>
      <c r="D204" s="684"/>
      <c r="E204" s="684"/>
      <c r="F204" s="684"/>
      <c r="G204" s="684"/>
      <c r="H204" s="684"/>
      <c r="I204" s="684"/>
      <c r="J204" s="684"/>
      <c r="K204" s="684"/>
      <c r="L204" s="684"/>
      <c r="M204" s="684"/>
      <c r="N204" s="684"/>
      <c r="O204" s="684"/>
      <c r="P204" s="684"/>
      <c r="Q204" s="684"/>
      <c r="R204" s="684"/>
      <c r="S204" s="684"/>
      <c r="T204" s="684"/>
      <c r="U204" s="684"/>
      <c r="V204" s="684"/>
      <c r="W204" s="684"/>
      <c r="X204" s="684"/>
      <c r="Y204" s="684"/>
      <c r="Z204" s="684"/>
      <c r="AA204" s="684"/>
      <c r="AB204" s="684"/>
      <c r="AC204" s="684"/>
      <c r="AD204" s="684"/>
      <c r="AE204" s="684"/>
      <c r="AF204" s="684"/>
      <c r="AG204" s="684"/>
      <c r="AH204" s="684"/>
      <c r="AI204" s="684"/>
      <c r="AJ204" s="684"/>
      <c r="AK204" s="684"/>
      <c r="AL204" s="684"/>
      <c r="AM204" s="684"/>
      <c r="AN204" s="684"/>
      <c r="AO204" s="684"/>
      <c r="AP204" s="684"/>
      <c r="AQ204" s="684"/>
      <c r="AR204" s="684"/>
      <c r="AS204" s="684"/>
      <c r="AT204" s="684"/>
    </row>
    <row r="205" spans="2:46" ht="13.5" x14ac:dyDescent="0.4">
      <c r="B205" s="268"/>
      <c r="C205" s="274" t="s">
        <v>849</v>
      </c>
      <c r="D205" s="651"/>
      <c r="E205" s="651"/>
      <c r="F205" s="651"/>
      <c r="G205" s="651"/>
      <c r="H205" s="651"/>
      <c r="I205" s="651"/>
      <c r="J205" s="651"/>
      <c r="K205" s="651"/>
      <c r="L205" s="651"/>
      <c r="M205" s="651"/>
      <c r="N205" s="651"/>
      <c r="O205" s="651"/>
      <c r="P205" s="651"/>
      <c r="Q205" s="651"/>
      <c r="R205" s="651"/>
      <c r="S205" s="651"/>
      <c r="T205" s="651"/>
      <c r="U205" s="651"/>
      <c r="V205" s="651"/>
      <c r="W205" s="651"/>
      <c r="X205" s="651"/>
      <c r="Y205" s="651"/>
      <c r="Z205" s="651"/>
      <c r="AA205" s="651"/>
      <c r="AB205" s="651"/>
      <c r="AC205" s="651"/>
      <c r="AD205" s="651"/>
      <c r="AE205" s="651"/>
      <c r="AF205" s="651"/>
      <c r="AG205" s="651"/>
      <c r="AH205" s="651"/>
      <c r="AI205" s="651"/>
      <c r="AJ205" s="651"/>
      <c r="AK205" s="651"/>
      <c r="AL205" s="651"/>
      <c r="AM205" s="651"/>
      <c r="AN205" s="651"/>
      <c r="AO205" s="651"/>
      <c r="AP205" s="651"/>
      <c r="AQ205" s="651"/>
      <c r="AR205" s="651"/>
      <c r="AS205" s="651"/>
      <c r="AT205" s="651"/>
    </row>
    <row r="206" spans="2:46" ht="13.5" x14ac:dyDescent="0.4">
      <c r="B206" s="268"/>
      <c r="C206" s="274" t="s">
        <v>850</v>
      </c>
      <c r="D206" s="651"/>
      <c r="E206" s="651"/>
      <c r="F206" s="651"/>
      <c r="G206" s="651"/>
      <c r="H206" s="651"/>
      <c r="I206" s="651"/>
      <c r="J206" s="651"/>
      <c r="K206" s="651"/>
      <c r="L206" s="651"/>
      <c r="M206" s="651"/>
      <c r="N206" s="651"/>
      <c r="O206" s="651"/>
      <c r="P206" s="651"/>
      <c r="Q206" s="651"/>
      <c r="R206" s="651"/>
      <c r="S206" s="651"/>
      <c r="T206" s="651"/>
      <c r="U206" s="651"/>
      <c r="V206" s="651"/>
      <c r="W206" s="651"/>
      <c r="X206" s="651"/>
      <c r="Y206" s="651"/>
      <c r="Z206" s="651"/>
      <c r="AA206" s="651"/>
      <c r="AB206" s="651"/>
      <c r="AC206" s="651"/>
      <c r="AD206" s="651"/>
      <c r="AE206" s="651"/>
      <c r="AF206" s="651"/>
      <c r="AG206" s="651"/>
      <c r="AH206" s="651"/>
      <c r="AI206" s="651"/>
      <c r="AJ206" s="651"/>
      <c r="AK206" s="651"/>
      <c r="AL206" s="651"/>
      <c r="AM206" s="651"/>
      <c r="AN206" s="651"/>
      <c r="AO206" s="651"/>
      <c r="AP206" s="651"/>
      <c r="AQ206" s="651"/>
      <c r="AR206" s="651"/>
      <c r="AS206" s="651"/>
      <c r="AT206" s="651"/>
    </row>
    <row r="207" spans="2:46" ht="13.5" x14ac:dyDescent="0.4">
      <c r="B207" s="268"/>
      <c r="C207" s="286" t="s">
        <v>851</v>
      </c>
      <c r="D207" s="687"/>
      <c r="E207" s="687"/>
      <c r="F207" s="687"/>
      <c r="G207" s="687"/>
      <c r="H207" s="687"/>
      <c r="I207" s="687"/>
      <c r="J207" s="687"/>
      <c r="K207" s="687"/>
      <c r="L207" s="687"/>
      <c r="M207" s="687"/>
      <c r="N207" s="687"/>
      <c r="O207" s="687"/>
      <c r="P207" s="687"/>
      <c r="Q207" s="687"/>
      <c r="R207" s="687"/>
      <c r="S207" s="687"/>
      <c r="T207" s="687"/>
      <c r="U207" s="687"/>
      <c r="V207" s="687"/>
      <c r="W207" s="687"/>
      <c r="X207" s="687"/>
      <c r="Y207" s="687"/>
      <c r="Z207" s="687"/>
      <c r="AA207" s="687"/>
      <c r="AB207" s="687"/>
      <c r="AC207" s="687"/>
      <c r="AD207" s="687"/>
      <c r="AE207" s="687"/>
      <c r="AF207" s="687"/>
      <c r="AG207" s="687"/>
      <c r="AH207" s="687">
        <v>0</v>
      </c>
      <c r="AI207" s="687"/>
      <c r="AJ207" s="687"/>
      <c r="AK207" s="687"/>
      <c r="AL207" s="687"/>
      <c r="AM207" s="687"/>
      <c r="AN207" s="687"/>
      <c r="AO207" s="687"/>
      <c r="AP207" s="687"/>
      <c r="AQ207" s="687"/>
      <c r="AR207" s="687"/>
      <c r="AS207" s="687"/>
      <c r="AT207" s="687"/>
    </row>
    <row r="208" spans="2:46" ht="13.9" thickBot="1" x14ac:dyDescent="0.45">
      <c r="B208" s="268"/>
      <c r="C208" s="280" t="s">
        <v>371</v>
      </c>
      <c r="D208" s="694"/>
      <c r="E208" s="694"/>
      <c r="F208" s="694"/>
      <c r="G208" s="694"/>
      <c r="H208" s="694"/>
      <c r="I208" s="694"/>
      <c r="J208" s="694"/>
      <c r="K208" s="694"/>
      <c r="L208" s="694"/>
      <c r="M208" s="694"/>
      <c r="N208" s="694"/>
      <c r="O208" s="694"/>
      <c r="P208" s="694"/>
      <c r="Q208" s="694"/>
      <c r="R208" s="694"/>
      <c r="S208" s="694"/>
      <c r="T208" s="694"/>
      <c r="U208" s="694"/>
      <c r="V208" s="694"/>
      <c r="W208" s="694"/>
      <c r="X208" s="694"/>
      <c r="Y208" s="694"/>
      <c r="Z208" s="694"/>
      <c r="AA208" s="694"/>
      <c r="AB208" s="694"/>
      <c r="AC208" s="694"/>
      <c r="AD208" s="694"/>
      <c r="AE208" s="694"/>
      <c r="AF208" s="694"/>
      <c r="AG208" s="694"/>
      <c r="AH208" s="694"/>
      <c r="AI208" s="694"/>
      <c r="AJ208" s="694"/>
      <c r="AK208" s="694"/>
      <c r="AL208" s="694"/>
      <c r="AM208" s="694"/>
      <c r="AN208" s="694"/>
      <c r="AO208" s="694"/>
      <c r="AP208" s="694"/>
      <c r="AQ208" s="694"/>
      <c r="AR208" s="694"/>
      <c r="AS208" s="694"/>
      <c r="AT208" s="694"/>
    </row>
    <row r="209" spans="2:46" s="301" customFormat="1" ht="13.5" x14ac:dyDescent="0.4">
      <c r="B209" s="300"/>
      <c r="C209" s="230" t="s">
        <v>281</v>
      </c>
      <c r="D209" s="636">
        <v>0</v>
      </c>
      <c r="E209" s="636">
        <v>0</v>
      </c>
      <c r="F209" s="636">
        <v>0</v>
      </c>
      <c r="G209" s="636">
        <v>0</v>
      </c>
      <c r="H209" s="636">
        <v>0</v>
      </c>
      <c r="I209" s="636">
        <v>0</v>
      </c>
      <c r="J209" s="636">
        <v>0</v>
      </c>
      <c r="K209" s="636">
        <v>0</v>
      </c>
      <c r="L209" s="636">
        <v>0</v>
      </c>
      <c r="M209" s="636">
        <v>0</v>
      </c>
      <c r="N209" s="636">
        <v>0</v>
      </c>
      <c r="O209" s="636">
        <v>0</v>
      </c>
      <c r="P209" s="636">
        <v>0</v>
      </c>
      <c r="Q209" s="636">
        <v>0</v>
      </c>
      <c r="R209" s="636">
        <v>0</v>
      </c>
      <c r="S209" s="636">
        <v>0</v>
      </c>
      <c r="T209" s="636">
        <v>0</v>
      </c>
      <c r="U209" s="636">
        <v>0</v>
      </c>
      <c r="V209" s="636">
        <v>0</v>
      </c>
      <c r="W209" s="636">
        <v>0</v>
      </c>
      <c r="X209" s="636">
        <v>0</v>
      </c>
      <c r="Y209" s="636">
        <v>0</v>
      </c>
      <c r="Z209" s="636">
        <v>0</v>
      </c>
      <c r="AA209" s="636">
        <v>0</v>
      </c>
      <c r="AB209" s="636">
        <v>0</v>
      </c>
      <c r="AC209" s="636">
        <v>0</v>
      </c>
      <c r="AD209" s="636">
        <v>0</v>
      </c>
      <c r="AE209" s="636">
        <v>0</v>
      </c>
      <c r="AF209" s="636">
        <v>0</v>
      </c>
      <c r="AG209" s="636">
        <v>0</v>
      </c>
      <c r="AH209" s="636">
        <v>0</v>
      </c>
      <c r="AI209" s="636">
        <v>0</v>
      </c>
      <c r="AJ209" s="636">
        <v>0</v>
      </c>
      <c r="AK209" s="636">
        <v>0</v>
      </c>
      <c r="AL209" s="636">
        <v>0</v>
      </c>
      <c r="AM209" s="636">
        <v>0</v>
      </c>
      <c r="AN209" s="636">
        <v>0</v>
      </c>
      <c r="AO209" s="636">
        <v>0</v>
      </c>
      <c r="AP209" s="636">
        <v>0</v>
      </c>
      <c r="AQ209" s="636">
        <v>0</v>
      </c>
      <c r="AR209" s="636">
        <v>0</v>
      </c>
      <c r="AS209" s="636">
        <v>0</v>
      </c>
      <c r="AT209" s="636">
        <v>0</v>
      </c>
    </row>
    <row r="210" spans="2:46" s="585" customFormat="1" ht="13.5" thickBot="1" x14ac:dyDescent="0.45">
      <c r="B210" s="582"/>
      <c r="C210" s="583"/>
      <c r="D210" s="584"/>
      <c r="E210" s="584"/>
      <c r="F210" s="584"/>
      <c r="G210" s="584"/>
      <c r="H210" s="584"/>
      <c r="I210" s="584"/>
      <c r="J210" s="584"/>
      <c r="K210" s="584"/>
      <c r="L210" s="584"/>
      <c r="M210" s="584"/>
      <c r="N210" s="584"/>
      <c r="O210" s="584"/>
      <c r="P210" s="584"/>
      <c r="Q210" s="584"/>
      <c r="R210" s="584"/>
      <c r="S210" s="584"/>
      <c r="T210" s="584"/>
      <c r="U210" s="584"/>
      <c r="V210" s="584"/>
      <c r="W210" s="584"/>
      <c r="X210" s="584"/>
      <c r="Y210" s="584"/>
      <c r="Z210" s="584"/>
      <c r="AA210" s="584"/>
      <c r="AB210" s="584"/>
      <c r="AC210" s="584"/>
      <c r="AD210" s="584"/>
      <c r="AE210" s="584"/>
      <c r="AF210" s="584"/>
      <c r="AG210" s="584"/>
      <c r="AH210" s="584"/>
      <c r="AI210" s="584"/>
      <c r="AJ210" s="584"/>
      <c r="AK210" s="584"/>
      <c r="AL210" s="584"/>
      <c r="AM210" s="584"/>
      <c r="AN210" s="584"/>
      <c r="AO210" s="584"/>
      <c r="AP210" s="584"/>
      <c r="AQ210" s="584"/>
      <c r="AR210" s="584"/>
      <c r="AS210" s="584"/>
    </row>
    <row r="211" spans="2:46" ht="13.5" thickTop="1" x14ac:dyDescent="0.4"/>
    <row r="212" spans="2:46" ht="13.5" x14ac:dyDescent="0.4">
      <c r="B212" s="253" t="s">
        <v>372</v>
      </c>
    </row>
    <row r="213" spans="2:46" ht="13.5" thickBot="1" x14ac:dyDescent="0.45">
      <c r="B213" s="268"/>
      <c r="C213" s="198"/>
    </row>
    <row r="214" spans="2:46" ht="13.5" x14ac:dyDescent="0.4">
      <c r="B214" s="269"/>
      <c r="C214" s="270" t="s">
        <v>373</v>
      </c>
      <c r="D214" s="304">
        <v>3.9900000000000005E-2</v>
      </c>
      <c r="E214" s="304">
        <v>0</v>
      </c>
      <c r="F214" s="304">
        <v>4.2500000000000003E-2</v>
      </c>
      <c r="G214" s="304">
        <v>0</v>
      </c>
      <c r="H214" s="304">
        <v>4.4500000000000005E-2</v>
      </c>
      <c r="I214" s="304">
        <v>0</v>
      </c>
      <c r="J214" s="304">
        <v>4.9100000000000005E-2</v>
      </c>
      <c r="K214" s="304">
        <v>0</v>
      </c>
      <c r="L214" s="304">
        <v>4.9400000000000006E-2</v>
      </c>
      <c r="M214" s="304">
        <v>0</v>
      </c>
      <c r="N214" s="304">
        <v>3.8599999999999995E-2</v>
      </c>
      <c r="O214" s="304">
        <v>0</v>
      </c>
      <c r="P214" s="304">
        <v>3.7400000000000003E-2</v>
      </c>
      <c r="Q214" s="304">
        <v>0</v>
      </c>
      <c r="R214" s="304">
        <v>3.6400000000000002E-2</v>
      </c>
      <c r="S214" s="304">
        <v>0</v>
      </c>
      <c r="T214" s="304">
        <v>3.7200000000000004E-2</v>
      </c>
      <c r="U214" s="304">
        <v>0</v>
      </c>
      <c r="V214" s="304">
        <v>4.0599999999999997E-2</v>
      </c>
      <c r="W214" s="304">
        <v>0</v>
      </c>
      <c r="X214" s="304">
        <v>4.2500000000000003E-2</v>
      </c>
      <c r="Y214" s="304">
        <v>0</v>
      </c>
      <c r="Z214" s="304">
        <v>4.6199999999999998E-2</v>
      </c>
      <c r="AA214" s="304">
        <v>0</v>
      </c>
      <c r="AB214" s="304">
        <v>4.5899999999999996E-2</v>
      </c>
      <c r="AC214" s="304">
        <v>0</v>
      </c>
      <c r="AD214" s="304">
        <v>4.4400000000000002E-2</v>
      </c>
      <c r="AE214" s="304">
        <v>0</v>
      </c>
      <c r="AF214" s="304">
        <v>4.4500000000000005E-2</v>
      </c>
      <c r="AG214" s="304"/>
      <c r="AH214" s="305">
        <v>4.5125823642004036E-2</v>
      </c>
      <c r="AI214" s="304"/>
      <c r="AJ214" s="305">
        <v>4.5786818974948996E-2</v>
      </c>
      <c r="AK214" s="304"/>
      <c r="AL214" s="305">
        <v>4.3463313284122722E-2</v>
      </c>
      <c r="AM214" s="304"/>
      <c r="AN214" s="305">
        <v>4.2421326324643661E-2</v>
      </c>
      <c r="AO214" s="304"/>
      <c r="AP214" s="305">
        <v>3.7140690800798334E-2</v>
      </c>
      <c r="AQ214" s="304"/>
      <c r="AR214" s="305">
        <v>3.6237393109007442E-2</v>
      </c>
      <c r="AS214" s="305"/>
      <c r="AT214" s="305">
        <v>1.7880434666467212E-2</v>
      </c>
    </row>
    <row r="215" spans="2:46" ht="13.5" x14ac:dyDescent="0.4">
      <c r="B215" s="269"/>
      <c r="C215" s="286" t="s">
        <v>852</v>
      </c>
      <c r="D215" s="306"/>
      <c r="E215" s="306"/>
      <c r="F215" s="306"/>
      <c r="G215" s="306"/>
      <c r="H215" s="306"/>
      <c r="I215" s="306"/>
      <c r="J215" s="306"/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306"/>
      <c r="V215" s="306"/>
      <c r="W215" s="306"/>
      <c r="X215" s="306"/>
      <c r="Y215" s="306"/>
      <c r="Z215" s="306"/>
      <c r="AA215" s="306"/>
      <c r="AB215" s="306"/>
      <c r="AC215" s="306"/>
      <c r="AD215" s="306"/>
      <c r="AE215" s="306"/>
      <c r="AF215" s="306"/>
      <c r="AG215" s="306"/>
      <c r="AH215" s="306">
        <v>5.7539774753617746E-2</v>
      </c>
      <c r="AI215" s="306"/>
      <c r="AJ215" s="306">
        <v>5.8069868990689201E-2</v>
      </c>
      <c r="AK215" s="306"/>
      <c r="AL215" s="306">
        <v>5.5027873717256717E-2</v>
      </c>
      <c r="AM215" s="306"/>
      <c r="AN215" s="306">
        <v>5.3116535788127618E-2</v>
      </c>
      <c r="AO215" s="306"/>
      <c r="AP215" s="306">
        <v>4.4074131742502264E-2</v>
      </c>
      <c r="AQ215" s="306"/>
      <c r="AR215" s="306">
        <v>4.2517762112118114E-2</v>
      </c>
      <c r="AS215" s="306"/>
      <c r="AT215" s="306">
        <v>2.0466080436039698E-2</v>
      </c>
    </row>
    <row r="216" spans="2:46" ht="13.5" x14ac:dyDescent="0.4">
      <c r="B216" s="269"/>
      <c r="C216" s="274" t="s">
        <v>853</v>
      </c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7"/>
      <c r="R216" s="307"/>
      <c r="S216" s="307"/>
      <c r="T216" s="307"/>
      <c r="U216" s="307"/>
      <c r="V216" s="307"/>
      <c r="W216" s="307"/>
      <c r="X216" s="307"/>
      <c r="Y216" s="307"/>
      <c r="Z216" s="307"/>
      <c r="AA216" s="307"/>
      <c r="AB216" s="307"/>
      <c r="AC216" s="307"/>
      <c r="AD216" s="307"/>
      <c r="AE216" s="307"/>
      <c r="AF216" s="307"/>
      <c r="AG216" s="307"/>
      <c r="AH216" s="308"/>
      <c r="AI216" s="307"/>
      <c r="AJ216" s="308"/>
      <c r="AK216" s="307"/>
      <c r="AL216" s="307"/>
      <c r="AM216" s="307"/>
      <c r="AN216" s="307"/>
      <c r="AO216" s="307"/>
      <c r="AP216" s="307"/>
      <c r="AQ216" s="307"/>
      <c r="AR216" s="306"/>
      <c r="AS216" s="306"/>
      <c r="AT216" s="306"/>
    </row>
    <row r="217" spans="2:46" ht="13.5" x14ac:dyDescent="0.4">
      <c r="B217" s="269"/>
      <c r="C217" s="274" t="s">
        <v>854</v>
      </c>
      <c r="D217" s="306" t="e">
        <v>#DIV/0!</v>
      </c>
      <c r="E217" s="306" t="e">
        <v>#DIV/0!</v>
      </c>
      <c r="F217" s="306" t="e">
        <v>#DIV/0!</v>
      </c>
      <c r="G217" s="306" t="e">
        <v>#DIV/0!</v>
      </c>
      <c r="H217" s="306">
        <v>6.3592928845155536E-2</v>
      </c>
      <c r="I217" s="306" t="e">
        <v>#DIV/0!</v>
      </c>
      <c r="J217" s="306">
        <v>3.5187257093845396E-2</v>
      </c>
      <c r="K217" s="306" t="e">
        <v>#DIV/0!</v>
      </c>
      <c r="L217" s="306">
        <v>7.2281195236022278E-2</v>
      </c>
      <c r="M217" s="306" t="e">
        <v>#DIV/0!</v>
      </c>
      <c r="N217" s="306" t="e">
        <v>#DIV/0!</v>
      </c>
      <c r="O217" s="306" t="e">
        <v>#DIV/0!</v>
      </c>
      <c r="P217" s="306">
        <v>5.7616026191167617E-2</v>
      </c>
      <c r="Q217" s="306" t="e">
        <v>#DIV/0!</v>
      </c>
      <c r="R217" s="306">
        <v>2.6052447935807771E-2</v>
      </c>
      <c r="S217" s="306" t="e">
        <v>#DIV/0!</v>
      </c>
      <c r="T217" s="306">
        <v>5.2580627107977562E-2</v>
      </c>
      <c r="U217" s="306" t="e">
        <v>#DIV/0!</v>
      </c>
      <c r="V217" s="306">
        <v>2.7922370286327228E-2</v>
      </c>
      <c r="W217" s="306" t="e">
        <v>#DIV/0!</v>
      </c>
      <c r="X217" s="306">
        <v>5.9284383576655865E-2</v>
      </c>
      <c r="Y217" s="306" t="e">
        <v>#DIV/0!</v>
      </c>
      <c r="Z217" s="306">
        <v>3.2764670678715205E-2</v>
      </c>
      <c r="AA217" s="306" t="e">
        <v>#DIV/0!</v>
      </c>
      <c r="AB217" s="306">
        <v>6.4872427207104094E-2</v>
      </c>
      <c r="AC217" s="306" t="e">
        <v>#DIV/0!</v>
      </c>
      <c r="AD217" s="306">
        <v>3.0140329071632253E-2</v>
      </c>
      <c r="AE217" s="306" t="e">
        <v>#DIV/0!</v>
      </c>
      <c r="AF217" s="306">
        <v>6.0969059072845208E-2</v>
      </c>
      <c r="AG217" s="306"/>
      <c r="AH217" s="306">
        <v>3.029192030473216E-2</v>
      </c>
      <c r="AI217" s="306"/>
      <c r="AJ217" s="306">
        <v>6.1291686393530338E-2</v>
      </c>
      <c r="AK217" s="306"/>
      <c r="AL217" s="306">
        <v>2.9103774114985492E-2</v>
      </c>
      <c r="AM217" s="306"/>
      <c r="AN217" s="306">
        <v>5.5845801179662334E-2</v>
      </c>
      <c r="AO217" s="306"/>
      <c r="AP217" s="306">
        <v>2.3489602936266802E-2</v>
      </c>
      <c r="AQ217" s="306"/>
      <c r="AR217" s="306">
        <v>4.577527031546802E-2</v>
      </c>
      <c r="AS217" s="306"/>
      <c r="AT217" s="306">
        <v>2.1621234186160857E-2</v>
      </c>
    </row>
    <row r="218" spans="2:46" ht="13.5" x14ac:dyDescent="0.4">
      <c r="B218" s="269"/>
      <c r="C218" s="274" t="s">
        <v>855</v>
      </c>
      <c r="D218" s="306" t="e">
        <v>#DIV/0!</v>
      </c>
      <c r="E218" s="306" t="e">
        <v>#DIV/0!</v>
      </c>
      <c r="F218" s="306" t="e">
        <v>#DIV/0!</v>
      </c>
      <c r="G218" s="306" t="e">
        <v>#DIV/0!</v>
      </c>
      <c r="H218" s="306">
        <v>4.0488012804408148E-2</v>
      </c>
      <c r="I218" s="306" t="e">
        <v>#DIV/0!</v>
      </c>
      <c r="J218" s="306">
        <v>3.7412154747729451E-2</v>
      </c>
      <c r="K218" s="306" t="e">
        <v>#DIV/0!</v>
      </c>
      <c r="L218" s="306">
        <v>6.7387304507819684E-2</v>
      </c>
      <c r="M218" s="306" t="e">
        <v>#DIV/0!</v>
      </c>
      <c r="N218" s="306">
        <v>1.2109259362973749E-2</v>
      </c>
      <c r="O218" s="306" t="e">
        <v>#DIV/0!</v>
      </c>
      <c r="P218" s="306">
        <v>2.3218511873673815E-2</v>
      </c>
      <c r="Q218" s="306" t="e">
        <v>#DIV/0!</v>
      </c>
      <c r="R218" s="306">
        <v>1.5917784341257929E-2</v>
      </c>
      <c r="S218" s="306" t="e">
        <v>#DIV/0!</v>
      </c>
      <c r="T218" s="306">
        <v>3.7104356313367726E-2</v>
      </c>
      <c r="U218" s="306" t="e">
        <v>#DIV/0!</v>
      </c>
      <c r="V218" s="306">
        <v>3.9084533175003711E-2</v>
      </c>
      <c r="W218" s="306" t="e">
        <v>#DIV/0!</v>
      </c>
      <c r="X218" s="306">
        <v>9.2889473968946673E-2</v>
      </c>
      <c r="Y218" s="306" t="e">
        <v>#DIV/0!</v>
      </c>
      <c r="Z218" s="306">
        <v>4.8133812377266043E-2</v>
      </c>
      <c r="AA218" s="306" t="e">
        <v>#DIV/0!</v>
      </c>
      <c r="AB218" s="306">
        <v>7.5355854310282078E-2</v>
      </c>
      <c r="AC218" s="306" t="e">
        <v>#DIV/0!</v>
      </c>
      <c r="AD218" s="306">
        <v>2.861770761839396E-2</v>
      </c>
      <c r="AE218" s="306" t="e">
        <v>#DIV/0!</v>
      </c>
      <c r="AF218" s="306">
        <v>6.0201292608586698E-2</v>
      </c>
      <c r="AG218" s="306"/>
      <c r="AH218" s="306">
        <v>3.2577863504850514E-2</v>
      </c>
      <c r="AI218" s="306"/>
      <c r="AJ218" s="306">
        <v>5.7574429834269115E-2</v>
      </c>
      <c r="AK218" s="306"/>
      <c r="AL218" s="306">
        <v>2.5639515427347569E-2</v>
      </c>
      <c r="AM218" s="306"/>
      <c r="AN218" s="306">
        <v>4.5334123107607517E-2</v>
      </c>
      <c r="AO218" s="306"/>
      <c r="AP218" s="306">
        <v>1.7769013371578015E-2</v>
      </c>
      <c r="AQ218" s="306"/>
      <c r="AR218" s="306">
        <v>3.2605280972952087E-2</v>
      </c>
      <c r="AS218" s="306"/>
      <c r="AT218" s="306">
        <v>1.7490498852672804E-2</v>
      </c>
    </row>
    <row r="219" spans="2:46" ht="13.5" x14ac:dyDescent="0.4">
      <c r="B219" s="269"/>
      <c r="C219" s="275" t="s">
        <v>856</v>
      </c>
      <c r="D219" s="306" t="e">
        <v>#DIV/0!</v>
      </c>
      <c r="E219" s="306" t="e">
        <v>#DIV/0!</v>
      </c>
      <c r="F219" s="306" t="e">
        <v>#DIV/0!</v>
      </c>
      <c r="G219" s="306" t="e">
        <v>#DIV/0!</v>
      </c>
      <c r="H219" s="306">
        <v>6.3043000358361412E-2</v>
      </c>
      <c r="I219" s="306" t="e">
        <v>#DIV/0!</v>
      </c>
      <c r="J219" s="306">
        <v>3.5567834774388594E-2</v>
      </c>
      <c r="K219" s="306" t="e">
        <v>#DIV/0!</v>
      </c>
      <c r="L219" s="306">
        <v>7.1258329013771979E-2</v>
      </c>
      <c r="M219" s="306" t="e">
        <v>#DIV/0!</v>
      </c>
      <c r="N219" s="306" t="e">
        <v>#DIV/0!</v>
      </c>
      <c r="O219" s="306" t="e">
        <v>#DIV/0!</v>
      </c>
      <c r="P219" s="306">
        <v>4.9272632406532527E-2</v>
      </c>
      <c r="Q219" s="306" t="e">
        <v>#DIV/0!</v>
      </c>
      <c r="R219" s="306">
        <v>2.3746649061737287E-2</v>
      </c>
      <c r="S219" s="306" t="e">
        <v>#DIV/0!</v>
      </c>
      <c r="T219" s="306">
        <v>4.7655105048567882E-2</v>
      </c>
      <c r="U219" s="306" t="e">
        <v>#DIV/0!</v>
      </c>
      <c r="V219" s="306">
        <v>2.5912432175600384E-2</v>
      </c>
      <c r="W219" s="306" t="e">
        <v>#DIV/0!</v>
      </c>
      <c r="X219" s="306">
        <v>5.3052771976623787E-2</v>
      </c>
      <c r="Y219" s="306" t="e">
        <v>#DIV/0!</v>
      </c>
      <c r="Z219" s="306">
        <v>2.9897630395875216E-2</v>
      </c>
      <c r="AA219" s="306" t="e">
        <v>#DIV/0!</v>
      </c>
      <c r="AB219" s="306">
        <v>5.9911172844269535E-2</v>
      </c>
      <c r="AC219" s="306" t="e">
        <v>#DIV/0!</v>
      </c>
      <c r="AD219" s="306">
        <v>2.7836691078670216E-2</v>
      </c>
      <c r="AE219" s="306" t="e">
        <v>#DIV/0!</v>
      </c>
      <c r="AF219" s="306">
        <v>5.6023766112889034E-2</v>
      </c>
      <c r="AG219" s="306"/>
      <c r="AH219" s="306">
        <v>2.7957452950853553E-2</v>
      </c>
      <c r="AI219" s="306"/>
      <c r="AJ219" s="306">
        <v>5.6506913087198213E-2</v>
      </c>
      <c r="AK219" s="306"/>
      <c r="AL219" s="306">
        <v>2.6648198360402445E-2</v>
      </c>
      <c r="AM219" s="306"/>
      <c r="AN219" s="306">
        <v>5.3248883871871093E-2</v>
      </c>
      <c r="AO219" s="306"/>
      <c r="AP219" s="306">
        <v>2.1001861898485578E-2</v>
      </c>
      <c r="AQ219" s="306"/>
      <c r="AR219" s="306">
        <v>4.1373405429160147E-2</v>
      </c>
      <c r="AS219" s="306"/>
      <c r="AT219" s="306">
        <v>2.0192655875675015E-2</v>
      </c>
    </row>
    <row r="220" spans="2:46" ht="13.5" x14ac:dyDescent="0.4">
      <c r="B220" s="269"/>
      <c r="C220" s="311" t="s">
        <v>857</v>
      </c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7"/>
      <c r="R220" s="307"/>
      <c r="S220" s="307"/>
      <c r="T220" s="307"/>
      <c r="U220" s="307"/>
      <c r="V220" s="307"/>
      <c r="W220" s="307"/>
      <c r="X220" s="307"/>
      <c r="Y220" s="307"/>
      <c r="Z220" s="307"/>
      <c r="AA220" s="307"/>
      <c r="AB220" s="307"/>
      <c r="AC220" s="307"/>
      <c r="AD220" s="307"/>
      <c r="AE220" s="307"/>
      <c r="AF220" s="307"/>
      <c r="AG220" s="307"/>
      <c r="AH220" s="308">
        <v>3.8684816097356536E-2</v>
      </c>
      <c r="AI220" s="307"/>
      <c r="AJ220" s="308">
        <v>3.9343758499649578E-2</v>
      </c>
      <c r="AK220" s="307"/>
      <c r="AL220" s="308">
        <v>3.9653192860564082E-2</v>
      </c>
      <c r="AM220" s="307"/>
      <c r="AN220" s="308">
        <v>3.9424194856367188E-2</v>
      </c>
      <c r="AO220" s="307"/>
      <c r="AP220" s="308">
        <v>3.6669348293563074E-2</v>
      </c>
      <c r="AQ220" s="307"/>
      <c r="AR220" s="308">
        <v>3.6514255857638518E-2</v>
      </c>
      <c r="AS220" s="308"/>
      <c r="AT220" s="308">
        <v>1.7780686678241866E-2</v>
      </c>
    </row>
    <row r="221" spans="2:46" ht="13.5" x14ac:dyDescent="0.4">
      <c r="B221" s="269"/>
      <c r="C221" s="274" t="s">
        <v>858</v>
      </c>
      <c r="D221" s="309"/>
      <c r="E221" s="309"/>
      <c r="F221" s="309"/>
      <c r="G221" s="309"/>
      <c r="H221" s="309"/>
      <c r="I221" s="309"/>
      <c r="J221" s="309"/>
      <c r="K221" s="309"/>
      <c r="L221" s="309"/>
      <c r="M221" s="309"/>
      <c r="N221" s="309"/>
      <c r="O221" s="309"/>
      <c r="P221" s="309"/>
      <c r="Q221" s="309"/>
      <c r="R221" s="309"/>
      <c r="S221" s="309"/>
      <c r="T221" s="309"/>
      <c r="U221" s="309"/>
      <c r="V221" s="309"/>
      <c r="W221" s="309"/>
      <c r="X221" s="309"/>
      <c r="Y221" s="309"/>
      <c r="Z221" s="309"/>
      <c r="AA221" s="309"/>
      <c r="AB221" s="309"/>
      <c r="AC221" s="309"/>
      <c r="AD221" s="309"/>
      <c r="AE221" s="309"/>
      <c r="AF221" s="309"/>
      <c r="AG221" s="309"/>
      <c r="AH221" s="309"/>
      <c r="AI221" s="309"/>
      <c r="AJ221" s="309"/>
      <c r="AK221" s="309"/>
      <c r="AL221" s="309"/>
      <c r="AM221" s="309"/>
      <c r="AN221" s="309"/>
      <c r="AO221" s="309"/>
      <c r="AP221" s="309"/>
      <c r="AQ221" s="309"/>
      <c r="AR221" s="309"/>
      <c r="AS221" s="309"/>
      <c r="AT221" s="309"/>
    </row>
    <row r="222" spans="2:46" ht="13.5" x14ac:dyDescent="0.4">
      <c r="B222" s="269"/>
      <c r="C222" s="274" t="s">
        <v>859</v>
      </c>
      <c r="D222" s="309"/>
      <c r="E222" s="309"/>
      <c r="F222" s="309"/>
      <c r="G222" s="309"/>
      <c r="H222" s="309"/>
      <c r="I222" s="309"/>
      <c r="J222" s="309"/>
      <c r="K222" s="309"/>
      <c r="L222" s="309"/>
      <c r="M222" s="309"/>
      <c r="N222" s="309"/>
      <c r="O222" s="309"/>
      <c r="P222" s="309"/>
      <c r="Q222" s="309"/>
      <c r="R222" s="309"/>
      <c r="S222" s="309"/>
      <c r="T222" s="309"/>
      <c r="U222" s="309"/>
      <c r="V222" s="309"/>
      <c r="W222" s="309"/>
      <c r="X222" s="309"/>
      <c r="Y222" s="309"/>
      <c r="Z222" s="309"/>
      <c r="AA222" s="309"/>
      <c r="AB222" s="309"/>
      <c r="AC222" s="309"/>
      <c r="AD222" s="309"/>
      <c r="AE222" s="309"/>
      <c r="AF222" s="309"/>
      <c r="AG222" s="309"/>
      <c r="AH222" s="309"/>
      <c r="AI222" s="309"/>
      <c r="AJ222" s="309"/>
      <c r="AK222" s="309"/>
      <c r="AL222" s="309"/>
      <c r="AM222" s="309"/>
      <c r="AN222" s="309"/>
      <c r="AO222" s="309"/>
      <c r="AP222" s="309"/>
      <c r="AQ222" s="309"/>
      <c r="AR222" s="309"/>
      <c r="AS222" s="309"/>
      <c r="AT222" s="309"/>
    </row>
    <row r="223" spans="2:46" ht="13.5" x14ac:dyDescent="0.4">
      <c r="B223" s="269"/>
      <c r="C223" s="278" t="s">
        <v>860</v>
      </c>
      <c r="D223" s="309"/>
      <c r="E223" s="309"/>
      <c r="F223" s="309"/>
      <c r="G223" s="309"/>
      <c r="H223" s="309"/>
      <c r="I223" s="309"/>
      <c r="J223" s="309"/>
      <c r="K223" s="309"/>
      <c r="L223" s="309"/>
      <c r="M223" s="309"/>
      <c r="N223" s="309"/>
      <c r="O223" s="309"/>
      <c r="P223" s="309"/>
      <c r="Q223" s="309"/>
      <c r="R223" s="309"/>
      <c r="S223" s="309"/>
      <c r="T223" s="309"/>
      <c r="U223" s="309"/>
      <c r="V223" s="309"/>
      <c r="W223" s="309"/>
      <c r="X223" s="309"/>
      <c r="Y223" s="309"/>
      <c r="Z223" s="309"/>
      <c r="AA223" s="309"/>
      <c r="AB223" s="309"/>
      <c r="AC223" s="309"/>
      <c r="AD223" s="309"/>
      <c r="AE223" s="309"/>
      <c r="AF223" s="309"/>
      <c r="AG223" s="309"/>
      <c r="AH223" s="309"/>
      <c r="AI223" s="309"/>
      <c r="AJ223" s="309"/>
      <c r="AK223" s="309"/>
      <c r="AL223" s="309"/>
      <c r="AM223" s="309"/>
      <c r="AN223" s="309"/>
      <c r="AO223" s="309"/>
      <c r="AP223" s="309"/>
      <c r="AQ223" s="309"/>
      <c r="AR223" s="309"/>
      <c r="AS223" s="309"/>
      <c r="AT223" s="309"/>
    </row>
    <row r="224" spans="2:46" ht="13.5" x14ac:dyDescent="0.4">
      <c r="B224" s="269"/>
      <c r="C224" s="275" t="s">
        <v>861</v>
      </c>
      <c r="D224" s="310"/>
      <c r="E224" s="310"/>
      <c r="F224" s="310"/>
      <c r="G224" s="310"/>
      <c r="H224" s="310"/>
      <c r="I224" s="310"/>
      <c r="J224" s="310"/>
      <c r="K224" s="310"/>
      <c r="L224" s="310"/>
      <c r="M224" s="310"/>
      <c r="N224" s="310"/>
      <c r="O224" s="310"/>
      <c r="P224" s="310"/>
      <c r="Q224" s="310"/>
      <c r="R224" s="310"/>
      <c r="S224" s="310"/>
      <c r="T224" s="310"/>
      <c r="U224" s="310"/>
      <c r="V224" s="310"/>
      <c r="W224" s="310"/>
      <c r="X224" s="310"/>
      <c r="Y224" s="310"/>
      <c r="Z224" s="310"/>
      <c r="AA224" s="310"/>
      <c r="AB224" s="310"/>
      <c r="AC224" s="310"/>
      <c r="AD224" s="310"/>
      <c r="AE224" s="310"/>
      <c r="AF224" s="310"/>
      <c r="AG224" s="310"/>
      <c r="AH224" s="310"/>
      <c r="AI224" s="310"/>
      <c r="AJ224" s="310"/>
      <c r="AK224" s="310"/>
      <c r="AL224" s="310"/>
      <c r="AM224" s="310"/>
      <c r="AN224" s="310"/>
      <c r="AO224" s="310"/>
      <c r="AP224" s="310"/>
      <c r="AQ224" s="310"/>
      <c r="AR224" s="310"/>
      <c r="AS224" s="310"/>
      <c r="AT224" s="310"/>
    </row>
    <row r="225" spans="2:46" ht="13.5" x14ac:dyDescent="0.4">
      <c r="B225" s="269"/>
      <c r="C225" s="311" t="s">
        <v>862</v>
      </c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08">
        <v>1.5746517488338847E-2</v>
      </c>
      <c r="AC225" s="312"/>
      <c r="AD225" s="312"/>
      <c r="AE225" s="312"/>
      <c r="AF225" s="308">
        <v>1.5772349999358524E-2</v>
      </c>
      <c r="AG225" s="312"/>
      <c r="AH225" s="308">
        <v>1.555607128284903E-2</v>
      </c>
      <c r="AI225" s="307"/>
      <c r="AJ225" s="308">
        <v>1.56684851142267E-2</v>
      </c>
      <c r="AK225" s="307"/>
      <c r="AL225" s="308">
        <v>1.4861949460407907E-2</v>
      </c>
      <c r="AM225" s="307"/>
      <c r="AN225" s="308">
        <v>1.5140300901895961E-2</v>
      </c>
      <c r="AO225" s="307"/>
      <c r="AP225" s="308">
        <v>1.5346868899743207E-2</v>
      </c>
      <c r="AQ225" s="307"/>
      <c r="AR225" s="308">
        <v>1.5326903384385275E-2</v>
      </c>
      <c r="AS225" s="308"/>
      <c r="AT225" s="308">
        <v>7.5473578837232103E-3</v>
      </c>
    </row>
    <row r="226" spans="2:46" ht="13.5" x14ac:dyDescent="0.4">
      <c r="B226" s="269"/>
      <c r="C226" s="286" t="s">
        <v>863</v>
      </c>
      <c r="D226" s="306"/>
      <c r="E226" s="306"/>
      <c r="F226" s="306"/>
      <c r="G226" s="306"/>
      <c r="H226" s="306"/>
      <c r="I226" s="306"/>
      <c r="J226" s="306"/>
      <c r="K226" s="306"/>
      <c r="L226" s="306"/>
      <c r="M226" s="306"/>
      <c r="N226" s="306"/>
      <c r="O226" s="306"/>
      <c r="P226" s="306"/>
      <c r="Q226" s="306"/>
      <c r="R226" s="306"/>
      <c r="S226" s="306"/>
      <c r="T226" s="306"/>
      <c r="U226" s="306"/>
      <c r="V226" s="306"/>
      <c r="W226" s="306"/>
      <c r="X226" s="306"/>
      <c r="Y226" s="306"/>
      <c r="Z226" s="306"/>
      <c r="AA226" s="306"/>
      <c r="AB226" s="308">
        <v>2.5383411140484091E-2</v>
      </c>
      <c r="AC226" s="306"/>
      <c r="AD226" s="306"/>
      <c r="AE226" s="306"/>
      <c r="AF226" s="308">
        <v>2.6924934778279157E-2</v>
      </c>
      <c r="AG226" s="306"/>
      <c r="AH226" s="308">
        <v>3.0899276267774146E-2</v>
      </c>
      <c r="AI226" s="306"/>
      <c r="AJ226" s="308">
        <v>3.2354844758442566E-2</v>
      </c>
      <c r="AK226" s="307"/>
      <c r="AL226" s="308">
        <v>2.769988824931267E-2</v>
      </c>
      <c r="AM226" s="307"/>
      <c r="AN226" s="308">
        <v>2.5226491613492975E-2</v>
      </c>
      <c r="AO226" s="307"/>
      <c r="AP226" s="308">
        <v>2.1800485210480836E-2</v>
      </c>
      <c r="AQ226" s="307"/>
      <c r="AR226" s="308">
        <v>2.2152546321374429E-2</v>
      </c>
      <c r="AS226" s="308"/>
      <c r="AT226" s="308">
        <v>1.5997383625329323E-2</v>
      </c>
    </row>
    <row r="227" spans="2:46" ht="13.5" x14ac:dyDescent="0.4">
      <c r="B227" s="269"/>
      <c r="C227" s="274" t="s">
        <v>864</v>
      </c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7"/>
      <c r="R227" s="307"/>
      <c r="S227" s="307"/>
      <c r="T227" s="307"/>
      <c r="U227" s="307"/>
      <c r="V227" s="307"/>
      <c r="W227" s="307"/>
      <c r="X227" s="307"/>
      <c r="Y227" s="307"/>
      <c r="Z227" s="307"/>
      <c r="AA227" s="307"/>
      <c r="AB227" s="307"/>
      <c r="AC227" s="307"/>
      <c r="AD227" s="307"/>
      <c r="AE227" s="307"/>
      <c r="AF227" s="307"/>
      <c r="AG227" s="307"/>
      <c r="AH227" s="307"/>
      <c r="AI227" s="307"/>
      <c r="AJ227" s="307"/>
      <c r="AK227" s="307"/>
      <c r="AL227" s="307"/>
      <c r="AM227" s="307"/>
      <c r="AN227" s="307"/>
      <c r="AO227" s="307"/>
      <c r="AP227" s="307"/>
      <c r="AQ227" s="307"/>
      <c r="AR227" s="307"/>
      <c r="AS227" s="307"/>
      <c r="AT227" s="307"/>
    </row>
    <row r="228" spans="2:46" ht="13.5" x14ac:dyDescent="0.4">
      <c r="B228" s="269"/>
      <c r="C228" s="274" t="s">
        <v>865</v>
      </c>
      <c r="D228" s="309"/>
      <c r="E228" s="309"/>
      <c r="F228" s="309"/>
      <c r="G228" s="309"/>
      <c r="H228" s="309"/>
      <c r="I228" s="309"/>
      <c r="J228" s="309"/>
      <c r="K228" s="309"/>
      <c r="L228" s="309"/>
      <c r="M228" s="309"/>
      <c r="N228" s="309"/>
      <c r="O228" s="309"/>
      <c r="P228" s="309"/>
      <c r="Q228" s="309"/>
      <c r="R228" s="309"/>
      <c r="S228" s="309"/>
      <c r="T228" s="309"/>
      <c r="U228" s="309"/>
      <c r="V228" s="309"/>
      <c r="W228" s="309"/>
      <c r="X228" s="309"/>
      <c r="Y228" s="309"/>
      <c r="Z228" s="309"/>
      <c r="AA228" s="309"/>
      <c r="AB228" s="309"/>
      <c r="AC228" s="309"/>
      <c r="AD228" s="309"/>
      <c r="AE228" s="309"/>
      <c r="AF228" s="309"/>
      <c r="AG228" s="309"/>
      <c r="AH228" s="309"/>
      <c r="AI228" s="309"/>
      <c r="AJ228" s="309"/>
      <c r="AK228" s="309"/>
      <c r="AL228" s="309"/>
      <c r="AM228" s="309"/>
      <c r="AN228" s="309"/>
      <c r="AO228" s="309"/>
      <c r="AP228" s="309"/>
      <c r="AQ228" s="309"/>
      <c r="AR228" s="309"/>
      <c r="AS228" s="309"/>
      <c r="AT228" s="309"/>
    </row>
    <row r="229" spans="2:46" ht="13.5" x14ac:dyDescent="0.4">
      <c r="B229" s="269"/>
      <c r="C229" s="275" t="s">
        <v>866</v>
      </c>
      <c r="D229" s="310"/>
      <c r="E229" s="310"/>
      <c r="F229" s="310"/>
      <c r="G229" s="310"/>
      <c r="H229" s="310"/>
      <c r="I229" s="310"/>
      <c r="J229" s="310"/>
      <c r="K229" s="310"/>
      <c r="L229" s="310"/>
      <c r="M229" s="310"/>
      <c r="N229" s="310"/>
      <c r="O229" s="310"/>
      <c r="P229" s="310"/>
      <c r="Q229" s="310"/>
      <c r="R229" s="310"/>
      <c r="S229" s="310"/>
      <c r="T229" s="310"/>
      <c r="U229" s="310"/>
      <c r="V229" s="310"/>
      <c r="W229" s="310"/>
      <c r="X229" s="310"/>
      <c r="Y229" s="310"/>
      <c r="Z229" s="310"/>
      <c r="AA229" s="310"/>
      <c r="AB229" s="310"/>
      <c r="AC229" s="310"/>
      <c r="AD229" s="310"/>
      <c r="AE229" s="310"/>
      <c r="AF229" s="310"/>
      <c r="AG229" s="310"/>
      <c r="AH229" s="310"/>
      <c r="AI229" s="310"/>
      <c r="AJ229" s="310"/>
      <c r="AK229" s="310"/>
      <c r="AL229" s="310"/>
      <c r="AM229" s="310"/>
      <c r="AN229" s="310"/>
      <c r="AO229" s="310"/>
      <c r="AP229" s="310"/>
      <c r="AQ229" s="310"/>
      <c r="AR229" s="310"/>
      <c r="AS229" s="310"/>
      <c r="AT229" s="310"/>
    </row>
    <row r="230" spans="2:46" ht="13.9" thickBot="1" x14ac:dyDescent="0.45">
      <c r="B230" s="268"/>
      <c r="C230" s="280" t="s">
        <v>374</v>
      </c>
      <c r="D230" s="313"/>
      <c r="E230" s="313"/>
      <c r="F230" s="313"/>
      <c r="G230" s="313"/>
      <c r="H230" s="313"/>
      <c r="I230" s="313"/>
      <c r="J230" s="313"/>
      <c r="K230" s="313"/>
      <c r="L230" s="313"/>
      <c r="M230" s="313"/>
      <c r="N230" s="313"/>
      <c r="O230" s="313"/>
      <c r="P230" s="313"/>
      <c r="Q230" s="313"/>
      <c r="R230" s="313"/>
      <c r="S230" s="313"/>
      <c r="T230" s="313"/>
      <c r="U230" s="313"/>
      <c r="V230" s="313"/>
      <c r="W230" s="313"/>
      <c r="X230" s="313"/>
      <c r="Y230" s="313"/>
      <c r="Z230" s="313"/>
      <c r="AA230" s="313"/>
      <c r="AB230" s="313"/>
      <c r="AC230" s="313"/>
      <c r="AD230" s="313"/>
      <c r="AE230" s="313"/>
      <c r="AF230" s="313"/>
      <c r="AG230" s="313"/>
      <c r="AH230" s="313"/>
      <c r="AI230" s="313"/>
      <c r="AJ230" s="313"/>
      <c r="AK230" s="313"/>
      <c r="AL230" s="313"/>
      <c r="AM230" s="313"/>
      <c r="AN230" s="313"/>
      <c r="AO230" s="313"/>
      <c r="AP230" s="313"/>
      <c r="AQ230" s="313"/>
      <c r="AR230" s="313"/>
      <c r="AS230" s="313"/>
      <c r="AT230" s="313"/>
    </row>
    <row r="231" spans="2:46" x14ac:dyDescent="0.4">
      <c r="B231" s="268"/>
      <c r="C231" s="263"/>
    </row>
    <row r="232" spans="2:46" ht="13.5" thickBot="1" x14ac:dyDescent="0.45">
      <c r="B232" s="278"/>
      <c r="C232" s="281"/>
    </row>
    <row r="233" spans="2:46" ht="13.5" x14ac:dyDescent="0.4">
      <c r="B233" s="268"/>
      <c r="C233" s="286" t="s">
        <v>375</v>
      </c>
      <c r="D233" s="695">
        <v>1.7000000000000001E-2</v>
      </c>
      <c r="E233" s="695">
        <v>0</v>
      </c>
      <c r="F233" s="695">
        <v>1.7100000000000001E-2</v>
      </c>
      <c r="G233" s="695">
        <v>0</v>
      </c>
      <c r="H233" s="695">
        <v>1.78E-2</v>
      </c>
      <c r="I233" s="695">
        <v>0</v>
      </c>
      <c r="J233" s="695">
        <v>2.0299999999999999E-2</v>
      </c>
      <c r="K233" s="695">
        <v>0</v>
      </c>
      <c r="L233" s="695">
        <v>2.1400000000000002E-2</v>
      </c>
      <c r="M233" s="695">
        <v>0</v>
      </c>
      <c r="N233" s="695">
        <v>1.7299999999999999E-2</v>
      </c>
      <c r="O233" s="695">
        <v>0</v>
      </c>
      <c r="P233" s="695">
        <v>1.5800000000000002E-2</v>
      </c>
      <c r="Q233" s="695">
        <v>0</v>
      </c>
      <c r="R233" s="695">
        <v>1.3600000000000001E-2</v>
      </c>
      <c r="S233" s="695">
        <v>0</v>
      </c>
      <c r="T233" s="695">
        <v>1.37E-2</v>
      </c>
      <c r="U233" s="695">
        <v>0</v>
      </c>
      <c r="V233" s="695">
        <v>1.5700000000000002E-2</v>
      </c>
      <c r="W233" s="695">
        <v>0</v>
      </c>
      <c r="X233" s="695">
        <v>1.7600000000000001E-2</v>
      </c>
      <c r="Y233" s="695">
        <v>0</v>
      </c>
      <c r="Z233" s="695">
        <v>2.1400000000000002E-2</v>
      </c>
      <c r="AA233" s="695">
        <v>0</v>
      </c>
      <c r="AB233" s="695">
        <v>2.1000000000000001E-2</v>
      </c>
      <c r="AC233" s="695">
        <v>0</v>
      </c>
      <c r="AD233" s="695">
        <v>2.0299999999999999E-2</v>
      </c>
      <c r="AE233" s="695">
        <v>0</v>
      </c>
      <c r="AF233" s="695">
        <v>2.0499999999999997E-2</v>
      </c>
      <c r="AG233" s="695"/>
      <c r="AH233" s="695">
        <v>2.12E-2</v>
      </c>
      <c r="AI233" s="695"/>
      <c r="AJ233" s="695">
        <v>2.12E-2</v>
      </c>
      <c r="AK233" s="695"/>
      <c r="AL233" s="695">
        <v>2.0400000000000001E-2</v>
      </c>
      <c r="AM233" s="695"/>
      <c r="AN233" s="695">
        <v>1.9400000000000001E-2</v>
      </c>
      <c r="AO233" s="695"/>
      <c r="AP233" s="695">
        <v>1.66E-2</v>
      </c>
      <c r="AQ233" s="695"/>
      <c r="AR233" s="695">
        <v>1.6E-2</v>
      </c>
      <c r="AS233" s="695">
        <v>0</v>
      </c>
      <c r="AT233" s="695">
        <v>1.5800000000000002E-2</v>
      </c>
    </row>
    <row r="234" spans="2:46" ht="13.5" x14ac:dyDescent="0.4">
      <c r="B234" s="268"/>
      <c r="C234" s="315" t="s">
        <v>867</v>
      </c>
      <c r="D234" s="696"/>
      <c r="E234" s="696"/>
      <c r="F234" s="696"/>
      <c r="G234" s="696"/>
      <c r="H234" s="696"/>
      <c r="I234" s="696"/>
      <c r="J234" s="696"/>
      <c r="K234" s="696"/>
      <c r="L234" s="696"/>
      <c r="M234" s="696"/>
      <c r="N234" s="696"/>
      <c r="O234" s="696"/>
      <c r="P234" s="696"/>
      <c r="Q234" s="696"/>
      <c r="R234" s="696"/>
      <c r="S234" s="696"/>
      <c r="T234" s="696"/>
      <c r="U234" s="696"/>
      <c r="V234" s="696"/>
      <c r="W234" s="696"/>
      <c r="X234" s="696"/>
      <c r="Y234" s="696"/>
      <c r="Z234" s="696"/>
      <c r="AA234" s="696"/>
      <c r="AB234" s="308">
        <v>2.047176946585624E-2</v>
      </c>
      <c r="AC234" s="696"/>
      <c r="AD234" s="696"/>
      <c r="AE234" s="696"/>
      <c r="AF234" s="308">
        <v>2.0359519745046645E-2</v>
      </c>
      <c r="AG234" s="308"/>
      <c r="AH234" s="308">
        <v>2.0343407573886203E-2</v>
      </c>
      <c r="AI234" s="308"/>
      <c r="AJ234" s="308">
        <v>2.0437254883998082E-2</v>
      </c>
      <c r="AK234" s="308"/>
      <c r="AL234" s="308">
        <v>1.9994032221268818E-2</v>
      </c>
      <c r="AM234" s="308"/>
      <c r="AN234" s="308">
        <v>1.9128622898979035E-2</v>
      </c>
      <c r="AO234" s="308"/>
      <c r="AP234" s="308">
        <v>1.5875263016073997E-2</v>
      </c>
      <c r="AQ234" s="308"/>
      <c r="AR234" s="308">
        <v>1.5276803413756802E-2</v>
      </c>
      <c r="AS234" s="308"/>
      <c r="AT234" s="308">
        <v>7.1163256377671383E-3</v>
      </c>
    </row>
    <row r="235" spans="2:46" s="244" customFormat="1" ht="13.5" x14ac:dyDescent="0.4">
      <c r="B235" s="268"/>
      <c r="C235" s="278" t="s">
        <v>868</v>
      </c>
      <c r="D235" s="309"/>
      <c r="E235" s="309"/>
      <c r="F235" s="309"/>
      <c r="G235" s="309"/>
      <c r="H235" s="309"/>
      <c r="I235" s="309"/>
      <c r="J235" s="309"/>
      <c r="K235" s="309"/>
      <c r="L235" s="309"/>
      <c r="M235" s="309"/>
      <c r="N235" s="309"/>
      <c r="O235" s="309"/>
      <c r="P235" s="309"/>
      <c r="Q235" s="309"/>
      <c r="R235" s="309"/>
      <c r="S235" s="309"/>
      <c r="T235" s="309"/>
      <c r="U235" s="309"/>
      <c r="V235" s="309"/>
      <c r="W235" s="309"/>
      <c r="X235" s="309"/>
      <c r="Y235" s="309"/>
      <c r="Z235" s="309"/>
      <c r="AA235" s="309"/>
      <c r="AB235" s="309"/>
      <c r="AC235" s="309"/>
      <c r="AD235" s="309"/>
      <c r="AE235" s="309"/>
      <c r="AF235" s="309"/>
      <c r="AG235" s="309"/>
      <c r="AH235" s="309"/>
      <c r="AI235" s="309"/>
      <c r="AJ235" s="309"/>
      <c r="AK235" s="309"/>
      <c r="AL235" s="309"/>
      <c r="AM235" s="309"/>
      <c r="AN235" s="309"/>
      <c r="AO235" s="309"/>
      <c r="AP235" s="309"/>
      <c r="AQ235" s="309"/>
      <c r="AR235" s="312"/>
      <c r="AS235" s="312"/>
      <c r="AT235" s="312"/>
    </row>
    <row r="236" spans="2:46" s="244" customFormat="1" ht="13.5" x14ac:dyDescent="0.4">
      <c r="B236" s="268"/>
      <c r="C236" s="278" t="s">
        <v>869</v>
      </c>
      <c r="D236" s="312" t="e">
        <v>#DIV/0!</v>
      </c>
      <c r="E236" s="312" t="e">
        <v>#DIV/0!</v>
      </c>
      <c r="F236" s="312" t="e">
        <v>#DIV/0!</v>
      </c>
      <c r="G236" s="312" t="e">
        <v>#DIV/0!</v>
      </c>
      <c r="H236" s="312">
        <v>9.8541555786323485E-3</v>
      </c>
      <c r="I236" s="312" t="e">
        <v>#DIV/0!</v>
      </c>
      <c r="J236" s="312">
        <v>5.1071715803171873E-3</v>
      </c>
      <c r="K236" s="312" t="e">
        <v>#DIV/0!</v>
      </c>
      <c r="L236" s="312">
        <v>1.0132255007721844E-2</v>
      </c>
      <c r="M236" s="312" t="e">
        <v>#DIV/0!</v>
      </c>
      <c r="N236" s="312">
        <v>3.07610903595819E-3</v>
      </c>
      <c r="O236" s="312" t="e">
        <v>#DIV/0!</v>
      </c>
      <c r="P236" s="312">
        <v>6.3383778890344277E-3</v>
      </c>
      <c r="Q236" s="312" t="e">
        <v>#DIV/0!</v>
      </c>
      <c r="R236" s="312">
        <v>3.1249278535661297E-3</v>
      </c>
      <c r="S236" s="312" t="e">
        <v>#DIV/0!</v>
      </c>
      <c r="T236" s="312">
        <v>6.3458694252514179E-3</v>
      </c>
      <c r="U236" s="312" t="e">
        <v>#DIV/0!</v>
      </c>
      <c r="V236" s="312">
        <v>3.7749336667400198E-3</v>
      </c>
      <c r="W236" s="312" t="e">
        <v>#DIV/0!</v>
      </c>
      <c r="X236" s="312">
        <v>8.0631964504113973E-3</v>
      </c>
      <c r="Y236" s="312" t="e">
        <v>#DIV/0!</v>
      </c>
      <c r="Z236" s="312">
        <v>4.3098510962809901E-3</v>
      </c>
      <c r="AA236" s="312" t="e">
        <v>#DIV/0!</v>
      </c>
      <c r="AB236" s="312">
        <v>8.1913760181286602E-3</v>
      </c>
      <c r="AC236" s="312"/>
      <c r="AD236" s="312">
        <v>3.6174908915238011E-3</v>
      </c>
      <c r="AE236" s="312"/>
      <c r="AF236" s="312">
        <v>7.5448204068114984E-3</v>
      </c>
      <c r="AG236" s="312"/>
      <c r="AH236" s="312">
        <v>3.867917311096643E-3</v>
      </c>
      <c r="AI236" s="312"/>
      <c r="AJ236" s="312">
        <v>7.8613830865444951E-3</v>
      </c>
      <c r="AK236" s="312"/>
      <c r="AL236" s="312">
        <v>3.811327811282478E-3</v>
      </c>
      <c r="AM236" s="312"/>
      <c r="AN236" s="312">
        <v>7.3324830213038162E-3</v>
      </c>
      <c r="AO236" s="312"/>
      <c r="AP236" s="312">
        <v>3.1859355200483685E-3</v>
      </c>
      <c r="AQ236" s="312"/>
      <c r="AR236" s="312">
        <v>6.6259575709911398E-3</v>
      </c>
      <c r="AS236" s="312"/>
      <c r="AT236" s="312">
        <v>3.2874774748343524E-3</v>
      </c>
    </row>
    <row r="237" spans="2:46" s="244" customFormat="1" ht="13.5" x14ac:dyDescent="0.4">
      <c r="B237" s="268"/>
      <c r="C237" s="278" t="s">
        <v>870</v>
      </c>
      <c r="D237" s="312" t="e">
        <v>#DIV/0!</v>
      </c>
      <c r="E237" s="312" t="e">
        <v>#DIV/0!</v>
      </c>
      <c r="F237" s="312" t="e">
        <v>#DIV/0!</v>
      </c>
      <c r="G237" s="312" t="e">
        <v>#DIV/0!</v>
      </c>
      <c r="H237" s="312">
        <v>8.0485410589944857E-3</v>
      </c>
      <c r="I237" s="312" t="e">
        <v>#DIV/0!</v>
      </c>
      <c r="J237" s="312">
        <v>3.6064627813040969E-3</v>
      </c>
      <c r="K237" s="312" t="e">
        <v>#DIV/0!</v>
      </c>
      <c r="L237" s="312">
        <v>5.9250585480093675E-3</v>
      </c>
      <c r="M237" s="312" t="e">
        <v>#DIV/0!</v>
      </c>
      <c r="N237" s="312">
        <v>1.8224336189953127E-3</v>
      </c>
      <c r="O237" s="312" t="e">
        <v>#DIV/0!</v>
      </c>
      <c r="P237" s="312">
        <v>3.6209900364245064E-3</v>
      </c>
      <c r="Q237" s="312" t="e">
        <v>#DIV/0!</v>
      </c>
      <c r="R237" s="312">
        <v>1.8000004167873613E-3</v>
      </c>
      <c r="S237" s="312" t="e">
        <v>#DIV/0!</v>
      </c>
      <c r="T237" s="312">
        <v>3.7100882496719583E-3</v>
      </c>
      <c r="U237" s="312" t="e">
        <v>#DIV/0!</v>
      </c>
      <c r="V237" s="312">
        <v>2.4052949337791097E-3</v>
      </c>
      <c r="W237" s="312" t="e">
        <v>#DIV/0!</v>
      </c>
      <c r="X237" s="312">
        <v>4.858144282739168E-3</v>
      </c>
      <c r="Y237" s="312" t="e">
        <v>#DIV/0!</v>
      </c>
      <c r="Z237" s="312">
        <v>2.2965508599740764E-3</v>
      </c>
      <c r="AA237" s="312" t="e">
        <v>#DIV/0!</v>
      </c>
      <c r="AB237" s="312">
        <v>3.9789938448507147E-3</v>
      </c>
      <c r="AC237" s="312"/>
      <c r="AD237" s="312">
        <v>1.7364339759635356E-3</v>
      </c>
      <c r="AE237" s="312"/>
      <c r="AF237" s="312">
        <v>3.5210878750818911E-3</v>
      </c>
      <c r="AG237" s="312"/>
      <c r="AH237" s="312">
        <v>1.7328324227706717E-3</v>
      </c>
      <c r="AI237" s="312"/>
      <c r="AJ237" s="312">
        <v>3.4980907186432041E-3</v>
      </c>
      <c r="AK237" s="312"/>
      <c r="AL237" s="312">
        <v>1.7339333746483627E-3</v>
      </c>
      <c r="AM237" s="312"/>
      <c r="AN237" s="312">
        <v>3.3336047735151027E-3</v>
      </c>
      <c r="AO237" s="312"/>
      <c r="AP237" s="312">
        <v>1.4993925403251689E-3</v>
      </c>
      <c r="AQ237" s="312"/>
      <c r="AR237" s="312">
        <v>3.0800030576231168E-3</v>
      </c>
      <c r="AS237" s="312"/>
      <c r="AT237" s="312">
        <v>1.9268993673452013E-3</v>
      </c>
    </row>
    <row r="238" spans="2:46" s="244" customFormat="1" ht="13.5" x14ac:dyDescent="0.4">
      <c r="B238" s="268"/>
      <c r="C238" s="278" t="s">
        <v>871</v>
      </c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  <c r="AL238" s="312"/>
      <c r="AM238" s="312"/>
      <c r="AN238" s="312"/>
      <c r="AO238" s="312"/>
      <c r="AP238" s="312"/>
      <c r="AQ238" s="312"/>
      <c r="AR238" s="312"/>
      <c r="AS238" s="312"/>
      <c r="AT238" s="312"/>
    </row>
    <row r="239" spans="2:46" s="244" customFormat="1" ht="13.5" x14ac:dyDescent="0.4">
      <c r="B239" s="268"/>
      <c r="C239" s="278" t="s">
        <v>872</v>
      </c>
      <c r="D239" s="312" t="e">
        <v>#DIV/0!</v>
      </c>
      <c r="E239" s="312" t="e">
        <v>#DIV/0!</v>
      </c>
      <c r="F239" s="312" t="e">
        <v>#DIV/0!</v>
      </c>
      <c r="G239" s="312" t="e">
        <v>#DIV/0!</v>
      </c>
      <c r="H239" s="312">
        <v>2.5971785729960794E-2</v>
      </c>
      <c r="I239" s="312" t="e">
        <v>#DIV/0!</v>
      </c>
      <c r="J239" s="312">
        <v>1.6241637983528609E-2</v>
      </c>
      <c r="K239" s="312" t="e">
        <v>#DIV/0!</v>
      </c>
      <c r="L239" s="312">
        <v>3.416718604243809E-2</v>
      </c>
      <c r="M239" s="312" t="e">
        <v>#DIV/0!</v>
      </c>
      <c r="N239" s="312">
        <v>1.3702449736745281E-2</v>
      </c>
      <c r="O239" s="312" t="e">
        <v>#DIV/0!</v>
      </c>
      <c r="P239" s="312">
        <v>2.4536961792047937E-2</v>
      </c>
      <c r="Q239" s="312" t="e">
        <v>#DIV/0!</v>
      </c>
      <c r="R239" s="312">
        <v>1.0565005779022432E-2</v>
      </c>
      <c r="S239" s="312" t="e">
        <v>#DIV/0!</v>
      </c>
      <c r="T239" s="312">
        <v>2.1570501523520299E-2</v>
      </c>
      <c r="U239" s="312" t="e">
        <v>#DIV/0!</v>
      </c>
      <c r="V239" s="312">
        <v>1.2174464853196889E-2</v>
      </c>
      <c r="W239" s="312" t="e">
        <v>#DIV/0!</v>
      </c>
      <c r="X239" s="312">
        <v>2.7229307512768492E-2</v>
      </c>
      <c r="Y239" s="312" t="e">
        <v>#DIV/0!</v>
      </c>
      <c r="Z239" s="312">
        <v>1.6450254684985965E-2</v>
      </c>
      <c r="AA239" s="312" t="e">
        <v>#DIV/0!</v>
      </c>
      <c r="AB239" s="312">
        <v>3.3309512466253771E-2</v>
      </c>
      <c r="AC239" s="312"/>
      <c r="AD239" s="312">
        <v>1.6137695244994622E-2</v>
      </c>
      <c r="AE239" s="312"/>
      <c r="AF239" s="312">
        <v>3.3033402033918122E-2</v>
      </c>
      <c r="AG239" s="312"/>
      <c r="AH239" s="312">
        <v>1.7076252461396216E-2</v>
      </c>
      <c r="AI239" s="312"/>
      <c r="AJ239" s="312">
        <v>3.4263760711931442E-2</v>
      </c>
      <c r="AK239" s="312"/>
      <c r="AL239" s="312">
        <v>1.6377495844293058E-2</v>
      </c>
      <c r="AM239" s="312"/>
      <c r="AN239" s="312">
        <v>3.1563513753463363E-2</v>
      </c>
      <c r="AO239" s="312"/>
      <c r="AP239" s="312">
        <v>1.2887661605491029E-2</v>
      </c>
      <c r="AQ239" s="312"/>
      <c r="AR239" s="312">
        <v>2.4810173714492883E-2</v>
      </c>
      <c r="AS239" s="312"/>
      <c r="AT239" s="312">
        <v>1.1248227032970539E-2</v>
      </c>
    </row>
    <row r="240" spans="2:46" s="244" customFormat="1" ht="13.5" x14ac:dyDescent="0.4">
      <c r="B240" s="268"/>
      <c r="C240" s="278" t="s">
        <v>873</v>
      </c>
      <c r="D240" s="312" t="e">
        <v>#DIV/0!</v>
      </c>
      <c r="E240" s="312" t="e">
        <v>#DIV/0!</v>
      </c>
      <c r="F240" s="312" t="e">
        <v>#DIV/0!</v>
      </c>
      <c r="G240" s="312" t="e">
        <v>#DIV/0!</v>
      </c>
      <c r="H240" s="312">
        <v>2.5757444939543298E-2</v>
      </c>
      <c r="I240" s="312" t="e">
        <v>#DIV/0!</v>
      </c>
      <c r="J240" s="312">
        <v>1.6504164127564492E-2</v>
      </c>
      <c r="K240" s="312" t="e">
        <v>#DIV/0!</v>
      </c>
      <c r="L240" s="312">
        <v>3.6155855884347644E-2</v>
      </c>
      <c r="M240" s="312" t="e">
        <v>#DIV/0!</v>
      </c>
      <c r="N240" s="312">
        <v>1.5076021306609365E-2</v>
      </c>
      <c r="O240" s="312" t="e">
        <v>#DIV/0!</v>
      </c>
      <c r="P240" s="312">
        <v>2.7912880197725819E-2</v>
      </c>
      <c r="Q240" s="312" t="e">
        <v>#DIV/0!</v>
      </c>
      <c r="R240" s="312">
        <v>1.2070020683043199E-2</v>
      </c>
      <c r="S240" s="312" t="e">
        <v>#DIV/0!</v>
      </c>
      <c r="T240" s="312">
        <v>2.3517385183810229E-2</v>
      </c>
      <c r="U240" s="312" t="e">
        <v>#DIV/0!</v>
      </c>
      <c r="V240" s="312">
        <v>1.268975222073862E-2</v>
      </c>
      <c r="W240" s="312" t="e">
        <v>#DIV/0!</v>
      </c>
      <c r="X240" s="312">
        <v>2.7837126791238957E-2</v>
      </c>
      <c r="Y240" s="312" t="e">
        <v>#DIV/0!</v>
      </c>
      <c r="Z240" s="312">
        <v>1.7055845331035328E-2</v>
      </c>
      <c r="AA240" s="312" t="e">
        <v>#DIV/0!</v>
      </c>
      <c r="AB240" s="312">
        <v>3.4370759689591732E-2</v>
      </c>
      <c r="AC240" s="312"/>
      <c r="AD240" s="312">
        <v>1.6743867373470053E-2</v>
      </c>
      <c r="AE240" s="312"/>
      <c r="AF240" s="312">
        <v>3.3556067721689738E-2</v>
      </c>
      <c r="AG240" s="312"/>
      <c r="AH240" s="312">
        <v>1.6836624898075078E-2</v>
      </c>
      <c r="AI240" s="312"/>
      <c r="AJ240" s="312">
        <v>3.3841107158094998E-2</v>
      </c>
      <c r="AK240" s="312"/>
      <c r="AL240" s="312">
        <v>1.6776316114858414E-2</v>
      </c>
      <c r="AM240" s="312"/>
      <c r="AN240" s="312">
        <v>3.2635641486074798E-2</v>
      </c>
      <c r="AO240" s="312"/>
      <c r="AP240" s="312">
        <v>1.3889659068357879E-2</v>
      </c>
      <c r="AQ240" s="312"/>
      <c r="AR240" s="312">
        <v>2.686025433890462E-2</v>
      </c>
      <c r="AS240" s="312"/>
      <c r="AT240" s="312">
        <v>1.2161146153773471E-2</v>
      </c>
    </row>
    <row r="241" spans="2:46" ht="13.5" x14ac:dyDescent="0.4">
      <c r="B241" s="268"/>
      <c r="C241" s="275" t="s">
        <v>874</v>
      </c>
      <c r="D241" s="697"/>
      <c r="E241" s="697"/>
      <c r="F241" s="697"/>
      <c r="G241" s="697"/>
      <c r="H241" s="697"/>
      <c r="I241" s="697"/>
      <c r="J241" s="697"/>
      <c r="K241" s="697"/>
      <c r="L241" s="697"/>
      <c r="M241" s="697"/>
      <c r="N241" s="697"/>
      <c r="O241" s="697"/>
      <c r="P241" s="697"/>
      <c r="Q241" s="697"/>
      <c r="R241" s="697"/>
      <c r="S241" s="697"/>
      <c r="T241" s="697"/>
      <c r="U241" s="697"/>
      <c r="V241" s="697"/>
      <c r="W241" s="697"/>
      <c r="X241" s="697"/>
      <c r="Y241" s="697"/>
      <c r="Z241" s="697"/>
      <c r="AA241" s="697"/>
      <c r="AB241" s="697"/>
      <c r="AC241" s="697"/>
      <c r="AD241" s="697"/>
      <c r="AE241" s="697"/>
      <c r="AF241" s="697"/>
      <c r="AG241" s="309"/>
      <c r="AH241" s="309"/>
      <c r="AI241" s="309"/>
      <c r="AJ241" s="309"/>
      <c r="AK241" s="309"/>
      <c r="AL241" s="309"/>
      <c r="AM241" s="309"/>
      <c r="AN241" s="309"/>
      <c r="AO241" s="309"/>
      <c r="AP241" s="309"/>
      <c r="AQ241" s="309"/>
      <c r="AR241" s="317"/>
      <c r="AS241" s="317"/>
      <c r="AT241" s="317"/>
    </row>
    <row r="242" spans="2:46" ht="13.5" x14ac:dyDescent="0.4">
      <c r="B242" s="268"/>
      <c r="C242" s="311" t="s">
        <v>875</v>
      </c>
      <c r="D242" s="306"/>
      <c r="E242" s="306"/>
      <c r="F242" s="306"/>
      <c r="G242" s="306"/>
      <c r="H242" s="306"/>
      <c r="I242" s="306"/>
      <c r="J242" s="306"/>
      <c r="K242" s="306"/>
      <c r="L242" s="306"/>
      <c r="M242" s="306"/>
      <c r="N242" s="306"/>
      <c r="O242" s="306"/>
      <c r="P242" s="306"/>
      <c r="Q242" s="306"/>
      <c r="R242" s="306"/>
      <c r="S242" s="306"/>
      <c r="T242" s="306"/>
      <c r="U242" s="306"/>
      <c r="V242" s="306"/>
      <c r="W242" s="306"/>
      <c r="X242" s="306"/>
      <c r="Y242" s="306"/>
      <c r="Z242" s="306"/>
      <c r="AA242" s="306"/>
      <c r="AB242" s="306">
        <v>4.0560619751751466E-2</v>
      </c>
      <c r="AC242" s="306"/>
      <c r="AD242" s="306"/>
      <c r="AE242" s="306"/>
      <c r="AF242" s="306">
        <v>4.0345110083535286E-2</v>
      </c>
      <c r="AG242" s="306"/>
      <c r="AH242" s="306">
        <v>3.6667856110310912E-2</v>
      </c>
      <c r="AI242" s="306"/>
      <c r="AJ242" s="306">
        <v>3.6740953027389167E-2</v>
      </c>
      <c r="AK242" s="306"/>
      <c r="AL242" s="306">
        <v>3.7285319353129072E-2</v>
      </c>
      <c r="AM242" s="306"/>
      <c r="AN242" s="306">
        <v>3.6974693427639732E-2</v>
      </c>
      <c r="AO242" s="306"/>
      <c r="AP242" s="306">
        <v>3.4467729932199348E-2</v>
      </c>
      <c r="AQ242" s="306"/>
      <c r="AR242" s="306">
        <v>3.3486870731478234E-2</v>
      </c>
      <c r="AS242" s="306"/>
      <c r="AT242" s="306">
        <v>1.5230049422546707E-2</v>
      </c>
    </row>
    <row r="243" spans="2:46" ht="13.5" x14ac:dyDescent="0.4">
      <c r="B243" s="268"/>
      <c r="C243" s="285" t="s">
        <v>876</v>
      </c>
      <c r="D243" s="306"/>
      <c r="E243" s="306"/>
      <c r="F243" s="306"/>
      <c r="G243" s="306"/>
      <c r="H243" s="306"/>
      <c r="I243" s="306"/>
      <c r="J243" s="306"/>
      <c r="K243" s="306"/>
      <c r="L243" s="306"/>
      <c r="M243" s="306"/>
      <c r="N243" s="306"/>
      <c r="O243" s="306"/>
      <c r="P243" s="306"/>
      <c r="Q243" s="306"/>
      <c r="R243" s="306"/>
      <c r="S243" s="306"/>
      <c r="T243" s="306"/>
      <c r="U243" s="306"/>
      <c r="V243" s="306"/>
      <c r="W243" s="306"/>
      <c r="X243" s="306"/>
      <c r="Y243" s="306"/>
      <c r="Z243" s="306"/>
      <c r="AA243" s="306"/>
      <c r="AB243" s="306">
        <v>2.564113153491621E-2</v>
      </c>
      <c r="AC243" s="306"/>
      <c r="AD243" s="306"/>
      <c r="AE243" s="306"/>
      <c r="AF243" s="306">
        <v>2.2668672747401135E-2</v>
      </c>
      <c r="AG243" s="306"/>
      <c r="AH243" s="306">
        <v>2.3303486841462714E-2</v>
      </c>
      <c r="AI243" s="306"/>
      <c r="AJ243" s="306">
        <v>2.3522926623373772E-2</v>
      </c>
      <c r="AK243" s="306"/>
      <c r="AL243" s="306">
        <v>1.9140268632179859E-2</v>
      </c>
      <c r="AM243" s="306"/>
      <c r="AN243" s="306">
        <v>1.8146810579888272E-2</v>
      </c>
      <c r="AO243" s="306"/>
      <c r="AP243" s="306">
        <v>1.6760557582617023E-2</v>
      </c>
      <c r="AQ243" s="306"/>
      <c r="AR243" s="306">
        <v>1.7070278824056019E-2</v>
      </c>
      <c r="AS243" s="306"/>
      <c r="AT243" s="306">
        <v>1.1007914193822839E-2</v>
      </c>
    </row>
    <row r="244" spans="2:46" ht="13.5" x14ac:dyDescent="0.4">
      <c r="B244" s="268"/>
      <c r="C244" s="274" t="s">
        <v>877</v>
      </c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7"/>
      <c r="R244" s="307"/>
      <c r="S244" s="307"/>
      <c r="T244" s="307"/>
      <c r="U244" s="307"/>
      <c r="V244" s="307"/>
      <c r="W244" s="307"/>
      <c r="X244" s="307"/>
      <c r="Y244" s="307"/>
      <c r="Z244" s="307"/>
      <c r="AA244" s="307"/>
      <c r="AB244" s="307"/>
      <c r="AC244" s="307"/>
      <c r="AD244" s="307"/>
      <c r="AE244" s="307"/>
      <c r="AF244" s="307"/>
      <c r="AG244" s="307"/>
      <c r="AH244" s="308"/>
      <c r="AI244" s="307"/>
      <c r="AJ244" s="308"/>
      <c r="AK244" s="307"/>
      <c r="AL244" s="308"/>
      <c r="AM244" s="307"/>
      <c r="AN244" s="308"/>
      <c r="AO244" s="307"/>
      <c r="AP244" s="308"/>
      <c r="AQ244" s="307"/>
      <c r="AR244" s="308"/>
      <c r="AS244" s="308"/>
      <c r="AT244" s="308"/>
    </row>
    <row r="245" spans="2:46" ht="13.5" x14ac:dyDescent="0.4">
      <c r="B245" s="268"/>
      <c r="C245" s="274" t="s">
        <v>878</v>
      </c>
      <c r="D245" s="309"/>
      <c r="E245" s="309"/>
      <c r="F245" s="309"/>
      <c r="G245" s="309"/>
      <c r="H245" s="309"/>
      <c r="I245" s="309"/>
      <c r="J245" s="309"/>
      <c r="K245" s="309"/>
      <c r="L245" s="309"/>
      <c r="M245" s="309"/>
      <c r="N245" s="309"/>
      <c r="O245" s="309"/>
      <c r="P245" s="309"/>
      <c r="Q245" s="309"/>
      <c r="R245" s="309"/>
      <c r="S245" s="309"/>
      <c r="T245" s="309"/>
      <c r="U245" s="309"/>
      <c r="V245" s="309"/>
      <c r="W245" s="309"/>
      <c r="X245" s="309"/>
      <c r="Y245" s="309"/>
      <c r="Z245" s="309"/>
      <c r="AA245" s="309"/>
      <c r="AB245" s="309"/>
      <c r="AC245" s="309"/>
      <c r="AD245" s="309"/>
      <c r="AE245" s="309"/>
      <c r="AF245" s="309"/>
      <c r="AG245" s="309"/>
      <c r="AH245" s="312"/>
      <c r="AI245" s="309"/>
      <c r="AJ245" s="312"/>
      <c r="AK245" s="309"/>
      <c r="AL245" s="312"/>
      <c r="AM245" s="309"/>
      <c r="AN245" s="312"/>
      <c r="AO245" s="309"/>
      <c r="AP245" s="312"/>
      <c r="AQ245" s="309"/>
      <c r="AR245" s="312"/>
      <c r="AS245" s="312"/>
      <c r="AT245" s="312"/>
    </row>
    <row r="246" spans="2:46" ht="13.5" x14ac:dyDescent="0.4">
      <c r="B246" s="268"/>
      <c r="C246" s="274" t="s">
        <v>879</v>
      </c>
      <c r="D246" s="309"/>
      <c r="E246" s="309"/>
      <c r="F246" s="309"/>
      <c r="G246" s="309"/>
      <c r="H246" s="309"/>
      <c r="I246" s="309"/>
      <c r="J246" s="309"/>
      <c r="K246" s="309"/>
      <c r="L246" s="309"/>
      <c r="M246" s="309"/>
      <c r="N246" s="309"/>
      <c r="O246" s="309"/>
      <c r="P246" s="309"/>
      <c r="Q246" s="309"/>
      <c r="R246" s="309"/>
      <c r="S246" s="309"/>
      <c r="T246" s="309"/>
      <c r="U246" s="309"/>
      <c r="V246" s="309"/>
      <c r="W246" s="309"/>
      <c r="X246" s="309"/>
      <c r="Y246" s="309"/>
      <c r="Z246" s="309"/>
      <c r="AA246" s="309"/>
      <c r="AB246" s="309"/>
      <c r="AC246" s="309"/>
      <c r="AD246" s="309"/>
      <c r="AE246" s="309"/>
      <c r="AF246" s="309"/>
      <c r="AG246" s="309"/>
      <c r="AH246" s="317"/>
      <c r="AI246" s="310"/>
      <c r="AJ246" s="317"/>
      <c r="AK246" s="310"/>
      <c r="AL246" s="317"/>
      <c r="AM246" s="310"/>
      <c r="AN246" s="317"/>
      <c r="AO246" s="310"/>
      <c r="AP246" s="317"/>
      <c r="AQ246" s="310"/>
      <c r="AR246" s="317"/>
      <c r="AS246" s="317"/>
      <c r="AT246" s="317"/>
    </row>
    <row r="247" spans="2:46" ht="13.5" x14ac:dyDescent="0.4">
      <c r="B247" s="268"/>
      <c r="C247" s="286" t="s">
        <v>880</v>
      </c>
      <c r="D247" s="318"/>
      <c r="E247" s="318"/>
      <c r="F247" s="318"/>
      <c r="G247" s="318"/>
      <c r="H247" s="318"/>
      <c r="I247" s="318"/>
      <c r="J247" s="318"/>
      <c r="K247" s="318"/>
      <c r="L247" s="318"/>
      <c r="M247" s="318"/>
      <c r="N247" s="318"/>
      <c r="O247" s="318"/>
      <c r="P247" s="318"/>
      <c r="Q247" s="318"/>
      <c r="R247" s="318"/>
      <c r="S247" s="318"/>
      <c r="T247" s="318"/>
      <c r="U247" s="318"/>
      <c r="V247" s="318"/>
      <c r="W247" s="318"/>
      <c r="X247" s="318"/>
      <c r="Y247" s="318"/>
      <c r="Z247" s="318"/>
      <c r="AA247" s="318"/>
      <c r="AB247" s="318"/>
      <c r="AC247" s="318"/>
      <c r="AD247" s="318"/>
      <c r="AE247" s="318"/>
      <c r="AF247" s="318"/>
      <c r="AG247" s="318"/>
      <c r="AH247" s="306"/>
      <c r="AI247" s="318"/>
      <c r="AJ247" s="306" t="e">
        <v>#DIV/0!</v>
      </c>
      <c r="AK247" s="318"/>
      <c r="AL247" s="306" t="e">
        <v>#DIV/0!</v>
      </c>
      <c r="AM247" s="318"/>
      <c r="AN247" s="306" t="e">
        <v>#DIV/0!</v>
      </c>
      <c r="AO247" s="318"/>
      <c r="AP247" s="306" t="e">
        <v>#DIV/0!</v>
      </c>
      <c r="AQ247" s="318"/>
      <c r="AR247" s="319" t="e">
        <v>#DIV/0!</v>
      </c>
      <c r="AS247" s="319"/>
      <c r="AT247" s="319" t="e">
        <v>#DIV/0!</v>
      </c>
    </row>
    <row r="248" spans="2:46" ht="13.9" thickBot="1" x14ac:dyDescent="0.45">
      <c r="B248" s="268"/>
      <c r="C248" s="280" t="s">
        <v>377</v>
      </c>
      <c r="D248" s="313"/>
      <c r="E248" s="313"/>
      <c r="F248" s="313"/>
      <c r="G248" s="313"/>
      <c r="H248" s="313"/>
      <c r="I248" s="313"/>
      <c r="J248" s="313"/>
      <c r="K248" s="313"/>
      <c r="L248" s="313"/>
      <c r="M248" s="313"/>
      <c r="N248" s="313"/>
      <c r="O248" s="313"/>
      <c r="P248" s="313"/>
      <c r="Q248" s="313"/>
      <c r="R248" s="313"/>
      <c r="S248" s="313"/>
      <c r="T248" s="313"/>
      <c r="U248" s="313"/>
      <c r="V248" s="313"/>
      <c r="W248" s="313"/>
      <c r="X248" s="313"/>
      <c r="Y248" s="313"/>
      <c r="Z248" s="313"/>
      <c r="AA248" s="313"/>
      <c r="AB248" s="313"/>
      <c r="AC248" s="313"/>
      <c r="AD248" s="313"/>
      <c r="AE248" s="313"/>
      <c r="AF248" s="313"/>
      <c r="AG248" s="313"/>
      <c r="AH248" s="313"/>
      <c r="AI248" s="313"/>
      <c r="AJ248" s="313"/>
      <c r="AK248" s="313"/>
      <c r="AL248" s="313"/>
      <c r="AM248" s="313"/>
      <c r="AN248" s="313"/>
      <c r="AO248" s="313"/>
      <c r="AP248" s="313"/>
      <c r="AQ248" s="313"/>
      <c r="AR248" s="313"/>
      <c r="AS248" s="313"/>
      <c r="AT248" s="313"/>
    </row>
    <row r="249" spans="2:46" ht="13.5" thickBot="1" x14ac:dyDescent="0.45"/>
    <row r="250" spans="2:46" ht="13.5" x14ac:dyDescent="0.4">
      <c r="C250" s="250" t="s">
        <v>378</v>
      </c>
      <c r="D250" s="698">
        <v>2.3900000000000001E-2</v>
      </c>
      <c r="E250" s="698"/>
      <c r="F250" s="698">
        <v>3.5906E-2</v>
      </c>
      <c r="G250" s="698"/>
      <c r="H250" s="698">
        <v>2.7999999999999997E-2</v>
      </c>
      <c r="I250" s="698"/>
      <c r="J250" s="698">
        <v>3.0099999999999998E-2</v>
      </c>
      <c r="K250" s="698"/>
      <c r="L250" s="698">
        <v>2.9500000000000002E-2</v>
      </c>
      <c r="M250" s="698"/>
      <c r="N250" s="698">
        <v>2.2499999999999999E-2</v>
      </c>
      <c r="O250" s="698"/>
      <c r="P250" s="698">
        <v>2.2599999999999999E-2</v>
      </c>
      <c r="Q250" s="698"/>
      <c r="R250" s="698">
        <v>2.3700000000000002E-2</v>
      </c>
      <c r="S250" s="698"/>
      <c r="T250" s="698">
        <v>2.4399999999999998E-2</v>
      </c>
      <c r="U250" s="698"/>
      <c r="V250" s="698">
        <v>2.6168E-2</v>
      </c>
      <c r="W250" s="698"/>
      <c r="X250" s="698">
        <v>2.6099999999999998E-2</v>
      </c>
      <c r="Y250" s="698"/>
      <c r="Z250" s="698">
        <v>2.6600000000000002E-2</v>
      </c>
      <c r="AA250" s="698"/>
      <c r="AB250" s="698">
        <v>2.6600000000000002E-2</v>
      </c>
      <c r="AC250" s="698"/>
      <c r="AD250" s="698">
        <v>2.5699999999999997E-2</v>
      </c>
      <c r="AE250" s="698"/>
      <c r="AF250" s="698">
        <v>2.5699999999999997E-2</v>
      </c>
      <c r="AG250" s="698"/>
      <c r="AH250" s="698">
        <v>2.6200000000000001E-2</v>
      </c>
      <c r="AI250" s="698"/>
      <c r="AJ250" s="698">
        <v>2.6600000000000002E-2</v>
      </c>
      <c r="AK250" s="698"/>
      <c r="AL250" s="698">
        <v>2.53E-2</v>
      </c>
      <c r="AM250" s="698"/>
      <c r="AN250" s="698">
        <v>2.4700000000000003E-2</v>
      </c>
      <c r="AO250" s="698"/>
      <c r="AP250" s="698">
        <v>2.2099999999999998E-2</v>
      </c>
      <c r="AQ250" s="698"/>
      <c r="AR250" s="698">
        <v>2.1600000000000001E-2</v>
      </c>
      <c r="AS250" s="698">
        <v>2.1052000000000001E-2</v>
      </c>
      <c r="AT250" s="698">
        <v>2.1600000000000001E-2</v>
      </c>
    </row>
    <row r="251" spans="2:46" ht="13.5" x14ac:dyDescent="0.4">
      <c r="C251" s="189" t="s">
        <v>379</v>
      </c>
      <c r="D251" s="699">
        <v>2.2900000000000004E-2</v>
      </c>
      <c r="E251" s="699"/>
      <c r="F251" s="699">
        <v>2.5400000000000002E-2</v>
      </c>
      <c r="G251" s="699"/>
      <c r="H251" s="699">
        <v>2.6700000000000005E-2</v>
      </c>
      <c r="I251" s="699"/>
      <c r="J251" s="699">
        <v>2.8800000000000006E-2</v>
      </c>
      <c r="K251" s="699"/>
      <c r="L251" s="699">
        <v>2.8000000000000004E-2</v>
      </c>
      <c r="M251" s="699"/>
      <c r="N251" s="699">
        <v>2.1299999999999996E-2</v>
      </c>
      <c r="O251" s="699"/>
      <c r="P251" s="699">
        <v>2.1600000000000001E-2</v>
      </c>
      <c r="Q251" s="699"/>
      <c r="R251" s="699">
        <v>2.2800000000000001E-2</v>
      </c>
      <c r="S251" s="699"/>
      <c r="T251" s="699">
        <v>2.3500000000000004E-2</v>
      </c>
      <c r="U251" s="699"/>
      <c r="V251" s="699">
        <v>2.4899999999999995E-2</v>
      </c>
      <c r="W251" s="699"/>
      <c r="X251" s="699">
        <v>2.4900000000000002E-2</v>
      </c>
      <c r="Y251" s="699"/>
      <c r="Z251" s="699">
        <v>2.4799999999999996E-2</v>
      </c>
      <c r="AA251" s="699"/>
      <c r="AB251" s="699">
        <v>2.4899999999999995E-2</v>
      </c>
      <c r="AC251" s="699"/>
      <c r="AD251" s="699">
        <v>2.4100000000000003E-2</v>
      </c>
      <c r="AE251" s="699"/>
      <c r="AF251" s="699">
        <v>2.4000000000000007E-2</v>
      </c>
      <c r="AG251" s="699"/>
      <c r="AH251" s="699">
        <v>2.3925823642004036E-2</v>
      </c>
      <c r="AI251" s="699"/>
      <c r="AJ251" s="699">
        <v>2.4586818974948996E-2</v>
      </c>
      <c r="AK251" s="699"/>
      <c r="AL251" s="699">
        <v>2.306331328412272E-2</v>
      </c>
      <c r="AM251" s="699"/>
      <c r="AN251" s="699">
        <v>2.3021326324643661E-2</v>
      </c>
      <c r="AO251" s="699"/>
      <c r="AP251" s="699">
        <v>2.0540690800798334E-2</v>
      </c>
      <c r="AQ251" s="699"/>
      <c r="AR251" s="699">
        <v>2.0237393109007441E-2</v>
      </c>
      <c r="AS251" s="699">
        <v>0</v>
      </c>
      <c r="AT251" s="699">
        <v>2.0804346664672103E-3</v>
      </c>
    </row>
    <row r="252" spans="2:46" ht="13.5" x14ac:dyDescent="0.4">
      <c r="C252" s="226" t="s">
        <v>380</v>
      </c>
      <c r="D252" s="700"/>
      <c r="E252" s="700"/>
      <c r="F252" s="700"/>
      <c r="G252" s="700"/>
      <c r="H252" s="700"/>
      <c r="I252" s="700"/>
      <c r="J252" s="700"/>
      <c r="K252" s="700"/>
      <c r="L252" s="700"/>
      <c r="M252" s="700"/>
      <c r="N252" s="700"/>
      <c r="O252" s="700"/>
      <c r="P252" s="700"/>
      <c r="Q252" s="700"/>
      <c r="R252" s="700"/>
      <c r="S252" s="700"/>
      <c r="T252" s="700"/>
      <c r="U252" s="700"/>
      <c r="V252" s="700"/>
      <c r="W252" s="700"/>
      <c r="X252" s="700"/>
      <c r="Y252" s="700"/>
      <c r="Z252" s="700"/>
      <c r="AA252" s="700"/>
      <c r="AB252" s="700"/>
      <c r="AC252" s="700"/>
      <c r="AD252" s="700"/>
      <c r="AE252" s="700"/>
      <c r="AF252" s="700"/>
      <c r="AG252" s="700"/>
      <c r="AH252" s="700"/>
      <c r="AI252" s="700"/>
      <c r="AJ252" s="700"/>
      <c r="AK252" s="700"/>
      <c r="AL252" s="700"/>
      <c r="AM252" s="700"/>
      <c r="AN252" s="700"/>
      <c r="AO252" s="700"/>
      <c r="AP252" s="700"/>
      <c r="AQ252" s="700"/>
      <c r="AR252" s="700"/>
      <c r="AS252" s="700"/>
      <c r="AT252" s="700"/>
    </row>
    <row r="253" spans="2:46" ht="13.9" thickBot="1" x14ac:dyDescent="0.45">
      <c r="C253" s="228" t="s">
        <v>381</v>
      </c>
      <c r="D253" s="701"/>
      <c r="E253" s="701"/>
      <c r="F253" s="701"/>
      <c r="G253" s="701"/>
      <c r="H253" s="701"/>
      <c r="I253" s="701"/>
      <c r="J253" s="701"/>
      <c r="K253" s="701"/>
      <c r="L253" s="701"/>
      <c r="M253" s="701"/>
      <c r="N253" s="701"/>
      <c r="O253" s="701"/>
      <c r="P253" s="701"/>
      <c r="Q253" s="701"/>
      <c r="R253" s="701"/>
      <c r="S253" s="701"/>
      <c r="T253" s="701"/>
      <c r="U253" s="701"/>
      <c r="V253" s="701"/>
      <c r="W253" s="701"/>
      <c r="X253" s="701"/>
      <c r="Y253" s="701"/>
      <c r="Z253" s="701"/>
      <c r="AA253" s="701"/>
      <c r="AB253" s="701"/>
      <c r="AC253" s="701"/>
      <c r="AD253" s="701"/>
      <c r="AE253" s="701"/>
      <c r="AF253" s="701"/>
      <c r="AG253" s="701"/>
      <c r="AH253" s="701"/>
      <c r="AI253" s="701"/>
      <c r="AJ253" s="701"/>
      <c r="AK253" s="701"/>
      <c r="AL253" s="701"/>
      <c r="AM253" s="701"/>
      <c r="AN253" s="701"/>
      <c r="AO253" s="701"/>
      <c r="AP253" s="701"/>
      <c r="AQ253" s="701"/>
      <c r="AR253" s="701"/>
      <c r="AS253" s="701"/>
      <c r="AT253" s="701"/>
    </row>
    <row r="254" spans="2:46" s="429" customFormat="1" ht="13.5" thickBot="1" x14ac:dyDescent="0.45">
      <c r="C254" s="586"/>
      <c r="D254" s="702"/>
      <c r="E254" s="702"/>
      <c r="F254" s="702"/>
      <c r="G254" s="702"/>
      <c r="H254" s="702"/>
      <c r="I254" s="702"/>
      <c r="J254" s="702"/>
      <c r="K254" s="702"/>
      <c r="L254" s="702"/>
      <c r="M254" s="702"/>
      <c r="N254" s="702"/>
      <c r="O254" s="702"/>
      <c r="P254" s="702"/>
      <c r="Q254" s="702"/>
      <c r="R254" s="702"/>
      <c r="S254" s="702"/>
      <c r="T254" s="702"/>
      <c r="U254" s="702"/>
      <c r="V254" s="702"/>
      <c r="W254" s="702"/>
      <c r="X254" s="702"/>
      <c r="Y254" s="702"/>
      <c r="Z254" s="702"/>
      <c r="AA254" s="702"/>
      <c r="AB254" s="702"/>
      <c r="AC254" s="702"/>
      <c r="AD254" s="702"/>
      <c r="AE254" s="702"/>
      <c r="AF254" s="702"/>
      <c r="AG254" s="702"/>
      <c r="AH254" s="702"/>
      <c r="AI254" s="702"/>
      <c r="AJ254" s="702"/>
      <c r="AK254" s="702"/>
      <c r="AL254" s="702"/>
      <c r="AM254" s="702"/>
      <c r="AN254" s="702"/>
      <c r="AO254" s="702"/>
      <c r="AP254" s="702"/>
      <c r="AQ254" s="702"/>
      <c r="AR254" s="702"/>
      <c r="AS254" s="702"/>
      <c r="AT254" s="649"/>
    </row>
    <row r="255" spans="2:46" ht="13.5" thickTop="1" x14ac:dyDescent="0.4"/>
    <row r="256" spans="2:46" ht="13.9" thickBot="1" x14ac:dyDescent="0.45">
      <c r="B256" s="324" t="s">
        <v>382</v>
      </c>
    </row>
    <row r="257" spans="2:46" ht="13.5" x14ac:dyDescent="0.4">
      <c r="C257" s="736" t="s">
        <v>1179</v>
      </c>
      <c r="D257" s="639">
        <v>0</v>
      </c>
      <c r="E257" s="639">
        <v>0</v>
      </c>
      <c r="F257" s="639">
        <v>0</v>
      </c>
      <c r="G257" s="639">
        <v>0</v>
      </c>
      <c r="H257" s="639">
        <v>0</v>
      </c>
      <c r="I257" s="639">
        <v>0</v>
      </c>
      <c r="J257" s="639">
        <v>0</v>
      </c>
      <c r="K257" s="639">
        <v>0</v>
      </c>
      <c r="L257" s="639">
        <v>0</v>
      </c>
      <c r="M257" s="639">
        <v>0</v>
      </c>
      <c r="N257" s="639">
        <v>0</v>
      </c>
      <c r="O257" s="639">
        <v>0</v>
      </c>
      <c r="P257" s="639">
        <v>0</v>
      </c>
      <c r="Q257" s="639">
        <v>0</v>
      </c>
      <c r="R257" s="639">
        <v>0</v>
      </c>
      <c r="S257" s="639">
        <v>0</v>
      </c>
      <c r="T257" s="639">
        <v>0</v>
      </c>
      <c r="U257" s="639">
        <v>0</v>
      </c>
      <c r="V257" s="639">
        <v>0</v>
      </c>
      <c r="W257" s="639">
        <v>0</v>
      </c>
      <c r="X257" s="639">
        <v>0</v>
      </c>
      <c r="Y257" s="639">
        <v>0</v>
      </c>
      <c r="Z257" s="639">
        <v>0</v>
      </c>
      <c r="AA257" s="639">
        <v>0</v>
      </c>
      <c r="AB257" s="639">
        <v>0</v>
      </c>
      <c r="AC257" s="639">
        <v>1187376</v>
      </c>
      <c r="AD257" s="639">
        <v>1164699</v>
      </c>
      <c r="AE257" s="639">
        <v>1225035</v>
      </c>
      <c r="AF257" s="639">
        <v>1266841</v>
      </c>
      <c r="AG257" s="639">
        <v>1350739</v>
      </c>
      <c r="AH257" s="639">
        <v>1346946</v>
      </c>
      <c r="AI257" s="639">
        <v>1419953</v>
      </c>
      <c r="AJ257" s="639">
        <v>1486733</v>
      </c>
      <c r="AK257" s="639">
        <v>1567084</v>
      </c>
      <c r="AL257" s="639">
        <v>1560058</v>
      </c>
      <c r="AM257" s="639">
        <v>1637279</v>
      </c>
      <c r="AN257" s="639">
        <v>1701495</v>
      </c>
      <c r="AO257" s="639">
        <v>1774679</v>
      </c>
      <c r="AP257" s="639">
        <v>1767849</v>
      </c>
      <c r="AQ257" s="639">
        <v>1839989</v>
      </c>
      <c r="AR257" s="639">
        <v>1874976</v>
      </c>
      <c r="AS257" s="639">
        <v>1937780</v>
      </c>
      <c r="AT257" s="639">
        <v>1923535</v>
      </c>
    </row>
    <row r="258" spans="2:46" ht="13.5" x14ac:dyDescent="0.4">
      <c r="C258" s="244" t="s">
        <v>384</v>
      </c>
      <c r="D258" s="641">
        <v>0</v>
      </c>
      <c r="E258" s="641">
        <v>0</v>
      </c>
      <c r="F258" s="641">
        <v>0</v>
      </c>
      <c r="G258" s="641">
        <v>0</v>
      </c>
      <c r="H258" s="641">
        <v>0</v>
      </c>
      <c r="I258" s="641">
        <v>0</v>
      </c>
      <c r="J258" s="641">
        <v>0</v>
      </c>
      <c r="K258" s="641">
        <v>0</v>
      </c>
      <c r="L258" s="641">
        <v>0</v>
      </c>
      <c r="M258" s="641">
        <v>0</v>
      </c>
      <c r="N258" s="641">
        <v>0</v>
      </c>
      <c r="O258" s="641">
        <v>0</v>
      </c>
      <c r="P258" s="641">
        <v>0</v>
      </c>
      <c r="Q258" s="641">
        <v>0</v>
      </c>
      <c r="R258" s="641">
        <v>0</v>
      </c>
      <c r="S258" s="641">
        <v>0</v>
      </c>
      <c r="T258" s="641">
        <v>0</v>
      </c>
      <c r="U258" s="641">
        <v>0</v>
      </c>
      <c r="V258" s="641">
        <v>0</v>
      </c>
      <c r="W258" s="641">
        <v>0</v>
      </c>
      <c r="X258" s="641">
        <v>0</v>
      </c>
      <c r="Y258" s="641">
        <v>0</v>
      </c>
      <c r="Z258" s="641">
        <v>0</v>
      </c>
      <c r="AA258" s="641">
        <v>0</v>
      </c>
      <c r="AB258" s="641">
        <v>0</v>
      </c>
      <c r="AC258" s="641">
        <v>1187399</v>
      </c>
      <c r="AD258" s="641">
        <v>1164722</v>
      </c>
      <c r="AE258" s="641">
        <v>1225055</v>
      </c>
      <c r="AF258" s="641">
        <v>1266859</v>
      </c>
      <c r="AG258" s="641">
        <v>1350801</v>
      </c>
      <c r="AH258" s="641">
        <v>1347009</v>
      </c>
      <c r="AI258" s="641">
        <v>1420020</v>
      </c>
      <c r="AJ258" s="641">
        <v>1521233</v>
      </c>
      <c r="AK258" s="641">
        <v>1601623</v>
      </c>
      <c r="AL258" s="641">
        <v>1594669</v>
      </c>
      <c r="AM258" s="641">
        <v>1671889</v>
      </c>
      <c r="AN258" s="641">
        <v>1781062</v>
      </c>
      <c r="AO258" s="641">
        <v>1854320</v>
      </c>
      <c r="AP258" s="641">
        <v>1847634</v>
      </c>
      <c r="AQ258" s="641">
        <v>1919729</v>
      </c>
      <c r="AR258" s="641">
        <v>1954770</v>
      </c>
      <c r="AS258" s="641">
        <v>2017717</v>
      </c>
      <c r="AT258" s="641">
        <v>2003429</v>
      </c>
    </row>
    <row r="259" spans="2:46" ht="13.5" x14ac:dyDescent="0.4">
      <c r="C259" s="183" t="s">
        <v>385</v>
      </c>
      <c r="D259" s="641">
        <v>0</v>
      </c>
      <c r="E259" s="641">
        <v>0</v>
      </c>
      <c r="F259" s="641">
        <v>0</v>
      </c>
      <c r="G259" s="641">
        <v>0</v>
      </c>
      <c r="H259" s="641">
        <v>0</v>
      </c>
      <c r="I259" s="641">
        <v>0</v>
      </c>
      <c r="J259" s="641">
        <v>0</v>
      </c>
      <c r="K259" s="641">
        <v>0</v>
      </c>
      <c r="L259" s="641">
        <v>0</v>
      </c>
      <c r="M259" s="641">
        <v>0</v>
      </c>
      <c r="N259" s="641">
        <v>0</v>
      </c>
      <c r="O259" s="641">
        <v>0</v>
      </c>
      <c r="P259" s="641">
        <v>0</v>
      </c>
      <c r="Q259" s="641">
        <v>0</v>
      </c>
      <c r="R259" s="641">
        <v>0</v>
      </c>
      <c r="S259" s="641">
        <v>0</v>
      </c>
      <c r="T259" s="641">
        <v>0</v>
      </c>
      <c r="U259" s="641">
        <v>0</v>
      </c>
      <c r="V259" s="641">
        <v>0</v>
      </c>
      <c r="W259" s="641">
        <v>0</v>
      </c>
      <c r="X259" s="641">
        <v>0</v>
      </c>
      <c r="Y259" s="641">
        <v>0</v>
      </c>
      <c r="Z259" s="641">
        <v>0</v>
      </c>
      <c r="AA259" s="641">
        <v>0</v>
      </c>
      <c r="AB259" s="641">
        <v>0</v>
      </c>
      <c r="AC259" s="641">
        <v>1477726</v>
      </c>
      <c r="AD259" s="641">
        <v>1456548</v>
      </c>
      <c r="AE259" s="641">
        <v>1523899</v>
      </c>
      <c r="AF259" s="641">
        <v>1572265</v>
      </c>
      <c r="AG259" s="641">
        <v>1641043</v>
      </c>
      <c r="AH259" s="641">
        <v>1620616</v>
      </c>
      <c r="AI259" s="641">
        <v>1709757</v>
      </c>
      <c r="AJ259" s="641">
        <v>1812137</v>
      </c>
      <c r="AK259" s="641">
        <v>1845386</v>
      </c>
      <c r="AL259" s="641">
        <v>1821939</v>
      </c>
      <c r="AM259" s="641">
        <v>1904125</v>
      </c>
      <c r="AN259" s="641">
        <v>2012103</v>
      </c>
      <c r="AO259" s="641">
        <v>2021074</v>
      </c>
      <c r="AP259" s="641">
        <v>2010145</v>
      </c>
      <c r="AQ259" s="641">
        <v>2073340</v>
      </c>
      <c r="AR259" s="641">
        <v>2127462</v>
      </c>
      <c r="AS259" s="641">
        <v>2188307</v>
      </c>
      <c r="AT259" s="641">
        <v>2196084</v>
      </c>
    </row>
    <row r="260" spans="2:46" ht="13.5" x14ac:dyDescent="0.4">
      <c r="C260" s="224" t="s">
        <v>386</v>
      </c>
      <c r="D260" s="642">
        <v>0</v>
      </c>
      <c r="E260" s="642">
        <v>0</v>
      </c>
      <c r="F260" s="642">
        <v>0</v>
      </c>
      <c r="G260" s="642">
        <v>0</v>
      </c>
      <c r="H260" s="642">
        <v>0</v>
      </c>
      <c r="I260" s="642">
        <v>0</v>
      </c>
      <c r="J260" s="642">
        <v>0</v>
      </c>
      <c r="K260" s="642">
        <v>0</v>
      </c>
      <c r="L260" s="642">
        <v>0</v>
      </c>
      <c r="M260" s="642">
        <v>0</v>
      </c>
      <c r="N260" s="642">
        <v>0</v>
      </c>
      <c r="O260" s="642">
        <v>0</v>
      </c>
      <c r="P260" s="642">
        <v>0</v>
      </c>
      <c r="Q260" s="642">
        <v>0</v>
      </c>
      <c r="R260" s="642">
        <v>0</v>
      </c>
      <c r="S260" s="642">
        <v>0</v>
      </c>
      <c r="T260" s="642">
        <v>0</v>
      </c>
      <c r="U260" s="642">
        <v>0</v>
      </c>
      <c r="V260" s="642">
        <v>0</v>
      </c>
      <c r="W260" s="642">
        <v>0</v>
      </c>
      <c r="X260" s="642">
        <v>0</v>
      </c>
      <c r="Y260" s="642">
        <v>0</v>
      </c>
      <c r="Z260" s="642">
        <v>0</v>
      </c>
      <c r="AA260" s="642">
        <v>0</v>
      </c>
      <c r="AB260" s="642">
        <v>0</v>
      </c>
      <c r="AC260" s="642">
        <v>0</v>
      </c>
      <c r="AD260" s="642">
        <v>11108508</v>
      </c>
      <c r="AE260" s="642">
        <v>0</v>
      </c>
      <c r="AF260" s="642">
        <v>11982187</v>
      </c>
      <c r="AG260" s="642">
        <v>0</v>
      </c>
      <c r="AH260" s="642">
        <v>11858669</v>
      </c>
      <c r="AI260" s="642">
        <v>0</v>
      </c>
      <c r="AJ260" s="642">
        <v>12475939</v>
      </c>
      <c r="AK260" s="642">
        <v>0</v>
      </c>
      <c r="AL260" s="642">
        <v>12860745</v>
      </c>
      <c r="AM260" s="642">
        <v>0</v>
      </c>
      <c r="AN260" s="642">
        <v>13216687</v>
      </c>
      <c r="AO260" s="642">
        <v>0</v>
      </c>
      <c r="AP260" s="642">
        <v>14097738</v>
      </c>
      <c r="AQ260" s="642">
        <v>0</v>
      </c>
      <c r="AR260" s="642">
        <v>14564617</v>
      </c>
      <c r="AS260" s="642">
        <v>0</v>
      </c>
      <c r="AT260" s="642">
        <v>15183975</v>
      </c>
    </row>
    <row r="261" spans="2:46" ht="13.5" x14ac:dyDescent="0.4">
      <c r="C261" s="212" t="s">
        <v>387</v>
      </c>
      <c r="D261" s="703">
        <v>0</v>
      </c>
      <c r="E261" s="703">
        <v>0</v>
      </c>
      <c r="F261" s="703">
        <v>0</v>
      </c>
      <c r="G261" s="703">
        <v>0</v>
      </c>
      <c r="H261" s="703">
        <v>0</v>
      </c>
      <c r="I261" s="703">
        <v>0</v>
      </c>
      <c r="J261" s="703">
        <v>0</v>
      </c>
      <c r="K261" s="703">
        <v>0</v>
      </c>
      <c r="L261" s="703">
        <v>0</v>
      </c>
      <c r="M261" s="703">
        <v>0</v>
      </c>
      <c r="N261" s="703">
        <v>0</v>
      </c>
      <c r="O261" s="703">
        <v>0</v>
      </c>
      <c r="P261" s="703">
        <v>0</v>
      </c>
      <c r="Q261" s="703">
        <v>0</v>
      </c>
      <c r="R261" s="703">
        <v>0</v>
      </c>
      <c r="S261" s="703">
        <v>0</v>
      </c>
      <c r="T261" s="703">
        <v>0</v>
      </c>
      <c r="U261" s="703">
        <v>0</v>
      </c>
      <c r="V261" s="703">
        <v>0</v>
      </c>
      <c r="W261" s="703">
        <v>0</v>
      </c>
      <c r="X261" s="703">
        <v>0</v>
      </c>
      <c r="Y261" s="703">
        <v>0</v>
      </c>
      <c r="Z261" s="703">
        <v>0</v>
      </c>
      <c r="AA261" s="703">
        <v>0</v>
      </c>
      <c r="AB261" s="703">
        <v>0</v>
      </c>
      <c r="AC261" s="703">
        <v>0.11</v>
      </c>
      <c r="AD261" s="703">
        <v>0.1048</v>
      </c>
      <c r="AE261" s="703">
        <v>0.10589999999999999</v>
      </c>
      <c r="AF261" s="703">
        <v>0.1057</v>
      </c>
      <c r="AG261" s="703">
        <v>0.10880000000000001</v>
      </c>
      <c r="AH261" s="703">
        <v>0.11359999999999999</v>
      </c>
      <c r="AI261" s="703">
        <v>0.11789999999999999</v>
      </c>
      <c r="AJ261" s="703">
        <v>0.1192</v>
      </c>
      <c r="AK261" s="703">
        <v>0.12240000000000001</v>
      </c>
      <c r="AL261" s="703">
        <v>0.12130000000000001</v>
      </c>
      <c r="AM261" s="703">
        <v>0.1241</v>
      </c>
      <c r="AN261" s="703">
        <v>0.12869999999999998</v>
      </c>
      <c r="AO261" s="703">
        <v>0.12869999999999998</v>
      </c>
      <c r="AP261" s="703">
        <v>0.12539999999999998</v>
      </c>
      <c r="AQ261" s="703">
        <v>0.1258</v>
      </c>
      <c r="AR261" s="703">
        <v>0.12869999999999998</v>
      </c>
      <c r="AS261" s="703">
        <v>0.1298</v>
      </c>
      <c r="AT261" s="703">
        <v>0.12670000000000001</v>
      </c>
    </row>
    <row r="262" spans="2:46" ht="13.5" x14ac:dyDescent="0.4">
      <c r="C262" s="212" t="s">
        <v>388</v>
      </c>
      <c r="D262" s="704">
        <v>0</v>
      </c>
      <c r="E262" s="704">
        <v>0</v>
      </c>
      <c r="F262" s="704">
        <v>0</v>
      </c>
      <c r="G262" s="704">
        <v>0</v>
      </c>
      <c r="H262" s="704">
        <v>0</v>
      </c>
      <c r="I262" s="704">
        <v>0</v>
      </c>
      <c r="J262" s="704">
        <v>0</v>
      </c>
      <c r="K262" s="704">
        <v>0</v>
      </c>
      <c r="L262" s="704">
        <v>0</v>
      </c>
      <c r="M262" s="704">
        <v>0</v>
      </c>
      <c r="N262" s="704">
        <v>0</v>
      </c>
      <c r="O262" s="704">
        <v>0</v>
      </c>
      <c r="P262" s="704">
        <v>0</v>
      </c>
      <c r="Q262" s="704">
        <v>0</v>
      </c>
      <c r="R262" s="704">
        <v>0</v>
      </c>
      <c r="S262" s="704">
        <v>0</v>
      </c>
      <c r="T262" s="704">
        <v>0</v>
      </c>
      <c r="U262" s="704">
        <v>0</v>
      </c>
      <c r="V262" s="704">
        <v>0</v>
      </c>
      <c r="W262" s="704">
        <v>0</v>
      </c>
      <c r="X262" s="704">
        <v>0</v>
      </c>
      <c r="Y262" s="704">
        <v>0</v>
      </c>
      <c r="Z262" s="704">
        <v>0</v>
      </c>
      <c r="AA262" s="704">
        <v>0</v>
      </c>
      <c r="AB262" s="704">
        <v>0</v>
      </c>
      <c r="AC262" s="704">
        <v>0.11</v>
      </c>
      <c r="AD262" s="704">
        <v>0.1048</v>
      </c>
      <c r="AE262" s="704">
        <v>0.10589999999999999</v>
      </c>
      <c r="AF262" s="704">
        <v>0.1057</v>
      </c>
      <c r="AG262" s="704">
        <v>0.10880000000000001</v>
      </c>
      <c r="AH262" s="704">
        <v>0.11359999999999999</v>
      </c>
      <c r="AI262" s="704">
        <v>0.11800000000000001</v>
      </c>
      <c r="AJ262" s="704">
        <v>0.12189999999999999</v>
      </c>
      <c r="AK262" s="704">
        <v>0.12509999999999999</v>
      </c>
      <c r="AL262" s="704">
        <v>0.124</v>
      </c>
      <c r="AM262" s="704">
        <v>0.12670000000000001</v>
      </c>
      <c r="AN262" s="704">
        <v>0.1348</v>
      </c>
      <c r="AO262" s="704">
        <v>0.13449999999999998</v>
      </c>
      <c r="AP262" s="704">
        <v>0.13109999999999999</v>
      </c>
      <c r="AQ262" s="704">
        <v>0.1313</v>
      </c>
      <c r="AR262" s="704">
        <v>0.13419999999999999</v>
      </c>
      <c r="AS262" s="704">
        <v>0.1351</v>
      </c>
      <c r="AT262" s="704">
        <v>0.13189999999999999</v>
      </c>
    </row>
    <row r="263" spans="2:46" ht="13.9" thickBot="1" x14ac:dyDescent="0.45">
      <c r="C263" s="228" t="s">
        <v>389</v>
      </c>
      <c r="D263" s="705">
        <v>0</v>
      </c>
      <c r="E263" s="705">
        <v>0</v>
      </c>
      <c r="F263" s="705">
        <v>0</v>
      </c>
      <c r="G263" s="705">
        <v>0</v>
      </c>
      <c r="H263" s="705">
        <v>0</v>
      </c>
      <c r="I263" s="705">
        <v>0</v>
      </c>
      <c r="J263" s="705">
        <v>0</v>
      </c>
      <c r="K263" s="705">
        <v>0</v>
      </c>
      <c r="L263" s="705">
        <v>0</v>
      </c>
      <c r="M263" s="705">
        <v>0</v>
      </c>
      <c r="N263" s="705">
        <v>0</v>
      </c>
      <c r="O263" s="705">
        <v>0</v>
      </c>
      <c r="P263" s="705">
        <v>0</v>
      </c>
      <c r="Q263" s="705">
        <v>0</v>
      </c>
      <c r="R263" s="705">
        <v>0</v>
      </c>
      <c r="S263" s="705">
        <v>0</v>
      </c>
      <c r="T263" s="705">
        <v>0</v>
      </c>
      <c r="U263" s="705">
        <v>0</v>
      </c>
      <c r="V263" s="705">
        <v>0</v>
      </c>
      <c r="W263" s="705">
        <v>0</v>
      </c>
      <c r="X263" s="705">
        <v>0</v>
      </c>
      <c r="Y263" s="705">
        <v>0</v>
      </c>
      <c r="Z263" s="705">
        <v>0</v>
      </c>
      <c r="AA263" s="705">
        <v>0</v>
      </c>
      <c r="AB263" s="705">
        <v>0</v>
      </c>
      <c r="AC263" s="705">
        <v>0.1368</v>
      </c>
      <c r="AD263" s="705">
        <v>0.13109999999999999</v>
      </c>
      <c r="AE263" s="705">
        <v>0.13170000000000001</v>
      </c>
      <c r="AF263" s="705">
        <v>0.13119999999999998</v>
      </c>
      <c r="AG263" s="705">
        <v>0.13220000000000001</v>
      </c>
      <c r="AH263" s="705">
        <v>0.13669999999999999</v>
      </c>
      <c r="AI263" s="705">
        <v>0.14199999999999999</v>
      </c>
      <c r="AJ263" s="705">
        <v>0.14529999999999998</v>
      </c>
      <c r="AK263" s="705">
        <v>0.14410000000000001</v>
      </c>
      <c r="AL263" s="705">
        <v>0.14169999999999999</v>
      </c>
      <c r="AM263" s="705">
        <v>0.14429999999999998</v>
      </c>
      <c r="AN263" s="705">
        <v>0.1522</v>
      </c>
      <c r="AO263" s="705">
        <v>0.14660000000000001</v>
      </c>
      <c r="AP263" s="705">
        <v>0.1426</v>
      </c>
      <c r="AQ263" s="705">
        <v>0.14180000000000001</v>
      </c>
      <c r="AR263" s="705">
        <v>0.14610000000000001</v>
      </c>
      <c r="AS263" s="705">
        <v>0.14660000000000001</v>
      </c>
      <c r="AT263" s="705">
        <v>0.14460000000000001</v>
      </c>
    </row>
    <row r="264" spans="2:46" s="429" customFormat="1" ht="13.5" thickBot="1" x14ac:dyDescent="0.45">
      <c r="D264" s="649"/>
      <c r="E264" s="649"/>
      <c r="F264" s="649"/>
      <c r="G264" s="649"/>
      <c r="H264" s="649"/>
      <c r="I264" s="649"/>
      <c r="J264" s="649"/>
      <c r="K264" s="649"/>
      <c r="L264" s="649"/>
      <c r="M264" s="649"/>
      <c r="N264" s="649"/>
      <c r="O264" s="649"/>
      <c r="P264" s="649"/>
      <c r="Q264" s="649"/>
      <c r="R264" s="649"/>
      <c r="S264" s="649"/>
      <c r="T264" s="649"/>
      <c r="U264" s="649"/>
      <c r="V264" s="649"/>
      <c r="W264" s="649"/>
      <c r="X264" s="649"/>
      <c r="Y264" s="649"/>
      <c r="Z264" s="649"/>
      <c r="AA264" s="649"/>
      <c r="AB264" s="649"/>
      <c r="AC264" s="649"/>
      <c r="AD264" s="649"/>
      <c r="AE264" s="649"/>
      <c r="AF264" s="649"/>
      <c r="AG264" s="649"/>
      <c r="AH264" s="649"/>
      <c r="AI264" s="649"/>
      <c r="AJ264" s="649"/>
      <c r="AK264" s="649"/>
      <c r="AL264" s="649"/>
      <c r="AM264" s="649"/>
      <c r="AN264" s="649"/>
      <c r="AO264" s="649"/>
      <c r="AP264" s="649"/>
      <c r="AQ264" s="649"/>
      <c r="AR264" s="649"/>
      <c r="AS264" s="649"/>
      <c r="AT264" s="649"/>
    </row>
    <row r="265" spans="2:46" ht="13.5" thickTop="1" x14ac:dyDescent="0.4"/>
    <row r="266" spans="2:46" ht="13.5" x14ac:dyDescent="0.4">
      <c r="B266" s="253" t="s">
        <v>390</v>
      </c>
      <c r="C266" s="331"/>
    </row>
    <row r="267" spans="2:46" ht="13.5" thickBot="1" x14ac:dyDescent="0.45">
      <c r="B267" s="278"/>
      <c r="C267" s="262"/>
    </row>
    <row r="268" spans="2:46" ht="13.5" x14ac:dyDescent="0.4">
      <c r="B268" s="263"/>
      <c r="C268" s="270" t="s">
        <v>391</v>
      </c>
      <c r="D268" s="686">
        <v>0</v>
      </c>
      <c r="E268" s="686">
        <v>0</v>
      </c>
      <c r="F268" s="686">
        <v>0</v>
      </c>
      <c r="G268" s="686">
        <v>0</v>
      </c>
      <c r="H268" s="686">
        <v>97193</v>
      </c>
      <c r="I268" s="686">
        <v>0</v>
      </c>
      <c r="J268" s="686">
        <v>104539</v>
      </c>
      <c r="K268" s="686">
        <v>109137.5012</v>
      </c>
      <c r="L268" s="686">
        <v>115687</v>
      </c>
      <c r="M268" s="686">
        <v>118131.5968</v>
      </c>
      <c r="N268" s="686">
        <v>122047</v>
      </c>
      <c r="O268" s="686">
        <v>127074</v>
      </c>
      <c r="P268" s="686">
        <v>135983</v>
      </c>
      <c r="Q268" s="686">
        <v>135522</v>
      </c>
      <c r="R268" s="686">
        <v>136353</v>
      </c>
      <c r="S268" s="686">
        <v>138771</v>
      </c>
      <c r="T268" s="686">
        <v>145452</v>
      </c>
      <c r="U268" s="686">
        <v>146699</v>
      </c>
      <c r="V268" s="686">
        <v>151990</v>
      </c>
      <c r="W268" s="686">
        <v>159158</v>
      </c>
      <c r="X268" s="686">
        <v>167134</v>
      </c>
      <c r="Y268" s="686">
        <v>174478</v>
      </c>
      <c r="Z268" s="686">
        <v>181453</v>
      </c>
      <c r="AA268" s="686">
        <v>188653</v>
      </c>
      <c r="AB268" s="686">
        <v>194878</v>
      </c>
      <c r="AC268" s="686">
        <v>204536</v>
      </c>
      <c r="AD268" s="686">
        <v>211401</v>
      </c>
      <c r="AE268" s="686">
        <v>215529</v>
      </c>
      <c r="AF268" s="686">
        <v>220403</v>
      </c>
      <c r="AG268" s="686">
        <v>231177</v>
      </c>
      <c r="AH268" s="686">
        <v>235619</v>
      </c>
      <c r="AI268" s="686">
        <v>234885</v>
      </c>
      <c r="AJ268" s="686">
        <v>240959</v>
      </c>
      <c r="AK268" s="686">
        <v>246744</v>
      </c>
      <c r="AL268" s="686">
        <v>251680</v>
      </c>
      <c r="AM268" s="686">
        <v>250108</v>
      </c>
      <c r="AN268" s="686">
        <v>257581</v>
      </c>
      <c r="AO268" s="686">
        <v>262585</v>
      </c>
      <c r="AP268" s="686">
        <v>267138</v>
      </c>
      <c r="AQ268" s="686">
        <v>270196</v>
      </c>
      <c r="AR268" s="686">
        <v>280654</v>
      </c>
      <c r="AS268" s="686">
        <v>289001</v>
      </c>
      <c r="AT268" s="686">
        <v>280756</v>
      </c>
    </row>
    <row r="269" spans="2:46" ht="13.5" x14ac:dyDescent="0.4">
      <c r="B269" s="263"/>
      <c r="C269" s="274" t="s">
        <v>392</v>
      </c>
      <c r="D269" s="1043"/>
      <c r="E269" s="1043"/>
      <c r="F269" s="1043"/>
      <c r="G269" s="1043"/>
      <c r="H269" s="1044"/>
      <c r="I269" s="1044"/>
      <c r="J269" s="1044"/>
      <c r="K269" s="1044"/>
      <c r="L269" s="1044"/>
      <c r="M269" s="1044"/>
      <c r="N269" s="1044"/>
      <c r="O269" s="1044"/>
      <c r="P269" s="1044"/>
      <c r="Q269" s="1044"/>
      <c r="R269" s="1044"/>
      <c r="S269" s="1044"/>
      <c r="T269" s="1044"/>
      <c r="U269" s="1044"/>
      <c r="V269" s="1044"/>
      <c r="W269" s="1044"/>
      <c r="X269" s="1044"/>
      <c r="Y269" s="1044"/>
      <c r="Z269" s="1044"/>
      <c r="AA269" s="1044"/>
      <c r="AB269" s="1044"/>
      <c r="AC269" s="1044"/>
      <c r="AD269" s="1044"/>
      <c r="AE269" s="1044"/>
      <c r="AF269" s="1044"/>
      <c r="AG269" s="1044"/>
      <c r="AH269" s="1044"/>
      <c r="AI269" s="1044"/>
      <c r="AJ269" s="1044"/>
      <c r="AK269" s="1044"/>
      <c r="AL269" s="1044"/>
      <c r="AM269" s="1044"/>
      <c r="AN269" s="1044"/>
      <c r="AO269" s="1044"/>
      <c r="AP269" s="1044"/>
      <c r="AQ269" s="1044"/>
      <c r="AR269" s="1044"/>
      <c r="AS269" s="1043"/>
      <c r="AT269" s="1043"/>
    </row>
    <row r="270" spans="2:46" ht="13.5" x14ac:dyDescent="0.4">
      <c r="B270" s="278"/>
      <c r="C270" s="274" t="s">
        <v>393</v>
      </c>
      <c r="D270" s="1042"/>
      <c r="E270" s="1042"/>
      <c r="F270" s="1042"/>
      <c r="G270" s="1042"/>
      <c r="H270" s="1045"/>
      <c r="I270" s="1045"/>
      <c r="J270" s="1045"/>
      <c r="K270" s="1045"/>
      <c r="L270" s="1045"/>
      <c r="M270" s="1045"/>
      <c r="N270" s="1045"/>
      <c r="O270" s="1045"/>
      <c r="P270" s="1045"/>
      <c r="Q270" s="1045"/>
      <c r="R270" s="1045"/>
      <c r="S270" s="1045"/>
      <c r="T270" s="1045"/>
      <c r="U270" s="1045"/>
      <c r="V270" s="1045"/>
      <c r="W270" s="1045"/>
      <c r="X270" s="1045"/>
      <c r="Y270" s="1045"/>
      <c r="Z270" s="1045"/>
      <c r="AA270" s="1045"/>
      <c r="AB270" s="1045"/>
      <c r="AC270" s="1045"/>
      <c r="AD270" s="1045"/>
      <c r="AE270" s="1045"/>
      <c r="AF270" s="1045"/>
      <c r="AG270" s="1045"/>
      <c r="AH270" s="1045"/>
      <c r="AI270" s="1045"/>
      <c r="AJ270" s="1045"/>
      <c r="AK270" s="1045"/>
      <c r="AL270" s="1045"/>
      <c r="AM270" s="1045"/>
      <c r="AN270" s="1045"/>
      <c r="AO270" s="1045"/>
      <c r="AP270" s="1045"/>
      <c r="AQ270" s="1045"/>
      <c r="AR270" s="1045"/>
      <c r="AS270" s="1042"/>
      <c r="AT270" s="1042"/>
    </row>
    <row r="271" spans="2:46" ht="13.5" x14ac:dyDescent="0.4">
      <c r="B271" s="278"/>
      <c r="C271" s="274" t="s">
        <v>881</v>
      </c>
      <c r="D271" s="1042"/>
      <c r="E271" s="1042"/>
      <c r="F271" s="1042"/>
      <c r="G271" s="1042"/>
      <c r="H271" s="1045"/>
      <c r="I271" s="1045"/>
      <c r="J271" s="1045"/>
      <c r="K271" s="1045"/>
      <c r="L271" s="1045"/>
      <c r="M271" s="1045"/>
      <c r="N271" s="1045"/>
      <c r="O271" s="1045"/>
      <c r="P271" s="1045"/>
      <c r="Q271" s="1045"/>
      <c r="R271" s="1045"/>
      <c r="S271" s="1045"/>
      <c r="T271" s="1045"/>
      <c r="U271" s="1045"/>
      <c r="V271" s="1045"/>
      <c r="W271" s="1045"/>
      <c r="X271" s="1045"/>
      <c r="Y271" s="1045"/>
      <c r="Z271" s="1045"/>
      <c r="AA271" s="1045"/>
      <c r="AB271" s="1045"/>
      <c r="AC271" s="1045"/>
      <c r="AD271" s="1045"/>
      <c r="AE271" s="1045"/>
      <c r="AF271" s="1045"/>
      <c r="AG271" s="1045"/>
      <c r="AH271" s="1045"/>
      <c r="AI271" s="1045"/>
      <c r="AJ271" s="1045"/>
      <c r="AK271" s="1045"/>
      <c r="AL271" s="1045"/>
      <c r="AM271" s="1045"/>
      <c r="AN271" s="1045"/>
      <c r="AO271" s="1045"/>
      <c r="AP271" s="1045"/>
      <c r="AQ271" s="1045"/>
      <c r="AR271" s="1045"/>
      <c r="AS271" s="1042"/>
      <c r="AT271" s="1042"/>
    </row>
    <row r="272" spans="2:46" ht="13.5" x14ac:dyDescent="0.4">
      <c r="B272" s="263"/>
      <c r="C272" s="274" t="s">
        <v>330</v>
      </c>
      <c r="D272" s="1042"/>
      <c r="E272" s="1042"/>
      <c r="F272" s="1042"/>
      <c r="G272" s="1042"/>
      <c r="H272" s="1045"/>
      <c r="I272" s="1045"/>
      <c r="J272" s="1045"/>
      <c r="K272" s="1045"/>
      <c r="L272" s="1045"/>
      <c r="M272" s="1045"/>
      <c r="N272" s="1045"/>
      <c r="O272" s="1045"/>
      <c r="P272" s="1045"/>
      <c r="Q272" s="1045"/>
      <c r="R272" s="1045"/>
      <c r="S272" s="1045"/>
      <c r="T272" s="1045"/>
      <c r="U272" s="1045"/>
      <c r="V272" s="1045"/>
      <c r="W272" s="1045"/>
      <c r="X272" s="1045"/>
      <c r="Y272" s="1045"/>
      <c r="Z272" s="1045"/>
      <c r="AA272" s="1045"/>
      <c r="AB272" s="1045"/>
      <c r="AC272" s="1045"/>
      <c r="AD272" s="1045"/>
      <c r="AE272" s="1045"/>
      <c r="AF272" s="1045"/>
      <c r="AG272" s="1045"/>
      <c r="AH272" s="1045"/>
      <c r="AI272" s="1045"/>
      <c r="AJ272" s="1045"/>
      <c r="AK272" s="1045"/>
      <c r="AL272" s="1045"/>
      <c r="AM272" s="1045"/>
      <c r="AN272" s="1045"/>
      <c r="AO272" s="1045"/>
      <c r="AP272" s="1045"/>
      <c r="AQ272" s="1045"/>
      <c r="AR272" s="1045"/>
      <c r="AS272" s="1042"/>
      <c r="AT272" s="1042"/>
    </row>
    <row r="273" spans="2:46" ht="13.5" x14ac:dyDescent="0.4">
      <c r="B273" s="263"/>
      <c r="C273" s="315" t="s">
        <v>395</v>
      </c>
      <c r="D273" s="587"/>
      <c r="E273" s="587"/>
      <c r="F273" s="587"/>
      <c r="G273" s="587"/>
      <c r="H273" s="340">
        <v>115687</v>
      </c>
      <c r="I273" s="340"/>
      <c r="J273" s="340"/>
      <c r="K273" s="340"/>
      <c r="L273" s="340">
        <v>135983</v>
      </c>
      <c r="M273" s="340"/>
      <c r="N273" s="340"/>
      <c r="O273" s="340"/>
      <c r="P273" s="340">
        <v>145452</v>
      </c>
      <c r="Q273" s="340"/>
      <c r="R273" s="340"/>
      <c r="S273" s="340"/>
      <c r="T273" s="340">
        <v>167134</v>
      </c>
      <c r="U273" s="340"/>
      <c r="V273" s="340"/>
      <c r="W273" s="340"/>
      <c r="X273" s="340">
        <v>194878</v>
      </c>
      <c r="Y273" s="340"/>
      <c r="Z273" s="340"/>
      <c r="AA273" s="340"/>
      <c r="AB273" s="340">
        <v>220403</v>
      </c>
      <c r="AC273" s="340"/>
      <c r="AD273" s="340"/>
      <c r="AE273" s="340"/>
      <c r="AF273" s="340">
        <v>240959</v>
      </c>
      <c r="AG273" s="340"/>
      <c r="AH273" s="340">
        <v>59548</v>
      </c>
      <c r="AI273" s="340"/>
      <c r="AJ273" s="340">
        <v>257581</v>
      </c>
      <c r="AK273" s="340"/>
      <c r="AL273" s="340">
        <v>80880</v>
      </c>
      <c r="AM273" s="340"/>
      <c r="AN273" s="340">
        <v>280654</v>
      </c>
      <c r="AO273" s="340"/>
      <c r="AP273" s="340">
        <v>104496</v>
      </c>
      <c r="AQ273" s="340"/>
      <c r="AR273" s="340">
        <v>289512</v>
      </c>
      <c r="AS273" s="340">
        <v>304646</v>
      </c>
      <c r="AT273" s="340">
        <v>316513</v>
      </c>
    </row>
    <row r="274" spans="2:46" ht="13.9" thickBot="1" x14ac:dyDescent="0.45">
      <c r="B274" s="263"/>
      <c r="C274" s="342" t="s">
        <v>396</v>
      </c>
      <c r="D274" s="656"/>
      <c r="E274" s="656"/>
      <c r="F274" s="656"/>
      <c r="G274" s="656"/>
      <c r="H274" s="657">
        <v>0</v>
      </c>
      <c r="I274" s="657">
        <v>8473</v>
      </c>
      <c r="J274" s="657">
        <v>18315</v>
      </c>
      <c r="K274" s="657">
        <v>33892</v>
      </c>
      <c r="L274" s="657">
        <v>55528</v>
      </c>
      <c r="M274" s="657">
        <v>4203</v>
      </c>
      <c r="N274" s="657">
        <v>10212</v>
      </c>
      <c r="O274" s="657">
        <v>14783</v>
      </c>
      <c r="P274" s="657">
        <v>23219</v>
      </c>
      <c r="Q274" s="657">
        <v>3916</v>
      </c>
      <c r="R274" s="657">
        <v>9693</v>
      </c>
      <c r="S274" s="657">
        <v>17820</v>
      </c>
      <c r="T274" s="657">
        <v>27988</v>
      </c>
      <c r="U274" s="657">
        <v>8654</v>
      </c>
      <c r="V274" s="657">
        <v>16881</v>
      </c>
      <c r="W274" s="657">
        <v>24383</v>
      </c>
      <c r="X274" s="657">
        <v>31121</v>
      </c>
      <c r="Y274" s="657">
        <v>10148</v>
      </c>
      <c r="Z274" s="657">
        <v>19237</v>
      </c>
      <c r="AA274" s="657">
        <v>25459</v>
      </c>
      <c r="AB274" s="657">
        <v>33745</v>
      </c>
      <c r="AC274" s="657">
        <v>12152</v>
      </c>
      <c r="AD274" s="657">
        <v>21941</v>
      </c>
      <c r="AE274" s="657">
        <v>28620</v>
      </c>
      <c r="AF274" s="657">
        <v>38321</v>
      </c>
      <c r="AG274" s="657">
        <v>13776</v>
      </c>
      <c r="AH274" s="657">
        <v>24167</v>
      </c>
      <c r="AI274" s="657">
        <v>32456</v>
      </c>
      <c r="AJ274" s="657">
        <v>56729</v>
      </c>
      <c r="AK274" s="657">
        <v>20748</v>
      </c>
      <c r="AL274" s="657">
        <v>41951</v>
      </c>
      <c r="AM274" s="657">
        <v>61569</v>
      </c>
      <c r="AN274" s="657">
        <v>86993</v>
      </c>
      <c r="AO274" s="657"/>
      <c r="AP274" s="657">
        <v>44433</v>
      </c>
      <c r="AQ274" s="657"/>
      <c r="AR274" s="657">
        <v>87894</v>
      </c>
      <c r="AS274" s="657">
        <v>31505</v>
      </c>
      <c r="AT274" s="657">
        <v>61343</v>
      </c>
    </row>
    <row r="275" spans="2:46" s="429" customFormat="1" ht="13.5" thickBot="1" x14ac:dyDescent="0.45">
      <c r="D275" s="649"/>
      <c r="E275" s="649"/>
      <c r="F275" s="649"/>
      <c r="G275" s="649"/>
      <c r="H275" s="649"/>
      <c r="I275" s="649"/>
      <c r="J275" s="649"/>
      <c r="K275" s="649"/>
      <c r="L275" s="649"/>
      <c r="M275" s="649"/>
      <c r="N275" s="649"/>
      <c r="O275" s="649"/>
      <c r="P275" s="649"/>
      <c r="Q275" s="649"/>
      <c r="R275" s="649"/>
      <c r="S275" s="649"/>
      <c r="T275" s="649"/>
      <c r="U275" s="649"/>
      <c r="V275" s="649"/>
      <c r="W275" s="649"/>
      <c r="X275" s="649"/>
      <c r="Y275" s="649"/>
      <c r="Z275" s="649"/>
      <c r="AA275" s="649"/>
      <c r="AB275" s="649"/>
      <c r="AC275" s="649"/>
      <c r="AD275" s="649"/>
      <c r="AE275" s="649"/>
      <c r="AF275" s="649"/>
      <c r="AG275" s="649"/>
      <c r="AH275" s="649"/>
      <c r="AI275" s="649"/>
      <c r="AJ275" s="649"/>
      <c r="AK275" s="649"/>
      <c r="AL275" s="649"/>
      <c r="AM275" s="649"/>
      <c r="AN275" s="649"/>
      <c r="AO275" s="649"/>
      <c r="AP275" s="649"/>
      <c r="AQ275" s="649"/>
      <c r="AR275" s="649"/>
      <c r="AS275" s="649"/>
      <c r="AT275" s="649"/>
    </row>
    <row r="276" spans="2:46" ht="13.5" thickTop="1" x14ac:dyDescent="0.4">
      <c r="AC276" s="630"/>
      <c r="AG276" s="630"/>
      <c r="AK276" s="630"/>
      <c r="AO276" s="630"/>
      <c r="AS276" s="630"/>
    </row>
    <row r="277" spans="2:46" ht="13.5" x14ac:dyDescent="0.4">
      <c r="B277" s="253" t="s">
        <v>397</v>
      </c>
      <c r="C277" s="331"/>
    </row>
    <row r="278" spans="2:46" ht="13.5" thickBot="1" x14ac:dyDescent="0.45">
      <c r="B278" s="263"/>
      <c r="C278" s="262"/>
      <c r="AR278" s="677"/>
    </row>
    <row r="279" spans="2:46" ht="13.5" x14ac:dyDescent="0.4">
      <c r="B279" s="278"/>
      <c r="C279" s="274" t="s">
        <v>398</v>
      </c>
      <c r="D279" s="639">
        <v>3165586</v>
      </c>
      <c r="E279" s="639">
        <v>0</v>
      </c>
      <c r="F279" s="639">
        <v>3511124</v>
      </c>
      <c r="G279" s="639">
        <v>0</v>
      </c>
      <c r="H279" s="639">
        <v>3728576</v>
      </c>
      <c r="I279" s="639">
        <v>0</v>
      </c>
      <c r="J279" s="639">
        <v>4056453</v>
      </c>
      <c r="K279" s="639">
        <v>0</v>
      </c>
      <c r="L279" s="639">
        <v>4229609</v>
      </c>
      <c r="M279" s="639">
        <v>0</v>
      </c>
      <c r="N279" s="639">
        <v>5145073</v>
      </c>
      <c r="O279" s="639">
        <v>0</v>
      </c>
      <c r="P279" s="639">
        <v>5411226</v>
      </c>
      <c r="Q279" s="639">
        <v>0</v>
      </c>
      <c r="R279" s="639">
        <v>6041165</v>
      </c>
      <c r="S279" s="639">
        <v>0</v>
      </c>
      <c r="T279" s="639">
        <v>6489450</v>
      </c>
      <c r="U279" s="639">
        <v>0</v>
      </c>
      <c r="V279" s="639">
        <v>7042146</v>
      </c>
      <c r="W279" s="639">
        <v>0</v>
      </c>
      <c r="X279" s="639">
        <v>7484060</v>
      </c>
      <c r="Y279" s="639">
        <v>0</v>
      </c>
      <c r="Z279" s="639">
        <v>8100251</v>
      </c>
      <c r="AA279" s="639">
        <v>0</v>
      </c>
      <c r="AB279" s="639">
        <v>8501566</v>
      </c>
      <c r="AC279" s="639">
        <v>0</v>
      </c>
      <c r="AD279" s="639">
        <v>9135274</v>
      </c>
      <c r="AE279" s="639">
        <v>0</v>
      </c>
      <c r="AF279" s="639">
        <v>9632523</v>
      </c>
      <c r="AG279" s="639">
        <v>0</v>
      </c>
      <c r="AH279" s="639">
        <v>10309257</v>
      </c>
      <c r="AI279" s="639">
        <v>0</v>
      </c>
      <c r="AJ279" s="639">
        <v>10582050</v>
      </c>
      <c r="AK279" s="639">
        <v>0</v>
      </c>
      <c r="AL279" s="639">
        <v>11058212</v>
      </c>
      <c r="AM279" s="639">
        <v>0</v>
      </c>
      <c r="AN279" s="639">
        <v>11233456</v>
      </c>
      <c r="AO279" s="639">
        <v>0</v>
      </c>
      <c r="AP279" s="639">
        <v>11858948</v>
      </c>
      <c r="AQ279" s="639">
        <v>0</v>
      </c>
      <c r="AR279" s="639">
        <v>12261034</v>
      </c>
      <c r="AS279" s="639">
        <v>0</v>
      </c>
      <c r="AT279" s="639">
        <v>13107689</v>
      </c>
    </row>
    <row r="280" spans="2:46" ht="13.5" x14ac:dyDescent="0.4">
      <c r="B280" s="278"/>
      <c r="C280" s="274" t="s">
        <v>399</v>
      </c>
      <c r="D280" s="641">
        <v>327840</v>
      </c>
      <c r="E280" s="641">
        <v>0</v>
      </c>
      <c r="F280" s="641">
        <v>275821</v>
      </c>
      <c r="G280" s="641">
        <v>0</v>
      </c>
      <c r="H280" s="641">
        <v>232879</v>
      </c>
      <c r="I280" s="641">
        <v>0</v>
      </c>
      <c r="J280" s="641">
        <v>193776</v>
      </c>
      <c r="K280" s="641">
        <v>0</v>
      </c>
      <c r="L280" s="641">
        <v>237903</v>
      </c>
      <c r="M280" s="641">
        <v>0</v>
      </c>
      <c r="N280" s="641">
        <v>192731</v>
      </c>
      <c r="O280" s="641">
        <v>0</v>
      </c>
      <c r="P280" s="641">
        <v>228933</v>
      </c>
      <c r="Q280" s="641">
        <v>0</v>
      </c>
      <c r="R280" s="641">
        <v>233146</v>
      </c>
      <c r="S280" s="641">
        <v>0</v>
      </c>
      <c r="T280" s="641">
        <v>227815</v>
      </c>
      <c r="U280" s="641">
        <v>0</v>
      </c>
      <c r="V280" s="641">
        <v>222408</v>
      </c>
      <c r="W280" s="641">
        <v>0</v>
      </c>
      <c r="X280" s="641">
        <v>231826</v>
      </c>
      <c r="Y280" s="641">
        <v>0</v>
      </c>
      <c r="Z280" s="641">
        <v>248661</v>
      </c>
      <c r="AA280" s="641">
        <v>0</v>
      </c>
      <c r="AB280" s="641">
        <v>227551</v>
      </c>
      <c r="AC280" s="641">
        <v>0</v>
      </c>
      <c r="AD280" s="641">
        <v>220600</v>
      </c>
      <c r="AE280" s="641">
        <v>0</v>
      </c>
      <c r="AF280" s="641">
        <v>196162</v>
      </c>
      <c r="AG280" s="641">
        <v>0</v>
      </c>
      <c r="AH280" s="641">
        <v>231117</v>
      </c>
      <c r="AI280" s="641">
        <v>0</v>
      </c>
      <c r="AJ280" s="641">
        <v>319784</v>
      </c>
      <c r="AK280" s="641">
        <v>0</v>
      </c>
      <c r="AL280" s="641">
        <v>420378</v>
      </c>
      <c r="AM280" s="641">
        <v>0</v>
      </c>
      <c r="AN280" s="641">
        <v>520492</v>
      </c>
      <c r="AO280" s="641">
        <v>0</v>
      </c>
      <c r="AP280" s="641">
        <v>622066</v>
      </c>
      <c r="AQ280" s="641">
        <v>0</v>
      </c>
      <c r="AR280" s="641">
        <v>584011</v>
      </c>
      <c r="AS280" s="641">
        <v>0</v>
      </c>
      <c r="AT280" s="641">
        <v>541148</v>
      </c>
    </row>
    <row r="281" spans="2:46" ht="13.5" x14ac:dyDescent="0.4">
      <c r="B281" s="278"/>
      <c r="C281" s="274" t="s">
        <v>400</v>
      </c>
      <c r="D281" s="641">
        <v>66756</v>
      </c>
      <c r="E281" s="641">
        <v>0</v>
      </c>
      <c r="F281" s="641">
        <v>60411</v>
      </c>
      <c r="G281" s="641">
        <v>0</v>
      </c>
      <c r="H281" s="641">
        <v>38149</v>
      </c>
      <c r="I281" s="641">
        <v>0</v>
      </c>
      <c r="J281" s="641">
        <v>37511</v>
      </c>
      <c r="K281" s="641">
        <v>0</v>
      </c>
      <c r="L281" s="641">
        <v>37694</v>
      </c>
      <c r="M281" s="641">
        <v>0</v>
      </c>
      <c r="N281" s="641">
        <v>40823</v>
      </c>
      <c r="O281" s="641">
        <v>0</v>
      </c>
      <c r="P281" s="641">
        <v>31842</v>
      </c>
      <c r="Q281" s="641">
        <v>0</v>
      </c>
      <c r="R281" s="641">
        <v>25971</v>
      </c>
      <c r="S281" s="641">
        <v>0</v>
      </c>
      <c r="T281" s="641">
        <v>18932</v>
      </c>
      <c r="U281" s="641">
        <v>0</v>
      </c>
      <c r="V281" s="641">
        <v>18884</v>
      </c>
      <c r="W281" s="641">
        <v>0</v>
      </c>
      <c r="X281" s="641">
        <v>24092</v>
      </c>
      <c r="Y281" s="641">
        <v>0</v>
      </c>
      <c r="Z281" s="641">
        <v>25895</v>
      </c>
      <c r="AA281" s="641">
        <v>0</v>
      </c>
      <c r="AB281" s="641">
        <v>29418</v>
      </c>
      <c r="AC281" s="641">
        <v>0</v>
      </c>
      <c r="AD281" s="641">
        <v>34106</v>
      </c>
      <c r="AE281" s="641">
        <v>0</v>
      </c>
      <c r="AF281" s="641">
        <v>36532</v>
      </c>
      <c r="AG281" s="641">
        <v>0</v>
      </c>
      <c r="AH281" s="641">
        <v>48986</v>
      </c>
      <c r="AI281" s="641">
        <v>0</v>
      </c>
      <c r="AJ281" s="641">
        <v>66809</v>
      </c>
      <c r="AK281" s="641">
        <v>0</v>
      </c>
      <c r="AL281" s="641">
        <v>92066</v>
      </c>
      <c r="AM281" s="641">
        <v>0</v>
      </c>
      <c r="AN281" s="641">
        <v>104805</v>
      </c>
      <c r="AO281" s="641">
        <v>0</v>
      </c>
      <c r="AP281" s="641">
        <v>98828</v>
      </c>
      <c r="AQ281" s="641">
        <v>0</v>
      </c>
      <c r="AR281" s="641">
        <v>109434</v>
      </c>
      <c r="AS281" s="641">
        <v>0</v>
      </c>
      <c r="AT281" s="641">
        <v>104850</v>
      </c>
    </row>
    <row r="282" spans="2:46" ht="13.5" x14ac:dyDescent="0.4">
      <c r="B282" s="278"/>
      <c r="C282" s="274" t="s">
        <v>401</v>
      </c>
      <c r="D282" s="641">
        <v>62036</v>
      </c>
      <c r="E282" s="641">
        <v>0</v>
      </c>
      <c r="F282" s="641">
        <v>59097</v>
      </c>
      <c r="G282" s="641">
        <v>0</v>
      </c>
      <c r="H282" s="641">
        <v>62042</v>
      </c>
      <c r="I282" s="641">
        <v>0</v>
      </c>
      <c r="J282" s="641">
        <v>55883</v>
      </c>
      <c r="K282" s="641">
        <v>0</v>
      </c>
      <c r="L282" s="641">
        <v>55641</v>
      </c>
      <c r="M282" s="641">
        <v>0</v>
      </c>
      <c r="N282" s="641">
        <v>48577</v>
      </c>
      <c r="O282" s="641">
        <v>0</v>
      </c>
      <c r="P282" s="641">
        <v>43413</v>
      </c>
      <c r="Q282" s="641">
        <v>0</v>
      </c>
      <c r="R282" s="641">
        <v>42003</v>
      </c>
      <c r="S282" s="641">
        <v>0</v>
      </c>
      <c r="T282" s="641">
        <v>41765</v>
      </c>
      <c r="U282" s="641">
        <v>0</v>
      </c>
      <c r="V282" s="641">
        <v>40362</v>
      </c>
      <c r="W282" s="641">
        <v>0</v>
      </c>
      <c r="X282" s="641">
        <v>38712</v>
      </c>
      <c r="Y282" s="641">
        <v>0</v>
      </c>
      <c r="Z282" s="641">
        <v>39725</v>
      </c>
      <c r="AA282" s="641">
        <v>0</v>
      </c>
      <c r="AB282" s="641">
        <v>36482</v>
      </c>
      <c r="AC282" s="641">
        <v>0</v>
      </c>
      <c r="AD282" s="641">
        <v>39827</v>
      </c>
      <c r="AE282" s="641">
        <v>0</v>
      </c>
      <c r="AF282" s="641">
        <v>43020</v>
      </c>
      <c r="AG282" s="641">
        <v>0</v>
      </c>
      <c r="AH282" s="641">
        <v>47689</v>
      </c>
      <c r="AI282" s="641">
        <v>0</v>
      </c>
      <c r="AJ282" s="641">
        <v>49359</v>
      </c>
      <c r="AK282" s="641">
        <v>0</v>
      </c>
      <c r="AL282" s="641">
        <v>58804</v>
      </c>
      <c r="AM282" s="641">
        <v>0</v>
      </c>
      <c r="AN282" s="641">
        <v>60512</v>
      </c>
      <c r="AO282" s="641">
        <v>0</v>
      </c>
      <c r="AP282" s="641">
        <v>77388</v>
      </c>
      <c r="AQ282" s="641">
        <v>0</v>
      </c>
      <c r="AR282" s="641">
        <v>82505</v>
      </c>
      <c r="AS282" s="641">
        <v>0</v>
      </c>
      <c r="AT282" s="641">
        <v>92874</v>
      </c>
    </row>
    <row r="283" spans="2:46" ht="13.5" x14ac:dyDescent="0.4">
      <c r="B283" s="278"/>
      <c r="C283" s="274" t="s">
        <v>402</v>
      </c>
      <c r="D283" s="645">
        <v>8953</v>
      </c>
      <c r="E283" s="645">
        <v>0</v>
      </c>
      <c r="F283" s="645">
        <v>9153</v>
      </c>
      <c r="G283" s="645">
        <v>0</v>
      </c>
      <c r="H283" s="645">
        <v>11583</v>
      </c>
      <c r="I283" s="645">
        <v>0</v>
      </c>
      <c r="J283" s="645">
        <v>11742</v>
      </c>
      <c r="K283" s="645">
        <v>0</v>
      </c>
      <c r="L283" s="645">
        <v>11147</v>
      </c>
      <c r="M283" s="645">
        <v>0</v>
      </c>
      <c r="N283" s="645">
        <v>9265</v>
      </c>
      <c r="O283" s="645">
        <v>0</v>
      </c>
      <c r="P283" s="645">
        <v>13212</v>
      </c>
      <c r="Q283" s="645">
        <v>0</v>
      </c>
      <c r="R283" s="645">
        <v>12099</v>
      </c>
      <c r="S283" s="645">
        <v>0</v>
      </c>
      <c r="T283" s="645">
        <v>12544</v>
      </c>
      <c r="U283" s="645">
        <v>0</v>
      </c>
      <c r="V283" s="645">
        <v>10240</v>
      </c>
      <c r="W283" s="645">
        <v>0</v>
      </c>
      <c r="X283" s="645">
        <v>10207</v>
      </c>
      <c r="Y283" s="645">
        <v>0</v>
      </c>
      <c r="Z283" s="645">
        <v>9505</v>
      </c>
      <c r="AA283" s="645">
        <v>0</v>
      </c>
      <c r="AB283" s="645">
        <v>8675</v>
      </c>
      <c r="AC283" s="645">
        <v>0</v>
      </c>
      <c r="AD283" s="645">
        <v>7835</v>
      </c>
      <c r="AE283" s="645">
        <v>0</v>
      </c>
      <c r="AF283" s="645">
        <v>14137</v>
      </c>
      <c r="AG283" s="645">
        <v>0</v>
      </c>
      <c r="AH283" s="645">
        <v>9066</v>
      </c>
      <c r="AI283" s="645">
        <v>0</v>
      </c>
      <c r="AJ283" s="645">
        <v>8329</v>
      </c>
      <c r="AK283" s="645">
        <v>0</v>
      </c>
      <c r="AL283" s="645">
        <v>12625</v>
      </c>
      <c r="AM283" s="645">
        <v>0</v>
      </c>
      <c r="AN283" s="645">
        <v>14201</v>
      </c>
      <c r="AO283" s="645">
        <v>0</v>
      </c>
      <c r="AP283" s="645">
        <v>20087</v>
      </c>
      <c r="AQ283" s="645">
        <v>0</v>
      </c>
      <c r="AR283" s="645">
        <v>19862</v>
      </c>
      <c r="AS283" s="645">
        <v>0</v>
      </c>
      <c r="AT283" s="645">
        <v>19348</v>
      </c>
    </row>
    <row r="284" spans="2:46" ht="13.5" x14ac:dyDescent="0.4">
      <c r="B284" s="263"/>
      <c r="C284" s="315" t="s">
        <v>403</v>
      </c>
      <c r="D284" s="706">
        <v>137745</v>
      </c>
      <c r="E284" s="706">
        <v>136851</v>
      </c>
      <c r="F284" s="706">
        <v>128661</v>
      </c>
      <c r="G284" s="706">
        <v>123851</v>
      </c>
      <c r="H284" s="706">
        <v>111774</v>
      </c>
      <c r="I284" s="706">
        <v>106694</v>
      </c>
      <c r="J284" s="706">
        <v>105136</v>
      </c>
      <c r="K284" s="706">
        <v>104881</v>
      </c>
      <c r="L284" s="706">
        <v>104482</v>
      </c>
      <c r="M284" s="706">
        <v>102650</v>
      </c>
      <c r="N284" s="706">
        <v>98665</v>
      </c>
      <c r="O284" s="706">
        <v>93533</v>
      </c>
      <c r="P284" s="706">
        <v>88467</v>
      </c>
      <c r="Q284" s="706">
        <v>81609</v>
      </c>
      <c r="R284" s="706">
        <v>80073</v>
      </c>
      <c r="S284" s="706">
        <v>75731</v>
      </c>
      <c r="T284" s="706">
        <v>73241</v>
      </c>
      <c r="U284" s="706">
        <v>70774</v>
      </c>
      <c r="V284" s="706">
        <v>69486</v>
      </c>
      <c r="W284" s="706">
        <v>69190</v>
      </c>
      <c r="X284" s="706">
        <v>73011</v>
      </c>
      <c r="Y284" s="706">
        <v>72819</v>
      </c>
      <c r="Z284" s="706">
        <v>75125</v>
      </c>
      <c r="AA284" s="706">
        <v>74752</v>
      </c>
      <c r="AB284" s="706">
        <v>74575</v>
      </c>
      <c r="AC284" s="706">
        <v>80237</v>
      </c>
      <c r="AD284" s="706">
        <v>81768</v>
      </c>
      <c r="AE284" s="706">
        <v>87361</v>
      </c>
      <c r="AF284" s="706">
        <v>93689</v>
      </c>
      <c r="AG284" s="706">
        <v>100550</v>
      </c>
      <c r="AH284" s="706">
        <v>105741</v>
      </c>
      <c r="AI284" s="706">
        <v>115471</v>
      </c>
      <c r="AJ284" s="706">
        <v>124497</v>
      </c>
      <c r="AK284" s="706">
        <v>145548</v>
      </c>
      <c r="AL284" s="706">
        <v>163495</v>
      </c>
      <c r="AM284" s="706">
        <v>171408</v>
      </c>
      <c r="AN284" s="706">
        <v>179518</v>
      </c>
      <c r="AO284" s="706">
        <v>204659</v>
      </c>
      <c r="AP284" s="706">
        <v>196303</v>
      </c>
      <c r="AQ284" s="706">
        <v>208880</v>
      </c>
      <c r="AR284" s="706">
        <v>211801</v>
      </c>
      <c r="AS284" s="706">
        <v>215285</v>
      </c>
      <c r="AT284" s="706">
        <v>217072</v>
      </c>
    </row>
    <row r="285" spans="2:46" ht="13.5" x14ac:dyDescent="0.4">
      <c r="B285" s="263"/>
      <c r="C285" s="263" t="s">
        <v>323</v>
      </c>
      <c r="D285" s="707">
        <v>3631171</v>
      </c>
      <c r="E285" s="707">
        <v>3696433</v>
      </c>
      <c r="F285" s="707">
        <v>3915606</v>
      </c>
      <c r="G285" s="707">
        <v>4045054.5011999998</v>
      </c>
      <c r="H285" s="707">
        <v>4073229</v>
      </c>
      <c r="I285" s="707">
        <v>4251955.5968000004</v>
      </c>
      <c r="J285" s="707">
        <v>4355365</v>
      </c>
      <c r="K285" s="707">
        <v>4420065</v>
      </c>
      <c r="L285" s="707">
        <v>4571994</v>
      </c>
      <c r="M285" s="707">
        <v>5208429</v>
      </c>
      <c r="N285" s="707">
        <v>5436469</v>
      </c>
      <c r="O285" s="707">
        <v>5580469</v>
      </c>
      <c r="P285" s="707">
        <v>5728626</v>
      </c>
      <c r="Q285" s="707">
        <v>6062793</v>
      </c>
      <c r="R285" s="707">
        <v>6354384</v>
      </c>
      <c r="S285" s="707">
        <v>6571512</v>
      </c>
      <c r="T285" s="707">
        <v>6790506</v>
      </c>
      <c r="U285" s="707">
        <v>7063351</v>
      </c>
      <c r="V285" s="707">
        <v>7334040</v>
      </c>
      <c r="W285" s="707">
        <v>7599040</v>
      </c>
      <c r="X285" s="707">
        <v>7788897</v>
      </c>
      <c r="Y285" s="707">
        <v>8158090</v>
      </c>
      <c r="Z285" s="707">
        <v>8424037</v>
      </c>
      <c r="AA285" s="707">
        <v>8637812</v>
      </c>
      <c r="AB285" s="707">
        <v>8803692</v>
      </c>
      <c r="AC285" s="707">
        <v>9264954</v>
      </c>
      <c r="AD285" s="707">
        <v>9437642</v>
      </c>
      <c r="AE285" s="707">
        <v>9644520</v>
      </c>
      <c r="AF285" s="707">
        <v>9922374</v>
      </c>
      <c r="AG285" s="707">
        <v>10372180</v>
      </c>
      <c r="AH285" s="707">
        <v>10646115</v>
      </c>
      <c r="AI285" s="707">
        <v>10853652</v>
      </c>
      <c r="AJ285" s="707">
        <v>11026331</v>
      </c>
      <c r="AK285" s="707">
        <v>11319842</v>
      </c>
      <c r="AL285" s="707">
        <v>11642085</v>
      </c>
      <c r="AM285" s="707">
        <v>11880659</v>
      </c>
      <c r="AN285" s="707">
        <v>11933466</v>
      </c>
      <c r="AO285" s="707">
        <v>12345706</v>
      </c>
      <c r="AP285" s="707">
        <v>12677317</v>
      </c>
      <c r="AQ285" s="707">
        <v>12914203</v>
      </c>
      <c r="AR285" s="707">
        <v>13056846</v>
      </c>
      <c r="AS285" s="707">
        <v>13572444</v>
      </c>
      <c r="AT285" s="707">
        <v>13865909</v>
      </c>
    </row>
    <row r="286" spans="2:46" ht="13.9" thickBot="1" x14ac:dyDescent="0.45">
      <c r="B286" s="263"/>
      <c r="C286" s="280" t="s">
        <v>404</v>
      </c>
      <c r="D286" s="705">
        <v>3.7900000000000003E-2</v>
      </c>
      <c r="E286" s="705">
        <v>3.6000000000000004E-2</v>
      </c>
      <c r="F286" s="705">
        <v>3.2899999999999999E-2</v>
      </c>
      <c r="G286" s="705">
        <v>3.0600000000000002E-2</v>
      </c>
      <c r="H286" s="705">
        <v>2.7400000000000001E-2</v>
      </c>
      <c r="I286" s="705">
        <v>2.5099999999999997E-2</v>
      </c>
      <c r="J286" s="705">
        <v>2.41E-2</v>
      </c>
      <c r="K286" s="705">
        <v>2.3700000000000002E-2</v>
      </c>
      <c r="L286" s="705">
        <v>2.29E-2</v>
      </c>
      <c r="M286" s="705">
        <v>1.9699999999999999E-2</v>
      </c>
      <c r="N286" s="705">
        <v>1.8100000000000002E-2</v>
      </c>
      <c r="O286" s="705">
        <v>1.6799999999999999E-2</v>
      </c>
      <c r="P286" s="705">
        <v>1.54E-2</v>
      </c>
      <c r="Q286" s="705">
        <v>1.3500000000000002E-2</v>
      </c>
      <c r="R286" s="705">
        <v>1.26E-2</v>
      </c>
      <c r="S286" s="705">
        <v>1.15E-2</v>
      </c>
      <c r="T286" s="705">
        <v>1.0800000000000001E-2</v>
      </c>
      <c r="U286" s="705">
        <v>0.01</v>
      </c>
      <c r="V286" s="705">
        <v>9.4999999999999998E-3</v>
      </c>
      <c r="W286" s="705">
        <v>9.1000000000000004E-3</v>
      </c>
      <c r="X286" s="705">
        <v>9.3999999999999986E-3</v>
      </c>
      <c r="Y286" s="705">
        <v>8.8999999999999999E-3</v>
      </c>
      <c r="Z286" s="705">
        <v>8.8999999999999999E-3</v>
      </c>
      <c r="AA286" s="705">
        <v>8.6999999999999994E-3</v>
      </c>
      <c r="AB286" s="705">
        <v>8.5000000000000006E-3</v>
      </c>
      <c r="AC286" s="705">
        <v>8.6999999999999994E-3</v>
      </c>
      <c r="AD286" s="705">
        <v>8.6999999999999994E-3</v>
      </c>
      <c r="AE286" s="705">
        <v>9.1000000000000004E-3</v>
      </c>
      <c r="AF286" s="705">
        <v>9.3999999999999986E-3</v>
      </c>
      <c r="AG286" s="705">
        <v>9.7000000000000003E-3</v>
      </c>
      <c r="AH286" s="705">
        <v>9.8999999999999991E-3</v>
      </c>
      <c r="AI286" s="705">
        <v>1.06E-2</v>
      </c>
      <c r="AJ286" s="705">
        <v>1.1299999999999999E-2</v>
      </c>
      <c r="AK286" s="705">
        <v>1.29E-2</v>
      </c>
      <c r="AL286" s="705">
        <v>1.3999999999999999E-2</v>
      </c>
      <c r="AM286" s="705">
        <v>1.44E-2</v>
      </c>
      <c r="AN286" s="705">
        <v>1.4999999999999999E-2</v>
      </c>
      <c r="AO286" s="705">
        <v>1.66E-2</v>
      </c>
      <c r="AP286" s="705">
        <v>1.55E-2</v>
      </c>
      <c r="AQ286" s="705">
        <v>1.6200000000000003E-2</v>
      </c>
      <c r="AR286" s="705">
        <v>1.6200000000000003E-2</v>
      </c>
      <c r="AS286" s="705">
        <v>1.5900000000000001E-2</v>
      </c>
      <c r="AT286" s="705">
        <v>1.5700000000000002E-2</v>
      </c>
    </row>
    <row r="287" spans="2:46" s="231" customFormat="1" ht="13.5" x14ac:dyDescent="0.4">
      <c r="B287" s="348"/>
      <c r="C287" s="230" t="s">
        <v>281</v>
      </c>
      <c r="D287" s="636">
        <v>0</v>
      </c>
      <c r="E287" s="636">
        <v>0</v>
      </c>
      <c r="F287" s="636">
        <v>0</v>
      </c>
      <c r="G287" s="636">
        <v>0</v>
      </c>
      <c r="H287" s="636">
        <v>0</v>
      </c>
      <c r="I287" s="636">
        <v>0</v>
      </c>
      <c r="J287" s="636">
        <v>0</v>
      </c>
      <c r="K287" s="636">
        <v>0</v>
      </c>
      <c r="L287" s="636">
        <v>0</v>
      </c>
      <c r="M287" s="636">
        <v>0</v>
      </c>
      <c r="N287" s="636">
        <v>0</v>
      </c>
      <c r="O287" s="636">
        <v>0</v>
      </c>
      <c r="P287" s="636">
        <v>0</v>
      </c>
      <c r="Q287" s="636">
        <v>0</v>
      </c>
      <c r="R287" s="636">
        <v>0</v>
      </c>
      <c r="S287" s="636">
        <v>0</v>
      </c>
      <c r="T287" s="636">
        <v>0</v>
      </c>
      <c r="U287" s="636">
        <v>0</v>
      </c>
      <c r="V287" s="636">
        <v>0</v>
      </c>
      <c r="W287" s="636">
        <v>0</v>
      </c>
      <c r="X287" s="636">
        <v>0</v>
      </c>
      <c r="Y287" s="636">
        <v>0</v>
      </c>
      <c r="Z287" s="636">
        <v>0</v>
      </c>
      <c r="AA287" s="636">
        <v>0</v>
      </c>
      <c r="AB287" s="636">
        <v>0</v>
      </c>
      <c r="AC287" s="636">
        <v>0</v>
      </c>
      <c r="AD287" s="636">
        <v>0</v>
      </c>
      <c r="AE287" s="636">
        <v>0</v>
      </c>
      <c r="AF287" s="636">
        <v>0</v>
      </c>
      <c r="AG287" s="636">
        <v>0</v>
      </c>
      <c r="AH287" s="636">
        <v>0</v>
      </c>
      <c r="AI287" s="636">
        <v>0</v>
      </c>
      <c r="AJ287" s="636">
        <v>0</v>
      </c>
      <c r="AK287" s="636">
        <v>0</v>
      </c>
      <c r="AL287" s="636">
        <v>0</v>
      </c>
      <c r="AM287" s="636">
        <v>0</v>
      </c>
      <c r="AN287" s="636">
        <v>0</v>
      </c>
      <c r="AO287" s="636">
        <v>0</v>
      </c>
      <c r="AP287" s="636">
        <v>0</v>
      </c>
      <c r="AQ287" s="636">
        <v>0</v>
      </c>
      <c r="AR287" s="636">
        <v>0</v>
      </c>
      <c r="AS287" s="636">
        <v>0</v>
      </c>
      <c r="AT287" s="636">
        <v>0</v>
      </c>
    </row>
    <row r="288" spans="2:46" s="590" customFormat="1" ht="13.5" thickBot="1" x14ac:dyDescent="0.45">
      <c r="B288" s="588"/>
      <c r="C288" s="588"/>
      <c r="D288" s="589"/>
      <c r="E288" s="589"/>
      <c r="F288" s="589"/>
      <c r="G288" s="589"/>
      <c r="H288" s="589"/>
      <c r="I288" s="589"/>
      <c r="J288" s="589"/>
      <c r="K288" s="589"/>
      <c r="L288" s="589"/>
      <c r="M288" s="589"/>
      <c r="N288" s="589"/>
      <c r="O288" s="589"/>
      <c r="P288" s="589"/>
      <c r="Q288" s="589"/>
      <c r="R288" s="589"/>
      <c r="S288" s="589"/>
      <c r="T288" s="589"/>
      <c r="U288" s="589"/>
      <c r="V288" s="589"/>
      <c r="W288" s="589"/>
      <c r="X288" s="589"/>
      <c r="Y288" s="589"/>
      <c r="Z288" s="589"/>
      <c r="AA288" s="589"/>
      <c r="AB288" s="589"/>
      <c r="AC288" s="589"/>
      <c r="AD288" s="589"/>
      <c r="AE288" s="589"/>
      <c r="AF288" s="589"/>
      <c r="AG288" s="589"/>
      <c r="AH288" s="589"/>
      <c r="AI288" s="589"/>
      <c r="AJ288" s="589"/>
      <c r="AK288" s="589"/>
      <c r="AL288" s="589"/>
      <c r="AM288" s="589"/>
      <c r="AN288" s="589"/>
      <c r="AO288" s="589"/>
      <c r="AP288" s="589"/>
      <c r="AQ288" s="589"/>
      <c r="AR288" s="589"/>
      <c r="AS288" s="589"/>
    </row>
    <row r="289" spans="2:46" ht="13.5" thickTop="1" x14ac:dyDescent="0.4">
      <c r="B289" s="278"/>
      <c r="C289" s="350"/>
      <c r="AL289" s="630"/>
      <c r="AM289" s="708"/>
      <c r="AN289" s="630"/>
      <c r="AO289" s="630"/>
      <c r="AP289" s="630"/>
      <c r="AQ289" s="630"/>
      <c r="AR289" s="630"/>
      <c r="AS289" s="630"/>
    </row>
    <row r="290" spans="2:46" ht="13.5" x14ac:dyDescent="0.4">
      <c r="B290" s="253" t="s">
        <v>405</v>
      </c>
      <c r="C290" s="350"/>
      <c r="AF290" s="633"/>
      <c r="AJ290" s="633"/>
      <c r="AN290" s="679"/>
      <c r="AO290" s="679"/>
      <c r="AP290" s="679"/>
      <c r="AQ290" s="679"/>
      <c r="AR290" s="679"/>
      <c r="AS290" s="679"/>
    </row>
    <row r="291" spans="2:46" ht="13.5" thickBot="1" x14ac:dyDescent="0.45">
      <c r="B291" s="352"/>
      <c r="C291" s="262"/>
      <c r="AF291" s="632"/>
      <c r="AJ291" s="632"/>
      <c r="AN291" s="630"/>
      <c r="AR291" s="630"/>
    </row>
    <row r="292" spans="2:46" ht="13.5" x14ac:dyDescent="0.4">
      <c r="B292" s="278"/>
      <c r="C292" s="354" t="s">
        <v>406</v>
      </c>
      <c r="D292" s="639">
        <v>0</v>
      </c>
      <c r="E292" s="639">
        <v>0</v>
      </c>
      <c r="F292" s="639">
        <v>0</v>
      </c>
      <c r="G292" s="639">
        <v>0</v>
      </c>
      <c r="H292" s="639">
        <v>0</v>
      </c>
      <c r="I292" s="639">
        <v>0</v>
      </c>
      <c r="J292" s="639">
        <v>71220</v>
      </c>
      <c r="K292" s="639">
        <v>0</v>
      </c>
      <c r="L292" s="639">
        <v>60844</v>
      </c>
      <c r="M292" s="639">
        <v>0</v>
      </c>
      <c r="N292" s="639">
        <v>49250</v>
      </c>
      <c r="O292" s="639">
        <v>0</v>
      </c>
      <c r="P292" s="639">
        <v>37102</v>
      </c>
      <c r="Q292" s="639">
        <v>0</v>
      </c>
      <c r="R292" s="639">
        <v>43259</v>
      </c>
      <c r="S292" s="639">
        <v>0</v>
      </c>
      <c r="T292" s="639">
        <v>37950</v>
      </c>
      <c r="U292" s="639">
        <v>0</v>
      </c>
      <c r="V292" s="639">
        <v>48786</v>
      </c>
      <c r="W292" s="639">
        <v>0</v>
      </c>
      <c r="X292" s="639">
        <v>49790</v>
      </c>
      <c r="Y292" s="639">
        <v>0</v>
      </c>
      <c r="Z292" s="639">
        <v>79568</v>
      </c>
      <c r="AA292" s="639">
        <v>0</v>
      </c>
      <c r="AB292" s="639">
        <v>63567</v>
      </c>
      <c r="AC292" s="639">
        <v>0</v>
      </c>
      <c r="AD292" s="639">
        <v>77266</v>
      </c>
      <c r="AE292" s="639">
        <v>0</v>
      </c>
      <c r="AF292" s="639">
        <v>53868</v>
      </c>
      <c r="AG292" s="639">
        <v>0</v>
      </c>
      <c r="AH292" s="639">
        <v>83327</v>
      </c>
      <c r="AI292" s="639">
        <v>0</v>
      </c>
      <c r="AJ292" s="639">
        <v>95410</v>
      </c>
      <c r="AK292" s="639">
        <v>0</v>
      </c>
      <c r="AL292" s="639">
        <v>134433</v>
      </c>
      <c r="AM292" s="639">
        <v>0</v>
      </c>
      <c r="AN292" s="639">
        <v>169902</v>
      </c>
      <c r="AO292" s="639">
        <v>0</v>
      </c>
      <c r="AP292" s="639">
        <v>184570</v>
      </c>
      <c r="AQ292" s="639">
        <v>0</v>
      </c>
      <c r="AR292" s="639">
        <v>151115</v>
      </c>
      <c r="AS292" s="639">
        <v>0</v>
      </c>
      <c r="AT292" s="639">
        <v>112250</v>
      </c>
    </row>
    <row r="293" spans="2:46" ht="13.5" x14ac:dyDescent="0.4">
      <c r="B293" s="278"/>
      <c r="C293" s="354" t="s">
        <v>407</v>
      </c>
      <c r="D293" s="641">
        <v>0</v>
      </c>
      <c r="E293" s="641">
        <v>0</v>
      </c>
      <c r="F293" s="641">
        <v>0</v>
      </c>
      <c r="G293" s="641">
        <v>0</v>
      </c>
      <c r="H293" s="641">
        <v>0</v>
      </c>
      <c r="I293" s="641">
        <v>0</v>
      </c>
      <c r="J293" s="641">
        <v>11957</v>
      </c>
      <c r="K293" s="641">
        <v>0</v>
      </c>
      <c r="L293" s="641">
        <v>17718</v>
      </c>
      <c r="M293" s="641">
        <v>0</v>
      </c>
      <c r="N293" s="641">
        <v>23694</v>
      </c>
      <c r="O293" s="641">
        <v>0</v>
      </c>
      <c r="P293" s="641">
        <v>15265</v>
      </c>
      <c r="Q293" s="641">
        <v>0</v>
      </c>
      <c r="R293" s="641">
        <v>9580</v>
      </c>
      <c r="S293" s="641">
        <v>0</v>
      </c>
      <c r="T293" s="641">
        <v>8512</v>
      </c>
      <c r="U293" s="641">
        <v>0</v>
      </c>
      <c r="V293" s="641">
        <v>8557</v>
      </c>
      <c r="W293" s="641">
        <v>0</v>
      </c>
      <c r="X293" s="641">
        <v>11014</v>
      </c>
      <c r="Y293" s="641">
        <v>0</v>
      </c>
      <c r="Z293" s="641">
        <v>17123</v>
      </c>
      <c r="AA293" s="641">
        <v>0</v>
      </c>
      <c r="AB293" s="641">
        <v>21388</v>
      </c>
      <c r="AC293" s="641">
        <v>0</v>
      </c>
      <c r="AD293" s="641">
        <v>27612</v>
      </c>
      <c r="AE293" s="641">
        <v>0</v>
      </c>
      <c r="AF293" s="641">
        <v>36230</v>
      </c>
      <c r="AG293" s="641">
        <v>0</v>
      </c>
      <c r="AH293" s="641">
        <v>49936</v>
      </c>
      <c r="AI293" s="641">
        <v>0</v>
      </c>
      <c r="AJ293" s="641">
        <v>65134</v>
      </c>
      <c r="AK293" s="641">
        <v>0</v>
      </c>
      <c r="AL293" s="641">
        <v>95266</v>
      </c>
      <c r="AM293" s="641">
        <v>0</v>
      </c>
      <c r="AN293" s="641">
        <v>84808</v>
      </c>
      <c r="AO293" s="641">
        <v>0</v>
      </c>
      <c r="AP293" s="641">
        <v>89211</v>
      </c>
      <c r="AQ293" s="641">
        <v>0</v>
      </c>
      <c r="AR293" s="641">
        <v>75550</v>
      </c>
      <c r="AS293" s="641">
        <v>0</v>
      </c>
      <c r="AT293" s="641">
        <v>67339</v>
      </c>
    </row>
    <row r="294" spans="2:46" ht="13.5" x14ac:dyDescent="0.4">
      <c r="B294" s="278"/>
      <c r="C294" s="354" t="s">
        <v>408</v>
      </c>
      <c r="D294" s="654">
        <v>0</v>
      </c>
      <c r="E294" s="654">
        <v>0</v>
      </c>
      <c r="F294" s="654">
        <v>0</v>
      </c>
      <c r="G294" s="654">
        <v>0</v>
      </c>
      <c r="H294" s="654">
        <v>0</v>
      </c>
      <c r="I294" s="654">
        <v>0</v>
      </c>
      <c r="J294" s="654">
        <v>35211</v>
      </c>
      <c r="K294" s="654">
        <v>0</v>
      </c>
      <c r="L294" s="654">
        <v>25836</v>
      </c>
      <c r="M294" s="654">
        <v>0</v>
      </c>
      <c r="N294" s="654">
        <v>21182</v>
      </c>
      <c r="O294" s="654">
        <v>0</v>
      </c>
      <c r="P294" s="654">
        <v>22760</v>
      </c>
      <c r="Q294" s="654">
        <v>0</v>
      </c>
      <c r="R294" s="654">
        <v>24876</v>
      </c>
      <c r="S294" s="654">
        <v>0</v>
      </c>
      <c r="T294" s="654">
        <v>22487</v>
      </c>
      <c r="U294" s="654">
        <v>0</v>
      </c>
      <c r="V294" s="654">
        <v>19714</v>
      </c>
      <c r="W294" s="654">
        <v>0</v>
      </c>
      <c r="X294" s="654">
        <v>15020</v>
      </c>
      <c r="Y294" s="654">
        <v>0</v>
      </c>
      <c r="Z294" s="654">
        <v>12851</v>
      </c>
      <c r="AA294" s="654">
        <v>0</v>
      </c>
      <c r="AB294" s="654">
        <v>12698</v>
      </c>
      <c r="AC294" s="654">
        <v>0</v>
      </c>
      <c r="AD294" s="654">
        <v>16032</v>
      </c>
      <c r="AE294" s="654">
        <v>0</v>
      </c>
      <c r="AF294" s="654">
        <v>20848</v>
      </c>
      <c r="AG294" s="654">
        <v>0</v>
      </c>
      <c r="AH294" s="654">
        <v>26012</v>
      </c>
      <c r="AI294" s="654">
        <v>0</v>
      </c>
      <c r="AJ294" s="654">
        <v>35152</v>
      </c>
      <c r="AK294" s="654">
        <v>0</v>
      </c>
      <c r="AL294" s="654">
        <v>44281</v>
      </c>
      <c r="AM294" s="654">
        <v>0</v>
      </c>
      <c r="AN294" s="654">
        <v>62783</v>
      </c>
      <c r="AO294" s="654">
        <v>0</v>
      </c>
      <c r="AP294" s="654">
        <v>84973</v>
      </c>
      <c r="AQ294" s="654">
        <v>0</v>
      </c>
      <c r="AR294" s="654">
        <v>101916</v>
      </c>
      <c r="AS294" s="654">
        <v>0</v>
      </c>
      <c r="AT294" s="654">
        <v>107923</v>
      </c>
    </row>
    <row r="295" spans="2:46" ht="13.5" x14ac:dyDescent="0.4">
      <c r="B295" s="278"/>
      <c r="C295" s="354" t="s">
        <v>409</v>
      </c>
      <c r="D295" s="641">
        <v>0</v>
      </c>
      <c r="E295" s="641">
        <v>0</v>
      </c>
      <c r="F295" s="641">
        <v>0</v>
      </c>
      <c r="G295" s="641">
        <v>0</v>
      </c>
      <c r="H295" s="641">
        <v>0</v>
      </c>
      <c r="I295" s="641">
        <v>0</v>
      </c>
      <c r="J295" s="641">
        <v>44315</v>
      </c>
      <c r="K295" s="641">
        <v>0</v>
      </c>
      <c r="L295" s="641">
        <v>44326</v>
      </c>
      <c r="M295" s="641">
        <v>0</v>
      </c>
      <c r="N295" s="641">
        <v>41509</v>
      </c>
      <c r="O295" s="641">
        <v>0</v>
      </c>
      <c r="P295" s="641">
        <v>39063</v>
      </c>
      <c r="Q295" s="641">
        <v>0</v>
      </c>
      <c r="R295" s="641">
        <v>37764</v>
      </c>
      <c r="S295" s="641">
        <v>0</v>
      </c>
      <c r="T295" s="641">
        <v>33349</v>
      </c>
      <c r="U295" s="641">
        <v>0</v>
      </c>
      <c r="V295" s="641">
        <v>31093</v>
      </c>
      <c r="W295" s="641">
        <v>0</v>
      </c>
      <c r="X295" s="641">
        <v>31981</v>
      </c>
      <c r="Y295" s="641">
        <v>0</v>
      </c>
      <c r="Z295" s="641">
        <v>32076</v>
      </c>
      <c r="AA295" s="641">
        <v>0</v>
      </c>
      <c r="AB295" s="641">
        <v>28009</v>
      </c>
      <c r="AC295" s="641">
        <v>0</v>
      </c>
      <c r="AD295" s="641">
        <v>25571</v>
      </c>
      <c r="AE295" s="641">
        <v>0</v>
      </c>
      <c r="AF295" s="641">
        <v>22685</v>
      </c>
      <c r="AG295" s="641">
        <v>0</v>
      </c>
      <c r="AH295" s="641">
        <v>19432</v>
      </c>
      <c r="AI295" s="641">
        <v>0</v>
      </c>
      <c r="AJ295" s="641">
        <v>14882</v>
      </c>
      <c r="AK295" s="641">
        <v>0</v>
      </c>
      <c r="AL295" s="641">
        <v>15294</v>
      </c>
      <c r="AM295" s="641">
        <v>0</v>
      </c>
      <c r="AN295" s="641">
        <v>15205</v>
      </c>
      <c r="AO295" s="641">
        <v>0</v>
      </c>
      <c r="AP295" s="641">
        <v>15714</v>
      </c>
      <c r="AQ295" s="641">
        <v>0</v>
      </c>
      <c r="AR295" s="641">
        <v>17546</v>
      </c>
      <c r="AS295" s="641">
        <v>0</v>
      </c>
      <c r="AT295" s="641">
        <v>21104</v>
      </c>
    </row>
    <row r="296" spans="2:46" ht="13.5" thickBot="1" x14ac:dyDescent="0.45">
      <c r="B296" s="263"/>
      <c r="C296" s="357" t="s">
        <v>410</v>
      </c>
      <c r="D296" s="709">
        <v>0</v>
      </c>
      <c r="E296" s="709">
        <v>0</v>
      </c>
      <c r="F296" s="709">
        <v>0</v>
      </c>
      <c r="G296" s="709">
        <v>0</v>
      </c>
      <c r="H296" s="709">
        <v>0</v>
      </c>
      <c r="I296" s="709">
        <v>0</v>
      </c>
      <c r="J296" s="709">
        <v>162703</v>
      </c>
      <c r="K296" s="709">
        <v>0</v>
      </c>
      <c r="L296" s="709">
        <v>148724</v>
      </c>
      <c r="M296" s="709">
        <v>0</v>
      </c>
      <c r="N296" s="709">
        <v>135635</v>
      </c>
      <c r="O296" s="709">
        <v>0</v>
      </c>
      <c r="P296" s="709">
        <v>114190</v>
      </c>
      <c r="Q296" s="709">
        <v>0</v>
      </c>
      <c r="R296" s="709">
        <v>115479</v>
      </c>
      <c r="S296" s="709">
        <v>0</v>
      </c>
      <c r="T296" s="709">
        <v>102298</v>
      </c>
      <c r="U296" s="709">
        <v>0</v>
      </c>
      <c r="V296" s="709">
        <v>108150</v>
      </c>
      <c r="W296" s="709">
        <v>0</v>
      </c>
      <c r="X296" s="709">
        <v>107805</v>
      </c>
      <c r="Y296" s="709">
        <v>0</v>
      </c>
      <c r="Z296" s="709">
        <v>141618</v>
      </c>
      <c r="AA296" s="709">
        <v>0</v>
      </c>
      <c r="AB296" s="709">
        <v>125662</v>
      </c>
      <c r="AC296" s="709">
        <v>0</v>
      </c>
      <c r="AD296" s="709">
        <v>146481</v>
      </c>
      <c r="AE296" s="709">
        <v>0</v>
      </c>
      <c r="AF296" s="709">
        <v>133631</v>
      </c>
      <c r="AG296" s="709">
        <v>0</v>
      </c>
      <c r="AH296" s="709">
        <v>178707</v>
      </c>
      <c r="AI296" s="709">
        <v>0</v>
      </c>
      <c r="AJ296" s="709">
        <v>210578</v>
      </c>
      <c r="AK296" s="709">
        <v>0</v>
      </c>
      <c r="AL296" s="709">
        <v>289274</v>
      </c>
      <c r="AM296" s="709">
        <v>0</v>
      </c>
      <c r="AN296" s="709">
        <v>332698</v>
      </c>
      <c r="AO296" s="709">
        <v>0</v>
      </c>
      <c r="AP296" s="709">
        <v>374468</v>
      </c>
      <c r="AQ296" s="709">
        <v>0</v>
      </c>
      <c r="AR296" s="709">
        <v>346127</v>
      </c>
      <c r="AS296" s="709">
        <v>0</v>
      </c>
      <c r="AT296" s="709">
        <v>308616</v>
      </c>
    </row>
    <row r="297" spans="2:46" s="429" customFormat="1" ht="13.5" thickBot="1" x14ac:dyDescent="0.45">
      <c r="B297" s="580"/>
      <c r="C297" s="591"/>
      <c r="D297" s="1046">
        <v>0</v>
      </c>
      <c r="E297" s="1046">
        <v>0</v>
      </c>
      <c r="F297" s="1046">
        <v>0</v>
      </c>
      <c r="G297" s="1046">
        <v>0</v>
      </c>
      <c r="H297" s="1046">
        <v>0</v>
      </c>
      <c r="I297" s="1046">
        <v>0</v>
      </c>
      <c r="J297" s="1046">
        <v>0</v>
      </c>
      <c r="K297" s="1046">
        <v>0</v>
      </c>
      <c r="L297" s="1046">
        <v>0</v>
      </c>
      <c r="M297" s="1046">
        <v>0</v>
      </c>
      <c r="N297" s="1046">
        <v>0</v>
      </c>
      <c r="O297" s="1046">
        <v>0</v>
      </c>
      <c r="P297" s="1046">
        <v>0</v>
      </c>
      <c r="Q297" s="1046">
        <v>0</v>
      </c>
      <c r="R297" s="1046">
        <v>0</v>
      </c>
      <c r="S297" s="1046">
        <v>0</v>
      </c>
      <c r="T297" s="1046">
        <v>0</v>
      </c>
      <c r="U297" s="1046">
        <v>0</v>
      </c>
      <c r="V297" s="1046">
        <v>0</v>
      </c>
      <c r="W297" s="1046">
        <v>0</v>
      </c>
      <c r="X297" s="1046">
        <v>0</v>
      </c>
      <c r="Y297" s="1046">
        <v>0</v>
      </c>
      <c r="Z297" s="1046">
        <v>0</v>
      </c>
      <c r="AA297" s="1046">
        <v>0</v>
      </c>
      <c r="AB297" s="1046">
        <v>0</v>
      </c>
      <c r="AC297" s="1046">
        <v>0</v>
      </c>
      <c r="AD297" s="1046">
        <v>0</v>
      </c>
      <c r="AE297" s="1046">
        <v>0</v>
      </c>
      <c r="AF297" s="1046">
        <v>0</v>
      </c>
      <c r="AG297" s="1046">
        <v>0</v>
      </c>
      <c r="AH297" s="1046">
        <v>0</v>
      </c>
      <c r="AI297" s="1046">
        <v>0</v>
      </c>
      <c r="AJ297" s="1046">
        <v>0</v>
      </c>
      <c r="AK297" s="1046">
        <v>0</v>
      </c>
      <c r="AL297" s="1046">
        <v>0</v>
      </c>
      <c r="AM297" s="1046">
        <v>0</v>
      </c>
      <c r="AN297" s="1046">
        <v>0</v>
      </c>
      <c r="AO297" s="1046">
        <v>0</v>
      </c>
      <c r="AP297" s="1046">
        <v>0</v>
      </c>
      <c r="AQ297" s="1046">
        <v>0</v>
      </c>
      <c r="AR297" s="1046">
        <v>0</v>
      </c>
      <c r="AS297" s="1046">
        <v>0</v>
      </c>
      <c r="AT297" s="1046">
        <v>0</v>
      </c>
    </row>
    <row r="298" spans="2:46" ht="13.5" thickTop="1" x14ac:dyDescent="0.4">
      <c r="B298" s="278"/>
      <c r="C298" s="350"/>
      <c r="AL298" s="708"/>
      <c r="AN298" s="710"/>
      <c r="AP298" s="708"/>
      <c r="AR298" s="710"/>
    </row>
    <row r="299" spans="2:46" ht="13.9" thickBot="1" x14ac:dyDescent="0.45">
      <c r="B299" s="263" t="s">
        <v>411</v>
      </c>
    </row>
    <row r="300" spans="2:46" x14ac:dyDescent="0.4">
      <c r="B300" s="278"/>
      <c r="C300" s="359" t="s">
        <v>412</v>
      </c>
      <c r="E300" s="711"/>
      <c r="F300" s="711"/>
      <c r="G300" s="711"/>
      <c r="H300" s="711"/>
      <c r="I300" s="711"/>
      <c r="J300" s="711"/>
      <c r="K300" s="711"/>
      <c r="L300" s="711"/>
      <c r="M300" s="711"/>
      <c r="N300" s="711"/>
      <c r="O300" s="711"/>
      <c r="P300" s="711"/>
      <c r="Q300" s="711"/>
      <c r="R300" s="711"/>
      <c r="S300" s="711"/>
      <c r="T300" s="711"/>
      <c r="U300" s="711"/>
      <c r="V300" s="711"/>
      <c r="W300" s="711"/>
      <c r="X300" s="711"/>
      <c r="Y300" s="711"/>
      <c r="Z300" s="711"/>
      <c r="AA300" s="711"/>
      <c r="AB300" s="639">
        <v>83564.608258342007</v>
      </c>
      <c r="AC300" s="711"/>
      <c r="AD300" s="711"/>
      <c r="AE300" s="711"/>
      <c r="AF300" s="639">
        <v>91959.637087421186</v>
      </c>
      <c r="AG300" s="711"/>
      <c r="AH300" s="711"/>
      <c r="AI300" s="711"/>
      <c r="AJ300" s="639">
        <v>91026.158060530579</v>
      </c>
      <c r="AK300" s="639"/>
      <c r="AL300" s="639"/>
      <c r="AM300" s="639"/>
      <c r="AN300" s="639">
        <v>83149.579778863699</v>
      </c>
      <c r="AO300" s="639"/>
      <c r="AP300" s="639"/>
      <c r="AQ300" s="639"/>
      <c r="AR300" s="639">
        <v>83505.986035952694</v>
      </c>
      <c r="AS300" s="711"/>
      <c r="AT300" s="711"/>
    </row>
    <row r="301" spans="2:46" ht="13.9" thickBot="1" x14ac:dyDescent="0.45">
      <c r="C301" s="252" t="s">
        <v>413</v>
      </c>
      <c r="D301" s="712"/>
      <c r="E301" s="712"/>
      <c r="F301" s="712"/>
      <c r="G301" s="712"/>
      <c r="H301" s="712"/>
      <c r="I301" s="712"/>
      <c r="J301" s="712"/>
      <c r="K301" s="712"/>
      <c r="L301" s="712"/>
      <c r="M301" s="712"/>
      <c r="N301" s="712"/>
      <c r="O301" s="712"/>
      <c r="P301" s="712"/>
      <c r="Q301" s="712"/>
      <c r="R301" s="712"/>
      <c r="S301" s="712"/>
      <c r="T301" s="712"/>
      <c r="U301" s="712"/>
      <c r="V301" s="712"/>
      <c r="W301" s="712"/>
      <c r="X301" s="712"/>
      <c r="Y301" s="712"/>
      <c r="Z301" s="712"/>
      <c r="AA301" s="712"/>
      <c r="AB301" s="713">
        <v>0.23900000000000002</v>
      </c>
      <c r="AC301" s="712"/>
      <c r="AD301" s="712"/>
      <c r="AE301" s="712"/>
      <c r="AF301" s="713">
        <v>0.26169999999999999</v>
      </c>
      <c r="AG301" s="712"/>
      <c r="AH301" s="712"/>
      <c r="AI301" s="712"/>
      <c r="AJ301" s="713">
        <v>0.25539999999999996</v>
      </c>
      <c r="AK301" s="713"/>
      <c r="AL301" s="713"/>
      <c r="AM301" s="713"/>
      <c r="AN301" s="713">
        <v>0.23330000000000001</v>
      </c>
      <c r="AO301" s="713"/>
      <c r="AP301" s="713"/>
      <c r="AQ301" s="713"/>
      <c r="AR301" s="713">
        <v>0.23430000000000001</v>
      </c>
      <c r="AS301" s="712"/>
      <c r="AT301" s="712"/>
    </row>
    <row r="302" spans="2:46" s="429" customFormat="1" ht="13.5" thickBot="1" x14ac:dyDescent="0.45">
      <c r="D302" s="649"/>
      <c r="E302" s="649"/>
      <c r="F302" s="649"/>
      <c r="G302" s="649"/>
      <c r="H302" s="649"/>
      <c r="I302" s="649"/>
      <c r="J302" s="649"/>
      <c r="K302" s="649"/>
      <c r="L302" s="649"/>
      <c r="M302" s="649"/>
      <c r="N302" s="649"/>
      <c r="O302" s="649"/>
      <c r="P302" s="649"/>
      <c r="Q302" s="649"/>
      <c r="R302" s="649"/>
      <c r="S302" s="649"/>
      <c r="T302" s="649"/>
      <c r="U302" s="649"/>
      <c r="V302" s="649"/>
      <c r="W302" s="649"/>
      <c r="X302" s="649"/>
      <c r="Y302" s="649"/>
      <c r="Z302" s="649"/>
      <c r="AA302" s="649"/>
      <c r="AB302" s="649"/>
      <c r="AC302" s="649"/>
      <c r="AD302" s="649"/>
      <c r="AE302" s="649"/>
      <c r="AF302" s="649"/>
      <c r="AG302" s="649"/>
      <c r="AH302" s="649"/>
      <c r="AI302" s="649"/>
      <c r="AJ302" s="649"/>
      <c r="AK302" s="649"/>
      <c r="AL302" s="649"/>
      <c r="AM302" s="649"/>
      <c r="AN302" s="649"/>
      <c r="AO302" s="649"/>
      <c r="AP302" s="649"/>
      <c r="AQ302" s="649"/>
      <c r="AR302" s="649"/>
      <c r="AS302" s="649"/>
      <c r="AT302" s="649"/>
    </row>
    <row r="303" spans="2:46" ht="13.5" thickTop="1" x14ac:dyDescent="0.4"/>
    <row r="304" spans="2:46" ht="13.9" thickBot="1" x14ac:dyDescent="0.45">
      <c r="B304" s="253" t="s">
        <v>882</v>
      </c>
    </row>
    <row r="305" spans="2:46" x14ac:dyDescent="0.4">
      <c r="B305" s="278"/>
      <c r="C305" s="359" t="s">
        <v>883</v>
      </c>
      <c r="D305" s="714">
        <v>0.505</v>
      </c>
      <c r="E305" s="714">
        <v>0</v>
      </c>
      <c r="F305" s="714">
        <v>0.53</v>
      </c>
      <c r="G305" s="714">
        <v>0</v>
      </c>
      <c r="H305" s="714">
        <v>0.56299999999999994</v>
      </c>
      <c r="I305" s="714">
        <v>0</v>
      </c>
      <c r="J305" s="714">
        <v>0.58599999999999997</v>
      </c>
      <c r="K305" s="714">
        <v>0.56679999999999997</v>
      </c>
      <c r="L305" s="714">
        <v>0.56399999999999995</v>
      </c>
      <c r="M305" s="714">
        <v>0.57600000000000007</v>
      </c>
      <c r="N305" s="714">
        <v>0.57600000000000007</v>
      </c>
      <c r="O305" s="714">
        <v>0.5786</v>
      </c>
      <c r="P305" s="714">
        <v>0.59499999999999997</v>
      </c>
      <c r="Q305" s="714">
        <v>0.59360000000000002</v>
      </c>
      <c r="R305" s="714">
        <v>0.59499999999999997</v>
      </c>
      <c r="S305" s="714">
        <v>0.59150000000000003</v>
      </c>
      <c r="T305" s="714">
        <v>0.62</v>
      </c>
      <c r="U305" s="714">
        <v>0.6099</v>
      </c>
      <c r="V305" s="714">
        <v>0.61199999999999999</v>
      </c>
      <c r="W305" s="714">
        <v>0.62659999999999993</v>
      </c>
      <c r="X305" s="714">
        <v>0.63500000000000001</v>
      </c>
      <c r="Y305" s="714">
        <v>0.6371</v>
      </c>
      <c r="Z305" s="714">
        <v>0.63100000000000001</v>
      </c>
      <c r="AA305" s="714">
        <v>0.63200000000000001</v>
      </c>
      <c r="AB305" s="714">
        <v>0.6409999999999999</v>
      </c>
      <c r="AC305" s="714">
        <v>0.64200000000000002</v>
      </c>
      <c r="AD305" s="714">
        <v>0.64800000000000002</v>
      </c>
      <c r="AE305" s="714">
        <v>0.65200000000000002</v>
      </c>
      <c r="AF305" s="714">
        <v>0.66599999999999993</v>
      </c>
      <c r="AG305" s="714">
        <v>0.67299999999999993</v>
      </c>
      <c r="AH305" s="714">
        <v>0.66299999999999992</v>
      </c>
      <c r="AI305" s="714">
        <v>0.68099999999999994</v>
      </c>
      <c r="AJ305" s="714">
        <v>0.68400000000000005</v>
      </c>
      <c r="AK305" s="714">
        <v>0.68590000000000007</v>
      </c>
      <c r="AL305" s="714">
        <v>0.68900000000000006</v>
      </c>
      <c r="AM305" s="714">
        <v>0.69440000000000002</v>
      </c>
      <c r="AN305" s="714">
        <v>0.71400000000000008</v>
      </c>
      <c r="AO305" s="714">
        <v>0.7245950000000001</v>
      </c>
      <c r="AP305" s="714">
        <v>0.70799999999999996</v>
      </c>
      <c r="AQ305" s="714">
        <v>0.72738000000000003</v>
      </c>
      <c r="AR305" s="714">
        <v>0.70900000000000007</v>
      </c>
      <c r="AS305" s="714">
        <v>0.73107699999999998</v>
      </c>
      <c r="AT305" s="714">
        <v>0.70099999999999996</v>
      </c>
    </row>
    <row r="308" spans="2:46" s="429" customFormat="1" ht="13.5" thickBot="1" x14ac:dyDescent="0.45">
      <c r="D308" s="649"/>
      <c r="E308" s="649"/>
      <c r="F308" s="649"/>
      <c r="G308" s="649"/>
      <c r="H308" s="649"/>
      <c r="I308" s="649"/>
      <c r="J308" s="649"/>
      <c r="K308" s="649"/>
      <c r="L308" s="649"/>
      <c r="M308" s="649"/>
      <c r="N308" s="649"/>
      <c r="O308" s="649"/>
      <c r="P308" s="649"/>
      <c r="Q308" s="649"/>
      <c r="R308" s="649"/>
      <c r="S308" s="649"/>
      <c r="T308" s="649"/>
      <c r="U308" s="649"/>
      <c r="V308" s="649"/>
      <c r="W308" s="649"/>
      <c r="X308" s="649"/>
      <c r="Y308" s="649"/>
      <c r="Z308" s="649"/>
      <c r="AA308" s="649"/>
      <c r="AB308" s="649"/>
      <c r="AC308" s="649"/>
      <c r="AD308" s="649"/>
      <c r="AE308" s="649"/>
      <c r="AF308" s="649"/>
      <c r="AG308" s="649"/>
      <c r="AH308" s="649"/>
      <c r="AI308" s="649"/>
      <c r="AJ308" s="649"/>
      <c r="AK308" s="649"/>
      <c r="AL308" s="649"/>
      <c r="AM308" s="649"/>
      <c r="AN308" s="649"/>
      <c r="AO308" s="649"/>
      <c r="AP308" s="649"/>
      <c r="AQ308" s="649"/>
      <c r="AR308" s="649"/>
      <c r="AS308" s="649"/>
      <c r="AT308" s="649"/>
    </row>
    <row r="309" spans="2:46" ht="13.5" thickTop="1" x14ac:dyDescent="0.4"/>
    <row r="310" spans="2:46" ht="13.5" x14ac:dyDescent="0.4">
      <c r="B310" s="212" t="s">
        <v>614</v>
      </c>
      <c r="C310" s="364"/>
      <c r="D310" s="603"/>
      <c r="E310" s="603"/>
      <c r="F310" s="603"/>
      <c r="G310" s="603"/>
      <c r="H310" s="603"/>
      <c r="I310" s="603"/>
      <c r="J310" s="603"/>
    </row>
    <row r="311" spans="2:46" x14ac:dyDescent="0.4">
      <c r="C311" s="366" t="s">
        <v>615</v>
      </c>
      <c r="D311" s="716">
        <v>40908</v>
      </c>
      <c r="E311" s="717">
        <v>41274</v>
      </c>
      <c r="F311" s="717">
        <v>41639</v>
      </c>
      <c r="G311" s="717">
        <v>42004</v>
      </c>
      <c r="H311" s="717">
        <v>42369</v>
      </c>
      <c r="I311" s="717">
        <v>42551</v>
      </c>
      <c r="J311" s="717">
        <v>42735</v>
      </c>
      <c r="K311" s="717">
        <v>42916</v>
      </c>
    </row>
    <row r="312" spans="2:46" x14ac:dyDescent="0.4">
      <c r="C312" s="366" t="s">
        <v>417</v>
      </c>
      <c r="E312" s="715">
        <v>1948.78</v>
      </c>
      <c r="F312" s="718">
        <v>2204.0300000000002</v>
      </c>
      <c r="G312" s="718">
        <v>2409.59</v>
      </c>
      <c r="H312" s="718">
        <v>2575.81</v>
      </c>
      <c r="I312" s="718">
        <v>2806.54</v>
      </c>
      <c r="J312" s="715">
        <v>2806.54</v>
      </c>
      <c r="K312" s="718">
        <v>2895.12</v>
      </c>
    </row>
    <row r="313" spans="2:46" x14ac:dyDescent="0.4">
      <c r="C313" s="366" t="s">
        <v>616</v>
      </c>
      <c r="E313" s="715">
        <v>325.72000000000003</v>
      </c>
      <c r="F313" s="719">
        <v>380.98</v>
      </c>
      <c r="G313" s="719">
        <v>562.66999999999996</v>
      </c>
      <c r="H313" s="719">
        <v>860.22</v>
      </c>
      <c r="I313" s="719">
        <v>438.91</v>
      </c>
      <c r="J313" s="715">
        <v>861.38</v>
      </c>
      <c r="K313" s="719">
        <v>610.01</v>
      </c>
    </row>
    <row r="314" spans="2:46" x14ac:dyDescent="0.4">
      <c r="C314" s="366" t="s">
        <v>617</v>
      </c>
      <c r="E314" s="715">
        <v>1171.9000000000001</v>
      </c>
      <c r="F314" s="715">
        <v>1438.53</v>
      </c>
      <c r="G314" s="715">
        <v>1939.27</v>
      </c>
      <c r="H314" s="715">
        <v>2261.4</v>
      </c>
      <c r="I314" s="715">
        <v>1375.34</v>
      </c>
      <c r="J314" s="715">
        <v>2625.69</v>
      </c>
      <c r="K314" s="715">
        <v>1587.12</v>
      </c>
    </row>
    <row r="315" spans="2:46" ht="13.5" x14ac:dyDescent="0.4">
      <c r="C315" s="372" t="s">
        <v>884</v>
      </c>
      <c r="E315" s="715"/>
      <c r="F315" s="718"/>
      <c r="G315" s="718"/>
      <c r="H315" s="718"/>
      <c r="I315" s="718"/>
      <c r="J315" s="715"/>
      <c r="K315" s="718"/>
    </row>
    <row r="316" spans="2:46" ht="13.5" x14ac:dyDescent="0.4">
      <c r="C316" s="372" t="s">
        <v>885</v>
      </c>
      <c r="E316" s="715">
        <v>-846.18</v>
      </c>
      <c r="F316" s="718">
        <v>-1057.55</v>
      </c>
      <c r="G316" s="718">
        <v>-1376.6</v>
      </c>
      <c r="H316" s="718">
        <v>-1401.18</v>
      </c>
      <c r="I316" s="718">
        <v>-540.42999999999995</v>
      </c>
      <c r="J316" s="715">
        <v>-1764.31</v>
      </c>
      <c r="K316" s="718">
        <v>-977.11</v>
      </c>
    </row>
    <row r="317" spans="2:46" x14ac:dyDescent="0.4">
      <c r="C317" s="366" t="s">
        <v>618</v>
      </c>
      <c r="E317" s="715">
        <v>-9.44</v>
      </c>
      <c r="F317" s="718">
        <v>-20.190000000000001</v>
      </c>
      <c r="G317" s="718">
        <v>-27.79</v>
      </c>
      <c r="H317" s="718">
        <v>-41.56</v>
      </c>
      <c r="I317" s="718">
        <v>-26.48</v>
      </c>
      <c r="J317" s="715">
        <v>-51.35</v>
      </c>
      <c r="K317" s="718">
        <v>-16.32</v>
      </c>
    </row>
    <row r="318" spans="2:46" x14ac:dyDescent="0.4">
      <c r="C318" s="366" t="s">
        <v>619</v>
      </c>
      <c r="E318" s="715"/>
      <c r="F318" s="718"/>
      <c r="G318" s="718"/>
      <c r="H318" s="718">
        <v>4.1399999999999997</v>
      </c>
      <c r="I318" s="718"/>
      <c r="J318" s="715"/>
      <c r="K318" s="718"/>
    </row>
    <row r="319" spans="2:46" x14ac:dyDescent="0.4">
      <c r="C319" s="366" t="s">
        <v>420</v>
      </c>
      <c r="E319" s="603">
        <v>-75.28</v>
      </c>
      <c r="F319" s="718">
        <v>-165</v>
      </c>
      <c r="G319" s="718">
        <v>-383.64</v>
      </c>
      <c r="H319" s="718">
        <v>-602.96</v>
      </c>
      <c r="I319" s="718">
        <v>-421.48</v>
      </c>
      <c r="J319" s="715">
        <v>-741.44</v>
      </c>
      <c r="K319" s="718">
        <v>-333.42</v>
      </c>
    </row>
    <row r="320" spans="2:46" x14ac:dyDescent="0.4">
      <c r="C320" s="366" t="s">
        <v>620</v>
      </c>
      <c r="E320" s="603">
        <v>8.92</v>
      </c>
      <c r="F320" s="715">
        <v>9.77</v>
      </c>
      <c r="G320" s="718">
        <v>14.98</v>
      </c>
      <c r="H320" s="718">
        <v>10.89</v>
      </c>
      <c r="I320" s="718">
        <v>10.07</v>
      </c>
      <c r="J320" s="603">
        <v>19.989999999999998</v>
      </c>
      <c r="K320" s="718">
        <v>9.74</v>
      </c>
    </row>
    <row r="321" spans="2:46" x14ac:dyDescent="0.4">
      <c r="C321" s="366" t="s">
        <v>621</v>
      </c>
      <c r="E321" s="715">
        <v>5.33</v>
      </c>
      <c r="F321" s="718"/>
      <c r="G321" s="718"/>
      <c r="H321" s="718"/>
      <c r="I321" s="718"/>
      <c r="J321" s="715"/>
      <c r="K321" s="718"/>
    </row>
    <row r="322" spans="2:46" x14ac:dyDescent="0.4">
      <c r="C322" s="366" t="s">
        <v>427</v>
      </c>
      <c r="E322" s="720">
        <v>2204.0300000000002</v>
      </c>
      <c r="F322" s="720">
        <v>2409.59</v>
      </c>
      <c r="G322" s="720">
        <v>2575.81</v>
      </c>
      <c r="H322" s="720">
        <v>2806.54</v>
      </c>
      <c r="I322" s="720">
        <v>2807.56</v>
      </c>
      <c r="J322" s="720">
        <v>2895.12</v>
      </c>
      <c r="K322" s="720">
        <v>3165.13</v>
      </c>
    </row>
    <row r="323" spans="2:46" x14ac:dyDescent="0.4">
      <c r="C323" s="366" t="s">
        <v>428</v>
      </c>
      <c r="D323" s="721">
        <v>730.11</v>
      </c>
      <c r="E323" s="722">
        <v>745.75</v>
      </c>
      <c r="F323" s="722">
        <v>936.89</v>
      </c>
      <c r="G323" s="722">
        <v>1244.97</v>
      </c>
      <c r="H323" s="722">
        <v>1795.18</v>
      </c>
      <c r="I323" s="722">
        <v>1963.03</v>
      </c>
      <c r="J323" s="722">
        <v>2118.0100000000002</v>
      </c>
      <c r="K323" s="722">
        <v>2170.7199999999998</v>
      </c>
    </row>
    <row r="324" spans="2:46" x14ac:dyDescent="0.4">
      <c r="C324" s="364" t="s">
        <v>429</v>
      </c>
      <c r="D324" s="721">
        <v>77888.97</v>
      </c>
      <c r="E324" s="723">
        <v>88036.92</v>
      </c>
      <c r="F324" s="723">
        <v>99223.74</v>
      </c>
      <c r="G324" s="723">
        <v>110263.31</v>
      </c>
      <c r="H324" s="723">
        <v>119334.66</v>
      </c>
      <c r="I324" s="723">
        <v>126773.17</v>
      </c>
      <c r="J324" s="723">
        <v>130568.46</v>
      </c>
      <c r="K324" s="723">
        <v>138659.09</v>
      </c>
    </row>
    <row r="325" spans="2:46" x14ac:dyDescent="0.4">
      <c r="C325" s="366"/>
      <c r="E325" s="603"/>
      <c r="F325" s="715"/>
      <c r="G325" s="715"/>
      <c r="H325" s="715"/>
      <c r="I325" s="715"/>
      <c r="J325" s="724"/>
      <c r="K325" s="715"/>
    </row>
    <row r="326" spans="2:46" x14ac:dyDescent="0.4">
      <c r="C326" s="364"/>
      <c r="D326" s="669" t="s">
        <v>452</v>
      </c>
      <c r="E326" s="725">
        <v>2012</v>
      </c>
      <c r="F326" s="725">
        <v>2013</v>
      </c>
      <c r="G326" s="725">
        <v>2014</v>
      </c>
      <c r="H326" s="725">
        <v>2015</v>
      </c>
      <c r="I326" s="725" t="s">
        <v>214</v>
      </c>
      <c r="J326" s="725">
        <v>2016</v>
      </c>
      <c r="K326" s="725" t="s">
        <v>215</v>
      </c>
    </row>
    <row r="327" spans="2:46" x14ac:dyDescent="0.4">
      <c r="C327" s="364"/>
      <c r="D327" s="626" t="s">
        <v>453</v>
      </c>
      <c r="E327" s="603">
        <v>325.72000000000003</v>
      </c>
      <c r="F327" s="603">
        <v>380.98</v>
      </c>
      <c r="G327" s="603">
        <v>562.66999999999996</v>
      </c>
      <c r="H327" s="603">
        <v>860.22</v>
      </c>
      <c r="I327" s="603">
        <v>438.91</v>
      </c>
      <c r="J327" s="603">
        <v>861.38</v>
      </c>
      <c r="K327" s="603">
        <v>610.01</v>
      </c>
    </row>
    <row r="328" spans="2:46" x14ac:dyDescent="0.4">
      <c r="C328" s="364"/>
      <c r="D328" s="626" t="s">
        <v>454</v>
      </c>
      <c r="E328" s="603">
        <v>-75.28</v>
      </c>
      <c r="F328" s="603">
        <v>-165</v>
      </c>
      <c r="G328" s="603">
        <v>-383.64</v>
      </c>
      <c r="H328" s="603">
        <v>-602.96</v>
      </c>
      <c r="I328" s="603">
        <v>-421.48</v>
      </c>
      <c r="J328" s="603">
        <v>-741.44</v>
      </c>
      <c r="K328" s="603">
        <v>-333.42</v>
      </c>
    </row>
    <row r="329" spans="2:46" x14ac:dyDescent="0.4">
      <c r="C329" s="364"/>
      <c r="D329" s="626" t="s">
        <v>451</v>
      </c>
      <c r="E329" s="603">
        <v>8.92</v>
      </c>
      <c r="F329" s="715">
        <v>9.77</v>
      </c>
      <c r="G329" s="715">
        <v>14.98</v>
      </c>
      <c r="H329" s="715">
        <v>10.89</v>
      </c>
      <c r="I329" s="715">
        <v>10.07</v>
      </c>
      <c r="J329" s="724">
        <v>19.989999999999998</v>
      </c>
      <c r="K329" s="715">
        <v>9.74</v>
      </c>
    </row>
    <row r="330" spans="2:46" x14ac:dyDescent="0.4">
      <c r="C330" s="364"/>
      <c r="E330" s="603"/>
      <c r="F330" s="715"/>
      <c r="G330" s="715"/>
      <c r="H330" s="715"/>
      <c r="I330" s="715"/>
      <c r="J330" s="715"/>
      <c r="K330" s="715"/>
    </row>
    <row r="331" spans="2:46" x14ac:dyDescent="0.4">
      <c r="C331" s="364"/>
      <c r="E331" s="603">
        <v>2012</v>
      </c>
      <c r="F331" s="726">
        <v>2013</v>
      </c>
      <c r="G331" s="726">
        <v>2014</v>
      </c>
      <c r="H331" s="726">
        <v>2015</v>
      </c>
      <c r="I331" s="727" t="s">
        <v>214</v>
      </c>
      <c r="J331" s="618">
        <v>2016</v>
      </c>
      <c r="K331" s="727" t="s">
        <v>215</v>
      </c>
    </row>
    <row r="332" spans="2:46" x14ac:dyDescent="0.4">
      <c r="D332" s="626" t="s">
        <v>455</v>
      </c>
      <c r="E332" s="721">
        <v>90.919999999999987</v>
      </c>
      <c r="F332" s="721">
        <v>356.14</v>
      </c>
      <c r="G332" s="721">
        <v>691.72</v>
      </c>
      <c r="H332" s="721">
        <v>1153.17</v>
      </c>
      <c r="I332" s="721">
        <v>589.32999999999993</v>
      </c>
      <c r="J332" s="721">
        <v>1064.2700000000002</v>
      </c>
      <c r="K332" s="721">
        <v>541.1099999999999</v>
      </c>
    </row>
    <row r="333" spans="2:46" x14ac:dyDescent="0.4">
      <c r="D333" s="626" t="s">
        <v>456</v>
      </c>
      <c r="E333" s="679">
        <v>1.1673026360471833E-3</v>
      </c>
      <c r="F333" s="679">
        <v>4.0453482470763401E-3</v>
      </c>
      <c r="G333" s="679">
        <v>6.9713155339639482E-3</v>
      </c>
      <c r="H333" s="679">
        <v>1.0458329248414546E-2</v>
      </c>
      <c r="I333" s="728" t="e">
        <v>#N/A</v>
      </c>
      <c r="J333" s="679">
        <v>8.9183645388523341E-3</v>
      </c>
      <c r="K333" s="729" t="e">
        <v>#N/A</v>
      </c>
    </row>
    <row r="334" spans="2:46" s="429" customFormat="1" ht="13.5" thickBot="1" x14ac:dyDescent="0.45">
      <c r="D334" s="649"/>
      <c r="E334" s="649"/>
      <c r="F334" s="649"/>
      <c r="G334" s="649"/>
      <c r="H334" s="649"/>
      <c r="I334" s="649"/>
      <c r="J334" s="649"/>
      <c r="K334" s="649"/>
      <c r="L334" s="649"/>
      <c r="M334" s="649"/>
      <c r="N334" s="649"/>
      <c r="O334" s="649"/>
      <c r="P334" s="649"/>
      <c r="Q334" s="649"/>
      <c r="R334" s="649"/>
      <c r="S334" s="649"/>
      <c r="T334" s="649"/>
      <c r="U334" s="649"/>
      <c r="V334" s="649"/>
      <c r="W334" s="649"/>
      <c r="X334" s="649"/>
      <c r="Y334" s="649"/>
      <c r="Z334" s="649"/>
      <c r="AA334" s="649"/>
      <c r="AB334" s="649"/>
      <c r="AC334" s="649"/>
      <c r="AD334" s="649"/>
      <c r="AE334" s="649"/>
      <c r="AF334" s="649"/>
      <c r="AG334" s="649"/>
      <c r="AH334" s="649"/>
      <c r="AI334" s="649"/>
      <c r="AJ334" s="649"/>
      <c r="AK334" s="649"/>
      <c r="AL334" s="649"/>
      <c r="AM334" s="649"/>
      <c r="AN334" s="649"/>
      <c r="AO334" s="649"/>
      <c r="AP334" s="649"/>
      <c r="AQ334" s="649"/>
      <c r="AR334" s="649"/>
      <c r="AS334" s="649"/>
      <c r="AT334" s="649"/>
    </row>
    <row r="335" spans="2:46" ht="13.9" thickTop="1" x14ac:dyDescent="0.4">
      <c r="B335" s="212" t="s">
        <v>622</v>
      </c>
    </row>
    <row r="336" spans="2:46" ht="13.5" thickBot="1" x14ac:dyDescent="0.45"/>
    <row r="337" spans="4:11" ht="13.5" thickBot="1" x14ac:dyDescent="0.45">
      <c r="D337" s="592" t="s">
        <v>457</v>
      </c>
      <c r="E337" s="593">
        <v>42916</v>
      </c>
      <c r="F337" s="593">
        <v>42735</v>
      </c>
      <c r="G337" s="594" t="s">
        <v>458</v>
      </c>
      <c r="H337" s="595"/>
      <c r="I337" s="593">
        <v>42916</v>
      </c>
      <c r="J337" s="593">
        <v>42735</v>
      </c>
      <c r="K337" s="594" t="s">
        <v>458</v>
      </c>
    </row>
    <row r="338" spans="4:11" x14ac:dyDescent="0.4">
      <c r="D338" s="596" t="s">
        <v>15</v>
      </c>
      <c r="E338" s="597">
        <v>5035.4399999999996</v>
      </c>
      <c r="F338" s="597">
        <v>4744.75</v>
      </c>
      <c r="G338" s="597">
        <v>290.68999999999966</v>
      </c>
      <c r="H338" s="596" t="s">
        <v>21</v>
      </c>
      <c r="I338" s="597">
        <v>30904.100000000002</v>
      </c>
      <c r="J338" s="597">
        <v>29731.489999999994</v>
      </c>
      <c r="K338" s="597">
        <v>1172.6100000000017</v>
      </c>
    </row>
    <row r="339" spans="4:11" x14ac:dyDescent="0.4">
      <c r="D339" s="598" t="s">
        <v>459</v>
      </c>
      <c r="E339" s="599">
        <v>219.71</v>
      </c>
      <c r="F339" s="599">
        <v>141.88</v>
      </c>
      <c r="G339" s="600">
        <v>77.830000000000013</v>
      </c>
      <c r="H339" s="598" t="s">
        <v>459</v>
      </c>
      <c r="I339" s="599">
        <v>21285.53</v>
      </c>
      <c r="J339" s="601">
        <v>18979.169999999998</v>
      </c>
      <c r="K339" s="600">
        <v>2306.3600000000006</v>
      </c>
    </row>
    <row r="340" spans="4:11" x14ac:dyDescent="0.4">
      <c r="D340" s="598" t="s">
        <v>1349</v>
      </c>
      <c r="E340" s="599">
        <v>278.68</v>
      </c>
      <c r="F340" s="599">
        <v>151.24</v>
      </c>
      <c r="G340" s="600">
        <v>127.44</v>
      </c>
      <c r="H340" s="598" t="s">
        <v>1349</v>
      </c>
      <c r="I340" s="599">
        <v>8448.6200000000008</v>
      </c>
      <c r="J340" s="601">
        <v>9698.49</v>
      </c>
      <c r="K340" s="600">
        <v>-1249.869999999999</v>
      </c>
    </row>
    <row r="341" spans="4:11" x14ac:dyDescent="0.4">
      <c r="D341" s="598" t="s">
        <v>460</v>
      </c>
      <c r="E341" s="599">
        <v>91.08</v>
      </c>
      <c r="F341" s="599">
        <v>131.5</v>
      </c>
      <c r="G341" s="600">
        <v>-40.42</v>
      </c>
      <c r="H341" s="598" t="s">
        <v>460</v>
      </c>
      <c r="I341" s="599">
        <v>215.79</v>
      </c>
      <c r="J341" s="601">
        <v>222.36</v>
      </c>
      <c r="K341" s="600">
        <v>-6.5700000000000216</v>
      </c>
    </row>
    <row r="342" spans="4:11" x14ac:dyDescent="0.4">
      <c r="D342" s="598" t="s">
        <v>461</v>
      </c>
      <c r="E342" s="599">
        <v>571.31999999999994</v>
      </c>
      <c r="F342" s="599">
        <v>1292.4000000000001</v>
      </c>
      <c r="G342" s="602">
        <v>-721.08000000000015</v>
      </c>
      <c r="H342" s="598" t="s">
        <v>461</v>
      </c>
      <c r="I342" s="599">
        <v>650.57000000000005</v>
      </c>
      <c r="J342" s="601">
        <v>477.92</v>
      </c>
      <c r="K342" s="600">
        <v>172.65000000000003</v>
      </c>
    </row>
    <row r="343" spans="4:11" x14ac:dyDescent="0.4">
      <c r="D343" s="598" t="s">
        <v>462</v>
      </c>
      <c r="E343" s="599">
        <v>700.18000000000006</v>
      </c>
      <c r="F343" s="599">
        <v>524.86</v>
      </c>
      <c r="G343" s="600">
        <v>175.32000000000005</v>
      </c>
      <c r="H343" s="598" t="s">
        <v>462</v>
      </c>
      <c r="I343" s="599">
        <v>303.58999999999997</v>
      </c>
      <c r="J343" s="601">
        <v>353.55</v>
      </c>
      <c r="K343" s="600">
        <v>-49.960000000000036</v>
      </c>
    </row>
    <row r="344" spans="4:11" x14ac:dyDescent="0.4">
      <c r="D344" s="598" t="s">
        <v>1350</v>
      </c>
      <c r="E344" s="599">
        <v>68.02</v>
      </c>
      <c r="F344" s="599">
        <v>60.16</v>
      </c>
      <c r="G344" s="600">
        <v>7.8599999999999994</v>
      </c>
      <c r="H344" s="598"/>
      <c r="I344" s="599"/>
      <c r="J344" s="603"/>
      <c r="K344" s="600"/>
    </row>
    <row r="345" spans="4:11" x14ac:dyDescent="0.4">
      <c r="D345" s="598" t="s">
        <v>1351</v>
      </c>
      <c r="E345" s="599">
        <v>230</v>
      </c>
      <c r="F345" s="599">
        <v>257.06</v>
      </c>
      <c r="G345" s="600">
        <v>-27.060000000000002</v>
      </c>
      <c r="H345" s="598"/>
      <c r="I345" s="599"/>
      <c r="J345" s="603"/>
      <c r="K345" s="600"/>
    </row>
    <row r="346" spans="4:11" ht="13.5" thickBot="1" x14ac:dyDescent="0.45">
      <c r="D346" s="598" t="s">
        <v>1352</v>
      </c>
      <c r="E346" s="599">
        <v>2876.45</v>
      </c>
      <c r="F346" s="599">
        <v>2185.65</v>
      </c>
      <c r="G346" s="600">
        <v>690.79999999999973</v>
      </c>
      <c r="H346" s="604"/>
      <c r="I346" s="605"/>
      <c r="J346" s="605"/>
      <c r="K346" s="606"/>
    </row>
    <row r="347" spans="4:11" x14ac:dyDescent="0.4">
      <c r="D347" s="596" t="s">
        <v>20</v>
      </c>
      <c r="E347" s="607">
        <v>16323.290000000005</v>
      </c>
      <c r="F347" s="607">
        <v>17422.87</v>
      </c>
      <c r="G347" s="608">
        <v>-1099.5799999999995</v>
      </c>
      <c r="H347" s="609" t="s">
        <v>22</v>
      </c>
      <c r="I347" s="597">
        <v>3438.2200000000003</v>
      </c>
      <c r="J347" s="597">
        <v>2913.7</v>
      </c>
      <c r="K347" s="608">
        <v>524.52</v>
      </c>
    </row>
    <row r="348" spans="4:11" x14ac:dyDescent="0.4">
      <c r="D348" s="598" t="s">
        <v>459</v>
      </c>
      <c r="E348" s="599">
        <v>5508.59</v>
      </c>
      <c r="F348" s="599">
        <v>5453.82</v>
      </c>
      <c r="G348" s="600">
        <v>54.770000000000437</v>
      </c>
      <c r="H348" s="603" t="s">
        <v>1353</v>
      </c>
      <c r="I348" s="599">
        <v>942.49</v>
      </c>
      <c r="J348" s="599">
        <v>942.49</v>
      </c>
      <c r="K348" s="600">
        <v>0</v>
      </c>
    </row>
    <row r="349" spans="4:11" x14ac:dyDescent="0.4">
      <c r="D349" s="598" t="s">
        <v>1349</v>
      </c>
      <c r="E349" s="599">
        <v>2883.69</v>
      </c>
      <c r="F349" s="599">
        <v>3344.77</v>
      </c>
      <c r="G349" s="600">
        <v>-461.07999999999993</v>
      </c>
      <c r="H349" s="603" t="s">
        <v>1354</v>
      </c>
      <c r="I349" s="599">
        <v>850</v>
      </c>
      <c r="J349" s="599">
        <v>850</v>
      </c>
      <c r="K349" s="600">
        <v>0</v>
      </c>
    </row>
    <row r="350" spans="4:11" x14ac:dyDescent="0.4">
      <c r="D350" s="598" t="s">
        <v>460</v>
      </c>
      <c r="E350" s="599">
        <v>1390.46</v>
      </c>
      <c r="F350" s="599">
        <v>1414.05</v>
      </c>
      <c r="G350" s="600">
        <v>-23.589999999999918</v>
      </c>
      <c r="H350" s="603" t="s">
        <v>109</v>
      </c>
      <c r="I350" s="599">
        <v>1645.73</v>
      </c>
      <c r="J350" s="599">
        <v>1121.21</v>
      </c>
      <c r="K350" s="600">
        <v>524.52</v>
      </c>
    </row>
    <row r="351" spans="4:11" x14ac:dyDescent="0.4">
      <c r="D351" s="598" t="s">
        <v>461</v>
      </c>
      <c r="E351" s="599">
        <v>3314.88</v>
      </c>
      <c r="F351" s="599">
        <v>3699.38</v>
      </c>
      <c r="G351" s="600">
        <v>-384.5</v>
      </c>
      <c r="H351" s="603"/>
      <c r="I351" s="599"/>
      <c r="J351" s="599"/>
      <c r="K351" s="600"/>
    </row>
    <row r="352" spans="4:11" x14ac:dyDescent="0.4">
      <c r="D352" s="598" t="s">
        <v>462</v>
      </c>
      <c r="E352" s="599">
        <v>3035.61</v>
      </c>
      <c r="F352" s="599">
        <v>3294.28</v>
      </c>
      <c r="G352" s="600">
        <v>-258.67000000000007</v>
      </c>
      <c r="H352" s="598"/>
      <c r="I352" s="599"/>
      <c r="J352" s="599"/>
      <c r="K352" s="600"/>
    </row>
    <row r="353" spans="4:11" x14ac:dyDescent="0.4">
      <c r="D353" s="598" t="s">
        <v>1350</v>
      </c>
      <c r="E353" s="599">
        <v>146.28</v>
      </c>
      <c r="F353" s="610">
        <v>128.53</v>
      </c>
      <c r="G353" s="600">
        <v>17.75</v>
      </c>
      <c r="H353" s="598"/>
      <c r="I353" s="599"/>
      <c r="J353" s="599"/>
      <c r="K353" s="600"/>
    </row>
    <row r="354" spans="4:11" x14ac:dyDescent="0.4">
      <c r="D354" s="598" t="s">
        <v>1351</v>
      </c>
      <c r="E354" s="599">
        <v>43.78</v>
      </c>
      <c r="F354" s="599">
        <v>88.04</v>
      </c>
      <c r="G354" s="600">
        <v>-44.260000000000005</v>
      </c>
      <c r="H354" s="598"/>
      <c r="I354" s="599"/>
      <c r="J354" s="599"/>
      <c r="K354" s="600"/>
    </row>
    <row r="355" spans="4:11" x14ac:dyDescent="0.4">
      <c r="D355" s="598"/>
      <c r="E355" s="599"/>
      <c r="F355" s="599"/>
      <c r="G355" s="600"/>
      <c r="H355" s="603"/>
      <c r="I355" s="603"/>
      <c r="J355" s="603"/>
      <c r="K355" s="600"/>
    </row>
    <row r="356" spans="4:11" ht="13.5" thickBot="1" x14ac:dyDescent="0.45">
      <c r="D356" s="604"/>
      <c r="E356" s="611"/>
      <c r="F356" s="611"/>
      <c r="G356" s="606"/>
      <c r="H356" s="605"/>
      <c r="I356" s="605"/>
      <c r="J356" s="605"/>
      <c r="K356" s="606"/>
    </row>
    <row r="357" spans="4:11" x14ac:dyDescent="0.4">
      <c r="D357" s="603"/>
      <c r="E357" s="603"/>
      <c r="F357" s="603"/>
      <c r="G357" s="603"/>
      <c r="H357" s="603"/>
      <c r="I357" s="603"/>
      <c r="J357" s="603"/>
      <c r="K357" s="603"/>
    </row>
    <row r="358" spans="4:11" ht="13.5" thickBot="1" x14ac:dyDescent="0.45">
      <c r="D358" s="603"/>
      <c r="E358" s="603"/>
      <c r="F358" s="603"/>
      <c r="G358" s="603"/>
      <c r="H358" s="603"/>
      <c r="I358" s="603"/>
      <c r="J358" s="603"/>
      <c r="K358" s="603"/>
    </row>
    <row r="359" spans="4:11" x14ac:dyDescent="0.4">
      <c r="D359" s="612"/>
      <c r="E359" s="613">
        <v>42916</v>
      </c>
      <c r="F359" s="613">
        <v>42735</v>
      </c>
      <c r="G359" s="614" t="s">
        <v>458</v>
      </c>
      <c r="H359" s="603"/>
      <c r="I359" s="603"/>
      <c r="J359" s="603"/>
      <c r="K359" s="603"/>
    </row>
    <row r="360" spans="4:11" x14ac:dyDescent="0.4">
      <c r="D360" s="598" t="s">
        <v>459</v>
      </c>
      <c r="E360" s="615">
        <v>27013.829999999998</v>
      </c>
      <c r="F360" s="615">
        <v>24574.87</v>
      </c>
      <c r="G360" s="602">
        <v>2438.9599999999991</v>
      </c>
      <c r="H360" s="603"/>
      <c r="I360" s="603"/>
      <c r="J360" s="603"/>
      <c r="K360" s="603"/>
    </row>
    <row r="361" spans="4:11" x14ac:dyDescent="0.4">
      <c r="D361" s="598" t="s">
        <v>1354</v>
      </c>
      <c r="E361" s="615">
        <v>850</v>
      </c>
      <c r="F361" s="615">
        <v>850</v>
      </c>
      <c r="G361" s="602">
        <v>0</v>
      </c>
      <c r="H361" s="603"/>
      <c r="I361" s="603"/>
      <c r="J361" s="603"/>
      <c r="K361" s="603"/>
    </row>
    <row r="362" spans="4:11" x14ac:dyDescent="0.4">
      <c r="D362" s="598" t="s">
        <v>1355</v>
      </c>
      <c r="E362" s="615">
        <v>11610.990000000002</v>
      </c>
      <c r="F362" s="615">
        <v>13194.5</v>
      </c>
      <c r="G362" s="602">
        <v>-1583.5099999999984</v>
      </c>
      <c r="H362" s="603"/>
      <c r="I362" s="603"/>
      <c r="J362" s="603"/>
      <c r="K362" s="603"/>
    </row>
    <row r="363" spans="4:11" x14ac:dyDescent="0.4">
      <c r="D363" s="598" t="s">
        <v>460</v>
      </c>
      <c r="E363" s="615">
        <v>1697.33</v>
      </c>
      <c r="F363" s="615">
        <v>1767.9099999999999</v>
      </c>
      <c r="G363" s="602">
        <v>-70.579999999999927</v>
      </c>
      <c r="H363" s="603"/>
      <c r="I363" s="603"/>
      <c r="J363" s="603"/>
      <c r="K363" s="603"/>
    </row>
    <row r="364" spans="4:11" x14ac:dyDescent="0.4">
      <c r="D364" s="598" t="s">
        <v>1356</v>
      </c>
      <c r="E364" s="615">
        <v>4536.7700000000004</v>
      </c>
      <c r="F364" s="615">
        <v>5469.7000000000007</v>
      </c>
      <c r="G364" s="602">
        <v>-932.93000000000029</v>
      </c>
      <c r="H364" s="603"/>
      <c r="I364" s="603"/>
      <c r="J364" s="603"/>
      <c r="K364" s="603"/>
    </row>
    <row r="365" spans="4:11" x14ac:dyDescent="0.4">
      <c r="D365" s="598" t="s">
        <v>1357</v>
      </c>
      <c r="E365" s="615">
        <v>4039.38</v>
      </c>
      <c r="F365" s="615">
        <v>4172.6900000000005</v>
      </c>
      <c r="G365" s="602">
        <v>-133.3100000000004</v>
      </c>
      <c r="H365" s="603"/>
      <c r="I365" s="603"/>
      <c r="J365" s="603"/>
      <c r="K365" s="603"/>
    </row>
    <row r="366" spans="4:11" x14ac:dyDescent="0.4">
      <c r="D366" s="598" t="s">
        <v>1350</v>
      </c>
      <c r="E366" s="616">
        <v>214.3</v>
      </c>
      <c r="F366" s="616">
        <v>188.69</v>
      </c>
      <c r="G366" s="602">
        <v>25.610000000000014</v>
      </c>
      <c r="H366" s="603"/>
      <c r="I366" s="603"/>
      <c r="J366" s="603"/>
      <c r="K366" s="603"/>
    </row>
    <row r="367" spans="4:11" x14ac:dyDescent="0.4">
      <c r="D367" s="598" t="s">
        <v>1351</v>
      </c>
      <c r="E367" s="615">
        <v>1216.27</v>
      </c>
      <c r="F367" s="615">
        <v>1287.5900000000001</v>
      </c>
      <c r="G367" s="602">
        <v>-71.320000000000164</v>
      </c>
      <c r="H367" s="603"/>
      <c r="I367" s="603"/>
      <c r="J367" s="603"/>
      <c r="K367" s="603"/>
    </row>
    <row r="368" spans="4:11" x14ac:dyDescent="0.4">
      <c r="D368" s="598" t="s">
        <v>1352</v>
      </c>
      <c r="E368" s="599">
        <v>4522.18</v>
      </c>
      <c r="F368" s="599">
        <v>3306.86</v>
      </c>
      <c r="G368" s="602">
        <v>1215.3200000000002</v>
      </c>
      <c r="H368" s="603"/>
      <c r="I368" s="603"/>
      <c r="J368" s="603"/>
      <c r="K368" s="603"/>
    </row>
    <row r="369" spans="2:46" ht="13.5" thickBot="1" x14ac:dyDescent="0.45">
      <c r="D369" s="604"/>
      <c r="E369" s="611"/>
      <c r="F369" s="611"/>
      <c r="G369" s="617"/>
      <c r="H369" s="618" t="s">
        <v>463</v>
      </c>
      <c r="I369" s="603"/>
      <c r="J369" s="603"/>
      <c r="K369" s="603"/>
    </row>
    <row r="370" spans="2:46" s="429" customFormat="1" ht="13.5" thickBot="1" x14ac:dyDescent="0.45">
      <c r="D370" s="649"/>
      <c r="E370" s="649"/>
      <c r="F370" s="649"/>
      <c r="G370" s="649"/>
      <c r="H370" s="649"/>
      <c r="I370" s="649"/>
      <c r="J370" s="649"/>
      <c r="K370" s="649"/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9"/>
      <c r="Z370" s="649"/>
      <c r="AA370" s="649"/>
      <c r="AB370" s="649"/>
      <c r="AC370" s="649"/>
      <c r="AD370" s="649"/>
      <c r="AE370" s="649"/>
      <c r="AF370" s="649"/>
      <c r="AG370" s="649"/>
      <c r="AH370" s="649"/>
      <c r="AI370" s="649"/>
      <c r="AJ370" s="649"/>
      <c r="AK370" s="649"/>
      <c r="AL370" s="649"/>
      <c r="AM370" s="649"/>
      <c r="AN370" s="649"/>
      <c r="AO370" s="649"/>
      <c r="AP370" s="649"/>
      <c r="AQ370" s="649"/>
      <c r="AR370" s="649"/>
      <c r="AS370" s="649"/>
      <c r="AT370" s="649"/>
    </row>
    <row r="371" spans="2:46" ht="13.5" thickTop="1" x14ac:dyDescent="0.4"/>
    <row r="372" spans="2:46" ht="13.5" x14ac:dyDescent="0.4">
      <c r="B372" s="183" t="s">
        <v>886</v>
      </c>
    </row>
    <row r="373" spans="2:46" x14ac:dyDescent="0.4">
      <c r="C373" s="737" t="s">
        <v>887</v>
      </c>
      <c r="Z373" s="626">
        <v>265486</v>
      </c>
      <c r="AA373" s="626">
        <v>0</v>
      </c>
      <c r="AB373" s="626">
        <v>536945</v>
      </c>
      <c r="AC373" s="626">
        <v>0</v>
      </c>
      <c r="AD373" s="626">
        <v>298607</v>
      </c>
      <c r="AE373" s="626">
        <v>0</v>
      </c>
      <c r="AF373" s="626">
        <v>589637</v>
      </c>
      <c r="AG373" s="626">
        <v>0</v>
      </c>
      <c r="AH373" s="626">
        <v>328425</v>
      </c>
      <c r="AI373" s="626">
        <v>0</v>
      </c>
      <c r="AJ373" s="626">
        <v>658892</v>
      </c>
      <c r="AK373" s="626">
        <v>0</v>
      </c>
      <c r="AL373" s="626">
        <v>356242</v>
      </c>
      <c r="AM373" s="626">
        <v>0</v>
      </c>
      <c r="AN373" s="626">
        <v>697647</v>
      </c>
      <c r="AO373" s="626">
        <v>0</v>
      </c>
      <c r="AP373" s="626">
        <v>357670</v>
      </c>
      <c r="AQ373" s="626">
        <v>0</v>
      </c>
      <c r="AR373" s="626">
        <v>675891</v>
      </c>
      <c r="AS373" s="626">
        <v>0</v>
      </c>
      <c r="AT373" s="730">
        <v>362151</v>
      </c>
    </row>
    <row r="374" spans="2:46" x14ac:dyDescent="0.4">
      <c r="C374" s="738"/>
      <c r="Z374" s="626">
        <v>0</v>
      </c>
      <c r="AA374" s="626">
        <v>0</v>
      </c>
      <c r="AB374" s="626">
        <v>0</v>
      </c>
      <c r="AC374" s="626">
        <v>0</v>
      </c>
      <c r="AD374" s="626">
        <v>0</v>
      </c>
      <c r="AE374" s="626">
        <v>0</v>
      </c>
      <c r="AF374" s="626">
        <v>0</v>
      </c>
      <c r="AG374" s="626">
        <v>0</v>
      </c>
      <c r="AH374" s="626">
        <v>0</v>
      </c>
      <c r="AI374" s="626">
        <v>0</v>
      </c>
      <c r="AJ374" s="626">
        <v>0</v>
      </c>
      <c r="AK374" s="626">
        <v>0</v>
      </c>
      <c r="AL374" s="626">
        <v>0</v>
      </c>
      <c r="AM374" s="626">
        <v>0</v>
      </c>
      <c r="AN374" s="626">
        <v>0</v>
      </c>
      <c r="AO374" s="626">
        <v>0</v>
      </c>
      <c r="AP374" s="626">
        <v>0</v>
      </c>
      <c r="AQ374" s="626">
        <v>0</v>
      </c>
      <c r="AR374" s="626">
        <v>0</v>
      </c>
      <c r="AS374" s="626">
        <v>0</v>
      </c>
      <c r="AT374" s="626">
        <v>0</v>
      </c>
    </row>
    <row r="375" spans="2:46" x14ac:dyDescent="0.4">
      <c r="C375" s="738" t="s">
        <v>888</v>
      </c>
      <c r="Z375" s="626">
        <v>354522</v>
      </c>
      <c r="AA375" s="626">
        <v>0</v>
      </c>
      <c r="AB375" s="626">
        <v>721439</v>
      </c>
      <c r="AC375" s="626">
        <v>0</v>
      </c>
      <c r="AD375" s="626">
        <v>372507</v>
      </c>
      <c r="AE375" s="626">
        <v>0</v>
      </c>
      <c r="AF375" s="626">
        <v>767111</v>
      </c>
      <c r="AG375" s="626">
        <v>0</v>
      </c>
      <c r="AH375" s="626">
        <v>412613</v>
      </c>
      <c r="AI375" s="626">
        <v>0</v>
      </c>
      <c r="AJ375" s="626">
        <v>849879.00000000012</v>
      </c>
      <c r="AK375" s="626">
        <v>0</v>
      </c>
      <c r="AL375" s="626">
        <v>437295</v>
      </c>
      <c r="AM375" s="626">
        <v>0</v>
      </c>
      <c r="AN375" s="626">
        <v>871779.00000000012</v>
      </c>
      <c r="AO375" s="626">
        <v>0</v>
      </c>
      <c r="AP375" s="626">
        <v>395228</v>
      </c>
      <c r="AQ375" s="626">
        <v>0</v>
      </c>
      <c r="AR375" s="626">
        <v>791480</v>
      </c>
      <c r="AS375" s="626">
        <v>0</v>
      </c>
      <c r="AT375" s="626">
        <v>418353</v>
      </c>
    </row>
    <row r="376" spans="2:46" x14ac:dyDescent="0.4">
      <c r="C376" s="738" t="s">
        <v>889</v>
      </c>
      <c r="Z376" s="626">
        <v>255736</v>
      </c>
      <c r="AA376" s="626">
        <v>0</v>
      </c>
      <c r="AB376" s="626">
        <v>519852.00000000006</v>
      </c>
      <c r="AC376" s="626">
        <v>0</v>
      </c>
      <c r="AD376" s="626">
        <v>266057</v>
      </c>
      <c r="AE376" s="626">
        <v>0</v>
      </c>
      <c r="AF376" s="626">
        <v>548640</v>
      </c>
      <c r="AG376" s="626">
        <v>0</v>
      </c>
      <c r="AH376" s="626">
        <v>297753</v>
      </c>
      <c r="AI376" s="626">
        <v>0</v>
      </c>
      <c r="AJ376" s="626">
        <v>615488</v>
      </c>
      <c r="AK376" s="626">
        <v>0</v>
      </c>
      <c r="AL376" s="626">
        <v>311862</v>
      </c>
      <c r="AM376" s="626">
        <v>0</v>
      </c>
      <c r="AN376" s="626">
        <v>616541</v>
      </c>
      <c r="AO376" s="626">
        <v>0</v>
      </c>
      <c r="AP376" s="626">
        <v>270749</v>
      </c>
      <c r="AQ376" s="626">
        <v>0</v>
      </c>
      <c r="AR376" s="626">
        <v>538219</v>
      </c>
      <c r="AS376" s="626">
        <v>0</v>
      </c>
      <c r="AT376" s="626">
        <v>278043</v>
      </c>
    </row>
    <row r="377" spans="2:46" x14ac:dyDescent="0.4">
      <c r="C377" s="738" t="s">
        <v>890</v>
      </c>
      <c r="Z377" s="626">
        <v>248053.00000000003</v>
      </c>
      <c r="AA377" s="626">
        <v>0</v>
      </c>
      <c r="AB377" s="626">
        <v>505253</v>
      </c>
      <c r="AC377" s="626">
        <v>0</v>
      </c>
      <c r="AD377" s="626">
        <v>260752</v>
      </c>
      <c r="AE377" s="626">
        <v>0</v>
      </c>
      <c r="AF377" s="626">
        <v>538086</v>
      </c>
      <c r="AG377" s="626">
        <v>0</v>
      </c>
      <c r="AH377" s="626">
        <v>293003</v>
      </c>
      <c r="AI377" s="626">
        <v>0</v>
      </c>
      <c r="AJ377" s="626">
        <v>602401</v>
      </c>
      <c r="AK377" s="626">
        <v>0</v>
      </c>
      <c r="AL377" s="626">
        <v>302025</v>
      </c>
      <c r="AM377" s="626">
        <v>0</v>
      </c>
      <c r="AN377" s="626">
        <v>596380</v>
      </c>
      <c r="AO377" s="626">
        <v>0</v>
      </c>
      <c r="AP377" s="626">
        <v>260281</v>
      </c>
      <c r="AQ377" s="626">
        <v>0</v>
      </c>
      <c r="AR377" s="626">
        <v>515418.99999999994</v>
      </c>
      <c r="AS377" s="626">
        <v>0</v>
      </c>
      <c r="AT377" s="626">
        <v>269057</v>
      </c>
    </row>
    <row r="378" spans="2:46" x14ac:dyDescent="0.4">
      <c r="C378" s="738" t="s">
        <v>891</v>
      </c>
      <c r="Z378" s="626">
        <v>186914</v>
      </c>
      <c r="AA378" s="626">
        <v>0</v>
      </c>
      <c r="AB378" s="626">
        <v>379020</v>
      </c>
      <c r="AC378" s="626">
        <v>0</v>
      </c>
      <c r="AD378" s="626">
        <v>192903</v>
      </c>
      <c r="AE378" s="626">
        <v>0</v>
      </c>
      <c r="AF378" s="626">
        <v>395461</v>
      </c>
      <c r="AG378" s="626">
        <v>0</v>
      </c>
      <c r="AH378" s="626">
        <v>213873</v>
      </c>
      <c r="AI378" s="626">
        <v>0</v>
      </c>
      <c r="AJ378" s="626">
        <v>437789.00000000006</v>
      </c>
      <c r="AK378" s="626">
        <v>0</v>
      </c>
      <c r="AL378" s="626">
        <v>217660</v>
      </c>
      <c r="AM378" s="626">
        <v>0</v>
      </c>
      <c r="AN378" s="626">
        <v>421877.00000000006</v>
      </c>
      <c r="AO378" s="626">
        <v>0</v>
      </c>
      <c r="AP378" s="626">
        <v>182513</v>
      </c>
      <c r="AQ378" s="626">
        <v>0</v>
      </c>
      <c r="AR378" s="626">
        <v>355313</v>
      </c>
      <c r="AS378" s="626">
        <v>0</v>
      </c>
      <c r="AT378" s="626">
        <v>180089</v>
      </c>
    </row>
    <row r="379" spans="2:46" x14ac:dyDescent="0.4">
      <c r="C379" s="738" t="s">
        <v>892</v>
      </c>
      <c r="Z379" s="626">
        <v>61139</v>
      </c>
      <c r="AA379" s="626">
        <v>0</v>
      </c>
      <c r="AB379" s="626">
        <v>126233</v>
      </c>
      <c r="AC379" s="626">
        <v>0</v>
      </c>
      <c r="AD379" s="626">
        <v>67849</v>
      </c>
      <c r="AE379" s="626">
        <v>0</v>
      </c>
      <c r="AF379" s="626">
        <v>142625</v>
      </c>
      <c r="AG379" s="626">
        <v>0</v>
      </c>
      <c r="AH379" s="626">
        <v>79130</v>
      </c>
      <c r="AI379" s="626">
        <v>0</v>
      </c>
      <c r="AJ379" s="626">
        <v>164612</v>
      </c>
      <c r="AK379" s="626">
        <v>0</v>
      </c>
      <c r="AL379" s="626">
        <v>84365</v>
      </c>
      <c r="AM379" s="626">
        <v>0</v>
      </c>
      <c r="AN379" s="626">
        <v>174503</v>
      </c>
      <c r="AO379" s="626">
        <v>0</v>
      </c>
      <c r="AP379" s="626">
        <v>77768</v>
      </c>
      <c r="AQ379" s="626">
        <v>0</v>
      </c>
      <c r="AR379" s="626">
        <v>160106</v>
      </c>
      <c r="AS379" s="626">
        <v>0</v>
      </c>
      <c r="AT379" s="626">
        <v>88968</v>
      </c>
    </row>
    <row r="380" spans="2:46" x14ac:dyDescent="0.4">
      <c r="C380" s="738" t="s">
        <v>893</v>
      </c>
      <c r="Z380" s="626">
        <v>7683</v>
      </c>
      <c r="AA380" s="626">
        <v>0</v>
      </c>
      <c r="AB380" s="626">
        <v>14599</v>
      </c>
      <c r="AC380" s="626">
        <v>0</v>
      </c>
      <c r="AD380" s="626">
        <v>5305</v>
      </c>
      <c r="AE380" s="626">
        <v>0</v>
      </c>
      <c r="AF380" s="626">
        <v>10554</v>
      </c>
      <c r="AG380" s="626">
        <v>0</v>
      </c>
      <c r="AH380" s="626">
        <v>4750</v>
      </c>
      <c r="AI380" s="626">
        <v>0</v>
      </c>
      <c r="AJ380" s="626">
        <v>13087</v>
      </c>
      <c r="AK380" s="626">
        <v>0</v>
      </c>
      <c r="AL380" s="626">
        <v>9837</v>
      </c>
      <c r="AM380" s="626">
        <v>0</v>
      </c>
      <c r="AN380" s="626">
        <v>20161</v>
      </c>
      <c r="AO380" s="626">
        <v>0</v>
      </c>
      <c r="AP380" s="626">
        <v>10468</v>
      </c>
      <c r="AQ380" s="626">
        <v>0</v>
      </c>
      <c r="AR380" s="626">
        <v>22800</v>
      </c>
      <c r="AS380" s="626">
        <v>0</v>
      </c>
      <c r="AT380" s="626">
        <v>8986</v>
      </c>
    </row>
    <row r="381" spans="2:46" x14ac:dyDescent="0.4">
      <c r="C381" s="738" t="s">
        <v>894</v>
      </c>
      <c r="Z381" s="626">
        <v>67864</v>
      </c>
      <c r="AA381" s="626">
        <v>0</v>
      </c>
      <c r="AB381" s="626">
        <v>138159</v>
      </c>
      <c r="AC381" s="626">
        <v>0</v>
      </c>
      <c r="AD381" s="626">
        <v>71920</v>
      </c>
      <c r="AE381" s="626">
        <v>0</v>
      </c>
      <c r="AF381" s="626">
        <v>148514</v>
      </c>
      <c r="AG381" s="626">
        <v>0</v>
      </c>
      <c r="AH381" s="626">
        <v>77490</v>
      </c>
      <c r="AI381" s="626">
        <v>0</v>
      </c>
      <c r="AJ381" s="626">
        <v>159262</v>
      </c>
      <c r="AK381" s="626">
        <v>0</v>
      </c>
      <c r="AL381" s="626">
        <v>82664</v>
      </c>
      <c r="AM381" s="626">
        <v>0</v>
      </c>
      <c r="AN381" s="626">
        <v>170833</v>
      </c>
      <c r="AO381" s="626">
        <v>0</v>
      </c>
      <c r="AP381" s="626">
        <v>87675</v>
      </c>
      <c r="AQ381" s="626">
        <v>0</v>
      </c>
      <c r="AR381" s="626">
        <v>177298</v>
      </c>
      <c r="AS381" s="626">
        <v>0</v>
      </c>
      <c r="AT381" s="626">
        <v>90927</v>
      </c>
    </row>
    <row r="382" spans="2:46" x14ac:dyDescent="0.4">
      <c r="C382" s="738" t="s">
        <v>895</v>
      </c>
      <c r="Z382" s="626">
        <v>20412</v>
      </c>
      <c r="AA382" s="626">
        <v>0</v>
      </c>
      <c r="AB382" s="626">
        <v>41766</v>
      </c>
      <c r="AC382" s="626">
        <v>0</v>
      </c>
      <c r="AD382" s="626">
        <v>21966</v>
      </c>
      <c r="AE382" s="626">
        <v>0</v>
      </c>
      <c r="AF382" s="626">
        <v>45487</v>
      </c>
      <c r="AG382" s="626">
        <v>0</v>
      </c>
      <c r="AH382" s="626">
        <v>23695</v>
      </c>
      <c r="AI382" s="626">
        <v>0</v>
      </c>
      <c r="AJ382" s="626">
        <v>48384</v>
      </c>
      <c r="AK382" s="626">
        <v>0</v>
      </c>
      <c r="AL382" s="626">
        <v>24538</v>
      </c>
      <c r="AM382" s="626">
        <v>0</v>
      </c>
      <c r="AN382" s="626">
        <v>47867</v>
      </c>
      <c r="AO382" s="626">
        <v>0</v>
      </c>
      <c r="AP382" s="626">
        <v>21730</v>
      </c>
      <c r="AQ382" s="626">
        <v>0</v>
      </c>
      <c r="AR382" s="626">
        <v>44678</v>
      </c>
      <c r="AS382" s="626">
        <v>0</v>
      </c>
      <c r="AT382" s="626">
        <v>23018</v>
      </c>
    </row>
    <row r="383" spans="2:46" x14ac:dyDescent="0.4">
      <c r="C383" s="738" t="s">
        <v>896</v>
      </c>
      <c r="Z383" s="626">
        <v>10510</v>
      </c>
      <c r="AA383" s="626">
        <v>0</v>
      </c>
      <c r="AB383" s="626">
        <v>21662</v>
      </c>
      <c r="AC383" s="626">
        <v>0</v>
      </c>
      <c r="AD383" s="626">
        <v>12564</v>
      </c>
      <c r="AE383" s="626">
        <v>0</v>
      </c>
      <c r="AF383" s="626">
        <v>24470</v>
      </c>
      <c r="AG383" s="626">
        <v>0</v>
      </c>
      <c r="AH383" s="626">
        <v>13675</v>
      </c>
      <c r="AI383" s="626">
        <v>0</v>
      </c>
      <c r="AJ383" s="626">
        <v>26745</v>
      </c>
      <c r="AK383" s="626">
        <v>0</v>
      </c>
      <c r="AL383" s="626">
        <v>18231</v>
      </c>
      <c r="AM383" s="626">
        <v>0</v>
      </c>
      <c r="AN383" s="626">
        <v>36538</v>
      </c>
      <c r="AO383" s="626">
        <v>0</v>
      </c>
      <c r="AP383" s="626">
        <v>15074</v>
      </c>
      <c r="AQ383" s="626">
        <v>0</v>
      </c>
      <c r="AR383" s="626">
        <v>31285.000000000004</v>
      </c>
      <c r="AS383" s="626">
        <v>0</v>
      </c>
      <c r="AT383" s="626">
        <v>26364.999999999996</v>
      </c>
    </row>
    <row r="384" spans="2:46" x14ac:dyDescent="0.4">
      <c r="C384" s="738" t="s">
        <v>897</v>
      </c>
      <c r="Z384" s="626">
        <v>58836</v>
      </c>
      <c r="AA384" s="626">
        <v>0</v>
      </c>
      <c r="AB384" s="626">
        <v>115881</v>
      </c>
      <c r="AC384" s="626">
        <v>0</v>
      </c>
      <c r="AD384" s="626">
        <v>72512</v>
      </c>
      <c r="AE384" s="626">
        <v>0</v>
      </c>
      <c r="AF384" s="626">
        <v>134550</v>
      </c>
      <c r="AG384" s="626">
        <v>0</v>
      </c>
      <c r="AH384" s="626">
        <v>79386</v>
      </c>
      <c r="AI384" s="626">
        <v>0</v>
      </c>
      <c r="AJ384" s="626">
        <v>146678</v>
      </c>
      <c r="AK384" s="626">
        <v>0</v>
      </c>
      <c r="AL384" s="626">
        <v>85330</v>
      </c>
      <c r="AM384" s="626">
        <v>0</v>
      </c>
      <c r="AN384" s="626">
        <v>161670</v>
      </c>
      <c r="AO384" s="626">
        <v>0</v>
      </c>
      <c r="AP384" s="626">
        <v>90816</v>
      </c>
      <c r="AQ384" s="626">
        <v>0</v>
      </c>
      <c r="AR384" s="626">
        <v>164714</v>
      </c>
      <c r="AS384" s="626">
        <v>0</v>
      </c>
      <c r="AT384" s="626">
        <v>85402</v>
      </c>
    </row>
    <row r="385" spans="2:46" x14ac:dyDescent="0.4">
      <c r="C385" s="738" t="s">
        <v>898</v>
      </c>
      <c r="Z385" s="626">
        <v>13678</v>
      </c>
      <c r="AA385" s="626">
        <v>0</v>
      </c>
      <c r="AB385" s="626">
        <v>26777.999999999996</v>
      </c>
      <c r="AC385" s="626">
        <v>0</v>
      </c>
      <c r="AD385" s="626">
        <v>16788</v>
      </c>
      <c r="AE385" s="626">
        <v>0</v>
      </c>
      <c r="AF385" s="626">
        <v>30842</v>
      </c>
      <c r="AG385" s="626">
        <v>0</v>
      </c>
      <c r="AH385" s="626">
        <v>17164</v>
      </c>
      <c r="AI385" s="626">
        <v>0</v>
      </c>
      <c r="AJ385" s="626">
        <v>35605</v>
      </c>
      <c r="AK385" s="626">
        <v>0</v>
      </c>
      <c r="AL385" s="626">
        <v>28286</v>
      </c>
      <c r="AM385" s="626">
        <v>0</v>
      </c>
      <c r="AN385" s="626">
        <v>54215</v>
      </c>
      <c r="AO385" s="626">
        <v>0</v>
      </c>
      <c r="AP385" s="626">
        <v>32152.999999999996</v>
      </c>
      <c r="AQ385" s="626">
        <v>0</v>
      </c>
      <c r="AR385" s="626">
        <v>58065</v>
      </c>
      <c r="AS385" s="626">
        <v>0</v>
      </c>
      <c r="AT385" s="626">
        <v>27524</v>
      </c>
    </row>
    <row r="386" spans="2:46" x14ac:dyDescent="0.4">
      <c r="C386" s="738" t="s">
        <v>899</v>
      </c>
      <c r="Z386" s="626">
        <v>8886</v>
      </c>
      <c r="AA386" s="626">
        <v>0</v>
      </c>
      <c r="AB386" s="626">
        <v>16760</v>
      </c>
      <c r="AC386" s="626">
        <v>0</v>
      </c>
      <c r="AD386" s="626">
        <v>9920</v>
      </c>
      <c r="AE386" s="626">
        <v>0</v>
      </c>
      <c r="AF386" s="626">
        <v>18231</v>
      </c>
      <c r="AG386" s="626">
        <v>0</v>
      </c>
      <c r="AH386" s="626">
        <v>10108</v>
      </c>
      <c r="AI386" s="626">
        <v>0</v>
      </c>
      <c r="AJ386" s="626">
        <v>20676</v>
      </c>
      <c r="AK386" s="626">
        <v>0</v>
      </c>
      <c r="AL386" s="626">
        <v>19051</v>
      </c>
      <c r="AM386" s="626">
        <v>0</v>
      </c>
      <c r="AN386" s="626">
        <v>35910</v>
      </c>
      <c r="AO386" s="626">
        <v>0</v>
      </c>
      <c r="AP386" s="626">
        <v>20877</v>
      </c>
      <c r="AQ386" s="626">
        <v>0</v>
      </c>
      <c r="AR386" s="626">
        <v>37625</v>
      </c>
      <c r="AS386" s="626">
        <v>0</v>
      </c>
      <c r="AT386" s="626">
        <v>17421</v>
      </c>
    </row>
    <row r="387" spans="2:46" x14ac:dyDescent="0.4">
      <c r="C387" s="738" t="s">
        <v>900</v>
      </c>
      <c r="Z387" s="626">
        <v>4792</v>
      </c>
      <c r="AA387" s="626">
        <v>0</v>
      </c>
      <c r="AB387" s="626">
        <v>10018</v>
      </c>
      <c r="AC387" s="626">
        <v>0</v>
      </c>
      <c r="AD387" s="626">
        <v>6868.0000000000009</v>
      </c>
      <c r="AE387" s="626">
        <v>0</v>
      </c>
      <c r="AF387" s="626">
        <v>12611</v>
      </c>
      <c r="AG387" s="626">
        <v>0</v>
      </c>
      <c r="AH387" s="626">
        <v>7056</v>
      </c>
      <c r="AI387" s="626">
        <v>0</v>
      </c>
      <c r="AJ387" s="626">
        <v>14929</v>
      </c>
      <c r="AK387" s="626">
        <v>0</v>
      </c>
      <c r="AL387" s="626">
        <v>9235</v>
      </c>
      <c r="AM387" s="626">
        <v>0</v>
      </c>
      <c r="AN387" s="626">
        <v>18305</v>
      </c>
      <c r="AO387" s="626">
        <v>0</v>
      </c>
      <c r="AP387" s="626">
        <v>11276</v>
      </c>
      <c r="AQ387" s="626">
        <v>0</v>
      </c>
      <c r="AR387" s="626">
        <v>20440</v>
      </c>
      <c r="AS387" s="626">
        <v>0</v>
      </c>
      <c r="AT387" s="626">
        <v>10103</v>
      </c>
    </row>
    <row r="388" spans="2:46" x14ac:dyDescent="0.4">
      <c r="C388" s="738" t="s">
        <v>901</v>
      </c>
      <c r="Z388" s="626">
        <v>10505</v>
      </c>
      <c r="AA388" s="626">
        <v>0</v>
      </c>
      <c r="AB388" s="626">
        <v>23494</v>
      </c>
      <c r="AC388" s="626">
        <v>0</v>
      </c>
      <c r="AD388" s="626">
        <v>14275</v>
      </c>
      <c r="AE388" s="626">
        <v>0</v>
      </c>
      <c r="AF388" s="626">
        <v>28533</v>
      </c>
      <c r="AG388" s="626">
        <v>0</v>
      </c>
      <c r="AH388" s="626">
        <v>16861</v>
      </c>
      <c r="AI388" s="626">
        <v>0</v>
      </c>
      <c r="AJ388" s="626">
        <v>35133</v>
      </c>
      <c r="AK388" s="626">
        <v>0</v>
      </c>
      <c r="AL388" s="626">
        <v>18684</v>
      </c>
      <c r="AM388" s="626">
        <v>0</v>
      </c>
      <c r="AN388" s="626">
        <v>37684</v>
      </c>
      <c r="AO388" s="626">
        <v>0</v>
      </c>
      <c r="AP388" s="626">
        <v>18859</v>
      </c>
      <c r="AQ388" s="626">
        <v>0</v>
      </c>
      <c r="AR388" s="626">
        <v>37670</v>
      </c>
      <c r="AS388" s="626">
        <v>0</v>
      </c>
      <c r="AT388" s="626">
        <v>18792</v>
      </c>
    </row>
    <row r="389" spans="2:46" x14ac:dyDescent="0.4">
      <c r="C389" s="738" t="s">
        <v>902</v>
      </c>
      <c r="Z389" s="626">
        <v>13784</v>
      </c>
      <c r="AA389" s="626">
        <v>0</v>
      </c>
      <c r="AB389" s="626">
        <v>27499</v>
      </c>
      <c r="AC389" s="626">
        <v>0</v>
      </c>
      <c r="AD389" s="626">
        <v>15638</v>
      </c>
      <c r="AE389" s="626">
        <v>0</v>
      </c>
      <c r="AF389" s="626">
        <v>30513</v>
      </c>
      <c r="AG389" s="626">
        <v>0</v>
      </c>
      <c r="AH389" s="626">
        <v>16701</v>
      </c>
      <c r="AI389" s="626">
        <v>0</v>
      </c>
      <c r="AJ389" s="626">
        <v>30422.000000000004</v>
      </c>
      <c r="AK389" s="626">
        <v>0</v>
      </c>
      <c r="AL389" s="626">
        <v>15015</v>
      </c>
      <c r="AM389" s="626">
        <v>0</v>
      </c>
      <c r="AN389" s="626">
        <v>27986</v>
      </c>
      <c r="AO389" s="626">
        <v>0</v>
      </c>
      <c r="AP389" s="626">
        <v>13787</v>
      </c>
      <c r="AQ389" s="626">
        <v>0</v>
      </c>
      <c r="AR389" s="626">
        <v>26108</v>
      </c>
      <c r="AS389" s="626">
        <v>0</v>
      </c>
      <c r="AT389" s="626">
        <v>14076</v>
      </c>
    </row>
    <row r="390" spans="2:46" x14ac:dyDescent="0.4">
      <c r="C390" s="738" t="s">
        <v>903</v>
      </c>
      <c r="Z390" s="626">
        <v>14950</v>
      </c>
      <c r="AA390" s="626">
        <v>0</v>
      </c>
      <c r="AB390" s="626">
        <v>26117</v>
      </c>
      <c r="AC390" s="626">
        <v>0</v>
      </c>
      <c r="AD390" s="626">
        <v>17077</v>
      </c>
      <c r="AE390" s="626">
        <v>0</v>
      </c>
      <c r="AF390" s="626">
        <v>29486</v>
      </c>
      <c r="AG390" s="626">
        <v>0</v>
      </c>
      <c r="AH390" s="626">
        <v>19685</v>
      </c>
      <c r="AI390" s="626">
        <v>0</v>
      </c>
      <c r="AJ390" s="626">
        <v>30474</v>
      </c>
      <c r="AK390" s="626">
        <v>0</v>
      </c>
      <c r="AL390" s="626">
        <v>15197</v>
      </c>
      <c r="AM390" s="626">
        <v>0</v>
      </c>
      <c r="AN390" s="626">
        <v>26791.000000000004</v>
      </c>
      <c r="AO390" s="626">
        <v>0</v>
      </c>
      <c r="AP390" s="626">
        <v>16109</v>
      </c>
      <c r="AQ390" s="626">
        <v>0</v>
      </c>
      <c r="AR390" s="626">
        <v>25024</v>
      </c>
      <c r="AS390" s="626">
        <v>0</v>
      </c>
      <c r="AT390" s="626">
        <v>14729</v>
      </c>
    </row>
    <row r="391" spans="2:46" x14ac:dyDescent="0.4">
      <c r="C391" s="738" t="s">
        <v>904</v>
      </c>
      <c r="Z391" s="626">
        <v>1463</v>
      </c>
      <c r="AA391" s="626">
        <v>0</v>
      </c>
      <c r="AB391" s="626">
        <v>2848</v>
      </c>
      <c r="AC391" s="626">
        <v>0</v>
      </c>
      <c r="AD391" s="626">
        <v>2812</v>
      </c>
      <c r="AE391" s="626">
        <v>0</v>
      </c>
      <c r="AF391" s="626">
        <v>4357</v>
      </c>
      <c r="AG391" s="626">
        <v>0</v>
      </c>
      <c r="AH391" s="626">
        <v>2841</v>
      </c>
      <c r="AI391" s="626">
        <v>0</v>
      </c>
      <c r="AJ391" s="626">
        <v>4614</v>
      </c>
      <c r="AK391" s="626">
        <v>0</v>
      </c>
      <c r="AL391" s="626">
        <v>2702</v>
      </c>
      <c r="AM391" s="626">
        <v>0</v>
      </c>
      <c r="AN391" s="626">
        <v>4687</v>
      </c>
      <c r="AO391" s="626">
        <v>0</v>
      </c>
      <c r="AP391" s="626">
        <v>3195</v>
      </c>
      <c r="AQ391" s="626">
        <v>0</v>
      </c>
      <c r="AR391" s="626">
        <v>5950</v>
      </c>
      <c r="AS391" s="626">
        <v>0</v>
      </c>
      <c r="AT391" s="626">
        <v>4290</v>
      </c>
    </row>
    <row r="392" spans="2:46" x14ac:dyDescent="0.4">
      <c r="C392" s="738" t="s">
        <v>905</v>
      </c>
      <c r="Z392" s="626">
        <v>894.99999999999989</v>
      </c>
      <c r="AA392" s="626">
        <v>0</v>
      </c>
      <c r="AB392" s="626">
        <v>1623</v>
      </c>
      <c r="AC392" s="626">
        <v>0</v>
      </c>
      <c r="AD392" s="626">
        <v>1003.9999999999999</v>
      </c>
      <c r="AE392" s="626">
        <v>0</v>
      </c>
      <c r="AF392" s="626">
        <v>1857</v>
      </c>
      <c r="AG392" s="626">
        <v>0</v>
      </c>
      <c r="AH392" s="626">
        <v>1162</v>
      </c>
      <c r="AI392" s="626">
        <v>0</v>
      </c>
      <c r="AJ392" s="626">
        <v>2019.0000000000002</v>
      </c>
      <c r="AK392" s="626">
        <v>0</v>
      </c>
      <c r="AL392" s="626">
        <v>1147</v>
      </c>
      <c r="AM392" s="626">
        <v>0</v>
      </c>
      <c r="AN392" s="626">
        <v>1979</v>
      </c>
      <c r="AO392" s="626">
        <v>0</v>
      </c>
      <c r="AP392" s="626">
        <v>1105</v>
      </c>
      <c r="AQ392" s="626">
        <v>0</v>
      </c>
      <c r="AR392" s="626">
        <v>1907</v>
      </c>
      <c r="AS392" s="626">
        <v>0</v>
      </c>
      <c r="AT392" s="626">
        <v>1088</v>
      </c>
    </row>
    <row r="393" spans="2:46" x14ac:dyDescent="0.4">
      <c r="C393" s="738" t="s">
        <v>906</v>
      </c>
      <c r="Z393" s="626">
        <v>0</v>
      </c>
      <c r="AA393" s="626">
        <v>0</v>
      </c>
      <c r="AB393" s="626">
        <v>0</v>
      </c>
      <c r="AC393" s="626">
        <v>0</v>
      </c>
      <c r="AD393" s="626">
        <v>0</v>
      </c>
      <c r="AE393" s="626">
        <v>0</v>
      </c>
      <c r="AF393" s="626">
        <v>0</v>
      </c>
      <c r="AG393" s="626">
        <v>0</v>
      </c>
      <c r="AH393" s="626">
        <v>0</v>
      </c>
      <c r="AI393" s="626">
        <v>0</v>
      </c>
      <c r="AJ393" s="626">
        <v>0</v>
      </c>
      <c r="AK393" s="626">
        <v>0</v>
      </c>
      <c r="AL393" s="626">
        <v>0</v>
      </c>
      <c r="AM393" s="626">
        <v>0</v>
      </c>
      <c r="AN393" s="626">
        <v>0</v>
      </c>
      <c r="AO393" s="626">
        <v>0</v>
      </c>
      <c r="AP393" s="626">
        <v>0</v>
      </c>
      <c r="AQ393" s="626">
        <v>0</v>
      </c>
      <c r="AR393" s="626">
        <v>0</v>
      </c>
      <c r="AS393" s="626">
        <v>0</v>
      </c>
      <c r="AT393" s="626">
        <v>0</v>
      </c>
    </row>
    <row r="394" spans="2:46" x14ac:dyDescent="0.4">
      <c r="C394" s="738" t="s">
        <v>907</v>
      </c>
      <c r="Z394" s="626">
        <v>2806</v>
      </c>
      <c r="AA394" s="626">
        <v>0</v>
      </c>
      <c r="AB394" s="626">
        <v>5974</v>
      </c>
      <c r="AC394" s="626">
        <v>0</v>
      </c>
      <c r="AD394" s="626">
        <v>3738.0000000000005</v>
      </c>
      <c r="AE394" s="626">
        <v>0</v>
      </c>
      <c r="AF394" s="626">
        <v>6893.0000000000009</v>
      </c>
      <c r="AG394" s="626">
        <v>0</v>
      </c>
      <c r="AH394" s="626">
        <v>3532</v>
      </c>
      <c r="AI394" s="626">
        <v>0</v>
      </c>
      <c r="AJ394" s="626">
        <v>5923</v>
      </c>
      <c r="AK394" s="626">
        <v>0</v>
      </c>
      <c r="AL394" s="626">
        <v>2732</v>
      </c>
      <c r="AM394" s="626">
        <v>0</v>
      </c>
      <c r="AN394" s="626">
        <v>5544</v>
      </c>
      <c r="AO394" s="626">
        <v>0</v>
      </c>
      <c r="AP394" s="626">
        <v>3965</v>
      </c>
      <c r="AQ394" s="626">
        <v>0</v>
      </c>
      <c r="AR394" s="626">
        <v>6893.0000000000009</v>
      </c>
      <c r="AS394" s="626">
        <v>0</v>
      </c>
      <c r="AT394" s="626">
        <v>3486.9999999999995</v>
      </c>
    </row>
    <row r="395" spans="2:46" x14ac:dyDescent="0.4">
      <c r="C395" s="738" t="s">
        <v>908</v>
      </c>
      <c r="Z395" s="626">
        <v>755</v>
      </c>
      <c r="AA395" s="626">
        <v>0</v>
      </c>
      <c r="AB395" s="626">
        <v>1548</v>
      </c>
      <c r="AC395" s="626">
        <v>0</v>
      </c>
      <c r="AD395" s="626">
        <v>1180</v>
      </c>
      <c r="AE395" s="626">
        <v>0</v>
      </c>
      <c r="AF395" s="626">
        <v>2069</v>
      </c>
      <c r="AG395" s="626">
        <v>0</v>
      </c>
      <c r="AH395" s="626">
        <v>1440</v>
      </c>
      <c r="AI395" s="626">
        <v>0</v>
      </c>
      <c r="AJ395" s="626">
        <v>2488</v>
      </c>
      <c r="AK395" s="626">
        <v>0</v>
      </c>
      <c r="AL395" s="626">
        <v>1567</v>
      </c>
      <c r="AM395" s="626">
        <v>0</v>
      </c>
      <c r="AN395" s="626">
        <v>2784</v>
      </c>
      <c r="AO395" s="626">
        <v>0</v>
      </c>
      <c r="AP395" s="626">
        <v>1643</v>
      </c>
      <c r="AQ395" s="626">
        <v>0</v>
      </c>
      <c r="AR395" s="626">
        <v>3097</v>
      </c>
      <c r="AS395" s="626">
        <v>0</v>
      </c>
      <c r="AT395" s="626">
        <v>1416</v>
      </c>
    </row>
    <row r="396" spans="2:46" s="429" customFormat="1" ht="13.5" thickBot="1" x14ac:dyDescent="0.45">
      <c r="C396" s="739"/>
      <c r="D396" s="649"/>
      <c r="E396" s="649"/>
      <c r="F396" s="649"/>
      <c r="G396" s="649"/>
      <c r="H396" s="649"/>
      <c r="I396" s="649"/>
      <c r="J396" s="649"/>
      <c r="K396" s="649"/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9"/>
      <c r="Z396" s="649"/>
      <c r="AA396" s="649"/>
      <c r="AB396" s="649"/>
      <c r="AC396" s="649"/>
      <c r="AD396" s="649"/>
      <c r="AE396" s="649"/>
      <c r="AF396" s="649"/>
      <c r="AG396" s="649"/>
      <c r="AH396" s="649"/>
      <c r="AI396" s="649"/>
      <c r="AJ396" s="649"/>
      <c r="AK396" s="649"/>
      <c r="AL396" s="649"/>
      <c r="AM396" s="649"/>
      <c r="AN396" s="649"/>
      <c r="AO396" s="649"/>
      <c r="AP396" s="649"/>
      <c r="AQ396" s="649"/>
      <c r="AR396" s="649"/>
      <c r="AS396" s="649"/>
      <c r="AT396" s="649"/>
    </row>
    <row r="397" spans="2:46" ht="13.5" thickTop="1" x14ac:dyDescent="0.4"/>
    <row r="398" spans="2:46" ht="13.5" x14ac:dyDescent="0.4">
      <c r="B398" s="183" t="s">
        <v>909</v>
      </c>
    </row>
    <row r="399" spans="2:46" x14ac:dyDescent="0.4">
      <c r="C399" s="740" t="s">
        <v>910</v>
      </c>
      <c r="AL399" s="626" t="s">
        <v>645</v>
      </c>
      <c r="AN399" s="626" t="s">
        <v>646</v>
      </c>
      <c r="AP399" s="626" t="s">
        <v>214</v>
      </c>
      <c r="AR399" s="626" t="s">
        <v>647</v>
      </c>
      <c r="AT399" s="626" t="s">
        <v>215</v>
      </c>
    </row>
    <row r="400" spans="2:46" x14ac:dyDescent="0.4">
      <c r="C400" s="740" t="s">
        <v>911</v>
      </c>
      <c r="AL400" s="679">
        <v>0.71316159571913695</v>
      </c>
      <c r="AN400" s="679">
        <v>0.70722166971216316</v>
      </c>
      <c r="AO400" s="679"/>
      <c r="AP400" s="679">
        <v>0.68504508789863061</v>
      </c>
      <c r="AR400" s="679">
        <v>0.68001591954313434</v>
      </c>
      <c r="AT400" s="679">
        <v>0.66461337674165133</v>
      </c>
    </row>
    <row r="401" spans="3:46" x14ac:dyDescent="0.4">
      <c r="C401" s="741" t="s">
        <v>912</v>
      </c>
      <c r="AL401" s="679">
        <v>0.18903486204964612</v>
      </c>
      <c r="AN401" s="679">
        <v>0.19595906760773082</v>
      </c>
      <c r="AO401" s="679"/>
      <c r="AP401" s="679">
        <v>0.22183397937393098</v>
      </c>
      <c r="AR401" s="679">
        <v>0.22400818719361196</v>
      </c>
      <c r="AT401" s="679">
        <v>0.21734516066575357</v>
      </c>
    </row>
    <row r="402" spans="3:46" x14ac:dyDescent="0.4">
      <c r="C402" s="740" t="s">
        <v>913</v>
      </c>
      <c r="AL402" s="679">
        <v>5.6113150161790096E-2</v>
      </c>
      <c r="AN402" s="679">
        <v>5.4907264341077268E-2</v>
      </c>
      <c r="AO402" s="679"/>
      <c r="AP402" s="679">
        <v>5.4980922404283095E-2</v>
      </c>
      <c r="AR402" s="679">
        <v>5.6448678425228681E-2</v>
      </c>
      <c r="AT402" s="679">
        <v>5.5020520947620791E-2</v>
      </c>
    </row>
    <row r="403" spans="3:46" x14ac:dyDescent="0.4">
      <c r="C403" s="740" t="s">
        <v>914</v>
      </c>
      <c r="AL403" s="679">
        <v>4.1690392069426818E-2</v>
      </c>
      <c r="AN403" s="679">
        <v>4.1911998339028582E-2</v>
      </c>
      <c r="AO403" s="679"/>
      <c r="AP403" s="679">
        <v>3.8140010323155241E-2</v>
      </c>
      <c r="AR403" s="679">
        <v>3.9527214838024967E-2</v>
      </c>
      <c r="AT403" s="679">
        <v>6.302094164497446E-2</v>
      </c>
    </row>
    <row r="404" spans="3:46" x14ac:dyDescent="0.4">
      <c r="C404" s="742"/>
      <c r="AL404" s="679">
        <v>1</v>
      </c>
      <c r="AN404" s="679">
        <v>0.99999999999999989</v>
      </c>
      <c r="AO404" s="679"/>
      <c r="AP404" s="679">
        <v>1</v>
      </c>
      <c r="AR404" s="679">
        <v>1</v>
      </c>
      <c r="AT404" s="679">
        <v>1.0000000000000002</v>
      </c>
    </row>
    <row r="405" spans="3:46" x14ac:dyDescent="0.4">
      <c r="C405" s="742"/>
    </row>
    <row r="406" spans="3:46" x14ac:dyDescent="0.4">
      <c r="C406" s="740" t="s">
        <v>915</v>
      </c>
      <c r="AL406" s="626" t="s">
        <v>645</v>
      </c>
      <c r="AN406" s="626" t="s">
        <v>646</v>
      </c>
      <c r="AP406" s="626" t="s">
        <v>214</v>
      </c>
      <c r="AR406" s="626" t="s">
        <v>647</v>
      </c>
      <c r="AT406" s="626" t="s">
        <v>215</v>
      </c>
    </row>
    <row r="407" spans="3:46" x14ac:dyDescent="0.4">
      <c r="C407" s="740" t="s">
        <v>916</v>
      </c>
      <c r="AL407" s="679">
        <v>0.33148951130903553</v>
      </c>
      <c r="AN407" s="679">
        <v>0.3353436011628626</v>
      </c>
      <c r="AO407" s="679"/>
      <c r="AP407" s="679">
        <v>0.35404554263565891</v>
      </c>
      <c r="AR407" s="679">
        <v>0.35252012579380015</v>
      </c>
      <c r="AT407" s="679">
        <v>0.3222875342497834</v>
      </c>
    </row>
    <row r="408" spans="3:46" x14ac:dyDescent="0.4">
      <c r="C408" s="740" t="s">
        <v>917</v>
      </c>
      <c r="AL408" s="679">
        <v>0.21896167819055434</v>
      </c>
      <c r="AN408" s="679">
        <v>0.23309210119378979</v>
      </c>
      <c r="AO408" s="679"/>
      <c r="AP408" s="679">
        <v>0.20766164552501762</v>
      </c>
      <c r="AR408" s="679">
        <v>0.22869944267032552</v>
      </c>
      <c r="AT408" s="679">
        <v>0.22004168520643544</v>
      </c>
    </row>
    <row r="409" spans="3:46" x14ac:dyDescent="0.4">
      <c r="C409" s="740" t="s">
        <v>918</v>
      </c>
      <c r="AL409" s="679">
        <v>0.17596390484003283</v>
      </c>
      <c r="AN409" s="679">
        <v>0.17310570916063586</v>
      </c>
      <c r="AO409" s="679"/>
      <c r="AP409" s="679">
        <v>0.15181245595489781</v>
      </c>
      <c r="AR409" s="679">
        <v>0.15850504510849106</v>
      </c>
      <c r="AT409" s="679">
        <v>0.16482049600711926</v>
      </c>
    </row>
    <row r="410" spans="3:46" x14ac:dyDescent="0.4">
      <c r="C410" s="740" t="s">
        <v>919</v>
      </c>
      <c r="AL410" s="679">
        <v>0.17809680065627564</v>
      </c>
      <c r="AN410" s="679">
        <v>0.16571410898744357</v>
      </c>
      <c r="AO410" s="679"/>
      <c r="AP410" s="679">
        <v>0.17738063777307964</v>
      </c>
      <c r="AR410" s="679">
        <v>0.15192394089148464</v>
      </c>
      <c r="AT410" s="679">
        <v>0.1724666869628346</v>
      </c>
    </row>
    <row r="411" spans="3:46" x14ac:dyDescent="0.4">
      <c r="C411" s="740" t="s">
        <v>920</v>
      </c>
      <c r="AL411" s="679">
        <v>3.1665299425758818E-2</v>
      </c>
      <c r="AN411" s="679">
        <v>2.8991154821550069E-2</v>
      </c>
      <c r="AO411" s="679"/>
      <c r="AP411" s="679">
        <v>3.5181025369978858E-2</v>
      </c>
      <c r="AR411" s="679">
        <v>3.6123219641317678E-2</v>
      </c>
      <c r="AT411" s="679">
        <v>5.0233015620243085E-2</v>
      </c>
    </row>
    <row r="412" spans="3:46" x14ac:dyDescent="0.4">
      <c r="C412" s="740" t="s">
        <v>921</v>
      </c>
      <c r="AL412" s="679">
        <v>1.3441931325442401E-2</v>
      </c>
      <c r="AN412" s="679">
        <v>1.2240984721964495E-2</v>
      </c>
      <c r="AO412" s="679"/>
      <c r="AP412" s="679">
        <v>1.2167459478505992E-2</v>
      </c>
      <c r="AR412" s="679">
        <v>1.1577643673276102E-2</v>
      </c>
      <c r="AT412" s="679">
        <v>1.2739748483642071E-2</v>
      </c>
    </row>
    <row r="413" spans="3:46" x14ac:dyDescent="0.4">
      <c r="C413" s="740" t="s">
        <v>922</v>
      </c>
      <c r="AL413" s="679">
        <v>3.201687565920544E-2</v>
      </c>
      <c r="AN413" s="679">
        <v>3.4292076452031917E-2</v>
      </c>
      <c r="AO413" s="679"/>
      <c r="AP413" s="679">
        <v>4.3659707540521495E-2</v>
      </c>
      <c r="AR413" s="679">
        <v>4.1848294619765171E-2</v>
      </c>
      <c r="AT413" s="679">
        <v>4.0830425516966813E-2</v>
      </c>
    </row>
    <row r="414" spans="3:46" x14ac:dyDescent="0.4">
      <c r="C414" s="740" t="s">
        <v>923</v>
      </c>
      <c r="AL414" s="679">
        <v>1.8363998593695068E-2</v>
      </c>
      <c r="AN414" s="679">
        <v>1.7220263499721656E-2</v>
      </c>
      <c r="AO414" s="679"/>
      <c r="AP414" s="679">
        <v>1.8091525722339675E-2</v>
      </c>
      <c r="AR414" s="679">
        <v>1.8802287601539635E-2</v>
      </c>
      <c r="AT414" s="679">
        <v>1.6580407952975339E-2</v>
      </c>
    </row>
    <row r="416" spans="3:46" s="429" customFormat="1" ht="13.5" thickBot="1" x14ac:dyDescent="0.45">
      <c r="D416" s="649"/>
      <c r="E416" s="649"/>
      <c r="F416" s="649"/>
      <c r="G416" s="649"/>
      <c r="H416" s="649"/>
      <c r="I416" s="649"/>
      <c r="J416" s="649"/>
      <c r="K416" s="649"/>
      <c r="L416" s="649"/>
      <c r="M416" s="649"/>
      <c r="N416" s="649"/>
      <c r="O416" s="649"/>
      <c r="P416" s="649"/>
      <c r="Q416" s="649"/>
      <c r="R416" s="649"/>
      <c r="S416" s="649"/>
      <c r="T416" s="649"/>
      <c r="U416" s="649"/>
      <c r="V416" s="649"/>
      <c r="W416" s="649"/>
      <c r="X416" s="649"/>
      <c r="Y416" s="649"/>
      <c r="Z416" s="649"/>
      <c r="AA416" s="649"/>
      <c r="AB416" s="649"/>
      <c r="AC416" s="649"/>
      <c r="AD416" s="649"/>
      <c r="AE416" s="649"/>
      <c r="AF416" s="649"/>
      <c r="AG416" s="649"/>
      <c r="AH416" s="649"/>
      <c r="AI416" s="649"/>
      <c r="AJ416" s="649"/>
      <c r="AK416" s="649"/>
      <c r="AL416" s="649"/>
      <c r="AM416" s="649"/>
      <c r="AN416" s="649"/>
      <c r="AO416" s="649"/>
      <c r="AP416" s="649"/>
      <c r="AQ416" s="649"/>
      <c r="AR416" s="649"/>
      <c r="AS416" s="649"/>
      <c r="AT416" s="649"/>
    </row>
    <row r="417" spans="2:46" ht="13.5" thickTop="1" x14ac:dyDescent="0.4"/>
    <row r="418" spans="2:46" ht="13.5" x14ac:dyDescent="0.4">
      <c r="B418" s="183" t="s">
        <v>924</v>
      </c>
      <c r="AO418" s="981" t="s">
        <v>655</v>
      </c>
      <c r="AP418" s="982" t="s">
        <v>656</v>
      </c>
      <c r="AQ418" s="982" t="s">
        <v>657</v>
      </c>
      <c r="AR418" s="982" t="s">
        <v>658</v>
      </c>
      <c r="AS418" s="981" t="s">
        <v>659</v>
      </c>
      <c r="AT418" s="983" t="s">
        <v>660</v>
      </c>
    </row>
    <row r="419" spans="2:46" x14ac:dyDescent="0.4">
      <c r="C419" s="746" t="s">
        <v>925</v>
      </c>
      <c r="AO419" s="679">
        <v>0.1206225905825371</v>
      </c>
      <c r="AP419" s="679">
        <v>-0.15528472476520083</v>
      </c>
      <c r="AQ419" s="679">
        <v>-2.2450711621006092E-2</v>
      </c>
      <c r="AR419" s="679">
        <v>-1.2410683056013561E-2</v>
      </c>
      <c r="AS419" s="679">
        <v>0.19863771763946936</v>
      </c>
      <c r="AT419" s="679">
        <v>-8.9165017807676938E-2</v>
      </c>
    </row>
    <row r="420" spans="2:46" x14ac:dyDescent="0.4">
      <c r="C420" s="746" t="s">
        <v>926</v>
      </c>
      <c r="AO420" s="679">
        <v>-7.1230906333547117E-2</v>
      </c>
      <c r="AP420" s="679">
        <v>-2.8112111775102977E-2</v>
      </c>
      <c r="AQ420" s="679">
        <v>1.3925694985710502E-2</v>
      </c>
      <c r="AR420" s="679">
        <v>2.9125881890705418E-2</v>
      </c>
      <c r="AS420" s="679">
        <v>1.2299980081003969E-2</v>
      </c>
      <c r="AT420" s="679">
        <v>5.7243584487988608E-2</v>
      </c>
    </row>
    <row r="421" spans="2:46" x14ac:dyDescent="0.4">
      <c r="C421" s="746" t="s">
        <v>927</v>
      </c>
      <c r="AO421" s="679">
        <v>0.66483358094773526</v>
      </c>
      <c r="AP421" s="679">
        <v>-0.35653112055301783</v>
      </c>
      <c r="AQ421" s="679">
        <v>-0.10939537579433234</v>
      </c>
      <c r="AR421" s="679">
        <v>-0.12543578301492131</v>
      </c>
      <c r="AS421" s="679">
        <v>0.79529086608732635</v>
      </c>
      <c r="AT421" s="679">
        <v>-0.35350455184664276</v>
      </c>
    </row>
    <row r="422" spans="2:46" x14ac:dyDescent="0.4">
      <c r="C422" s="746" t="s">
        <v>928</v>
      </c>
      <c r="AO422" s="679">
        <v>0.35013040238450088</v>
      </c>
      <c r="AP422" s="679">
        <v>-0.1208462688283316</v>
      </c>
      <c r="AQ422" s="679">
        <v>-0.16209782893015967</v>
      </c>
      <c r="AR422" s="679">
        <v>-2.5223987762619804E-2</v>
      </c>
      <c r="AS422" s="679">
        <v>0.31170536429143314</v>
      </c>
      <c r="AT422" s="679">
        <v>-0.12808242589970198</v>
      </c>
    </row>
    <row r="423" spans="2:46" x14ac:dyDescent="0.4">
      <c r="C423" s="747" t="s">
        <v>929</v>
      </c>
      <c r="AO423" s="679">
        <v>1.213447384125721E-2</v>
      </c>
      <c r="AP423" s="679">
        <v>-0.67659198113207553</v>
      </c>
      <c r="AQ423" s="679">
        <v>-0.65633546034639922</v>
      </c>
      <c r="AR423" s="679">
        <v>1.4058355437665782</v>
      </c>
      <c r="AS423" s="679">
        <v>-0.32414553472987873</v>
      </c>
      <c r="AT423" s="679">
        <v>0.12506797172376283</v>
      </c>
    </row>
    <row r="424" spans="2:46" x14ac:dyDescent="0.4">
      <c r="C424" s="746" t="s">
        <v>930</v>
      </c>
      <c r="AO424" s="679">
        <v>-0.33963654223968576</v>
      </c>
      <c r="AP424" s="679">
        <v>4.3723104712320104E-2</v>
      </c>
      <c r="AQ424" s="679">
        <v>2.5272320065153231E-2</v>
      </c>
      <c r="AR424" s="679">
        <v>0.43807868933846339</v>
      </c>
      <c r="AS424" s="679">
        <v>-0.36809763002088625</v>
      </c>
      <c r="AT424" s="679">
        <v>7.8534746503496455E-2</v>
      </c>
    </row>
    <row r="425" spans="2:46" x14ac:dyDescent="0.4">
      <c r="C425" s="747" t="s">
        <v>931</v>
      </c>
      <c r="AO425" s="679">
        <v>0.35026187466136882</v>
      </c>
      <c r="AP425" s="679">
        <v>9.2156652934567429E-3</v>
      </c>
      <c r="AQ425" s="679">
        <v>-3.8142949915841662E-2</v>
      </c>
      <c r="AR425" s="679">
        <v>-0.23586634516017901</v>
      </c>
      <c r="AS425" s="679">
        <v>0.36657229925888513</v>
      </c>
      <c r="AT425" s="679">
        <v>-0.99404903280289236</v>
      </c>
    </row>
    <row r="426" spans="2:46" s="429" customFormat="1" ht="13.5" thickBot="1" x14ac:dyDescent="0.45">
      <c r="D426" s="649"/>
      <c r="E426" s="649"/>
      <c r="F426" s="649"/>
      <c r="G426" s="649"/>
      <c r="H426" s="649"/>
      <c r="I426" s="649"/>
      <c r="J426" s="649"/>
      <c r="K426" s="649"/>
      <c r="L426" s="649"/>
      <c r="M426" s="649"/>
      <c r="N426" s="649"/>
      <c r="O426" s="649"/>
      <c r="P426" s="649"/>
      <c r="Q426" s="649"/>
      <c r="R426" s="649"/>
      <c r="S426" s="649"/>
      <c r="T426" s="649"/>
      <c r="U426" s="649"/>
      <c r="V426" s="649"/>
      <c r="W426" s="649"/>
      <c r="X426" s="649"/>
      <c r="Y426" s="649"/>
      <c r="Z426" s="649"/>
      <c r="AA426" s="649"/>
      <c r="AB426" s="649"/>
      <c r="AC426" s="649"/>
      <c r="AD426" s="649"/>
      <c r="AE426" s="649"/>
      <c r="AF426" s="649"/>
      <c r="AG426" s="649"/>
      <c r="AH426" s="649"/>
      <c r="AI426" s="649"/>
      <c r="AJ426" s="649"/>
      <c r="AK426" s="649"/>
      <c r="AL426" s="649"/>
      <c r="AM426" s="649"/>
      <c r="AN426" s="649"/>
      <c r="AO426" s="649"/>
      <c r="AP426" s="649"/>
      <c r="AQ426" s="649"/>
      <c r="AR426" s="649"/>
      <c r="AS426" s="649"/>
      <c r="AT426" s="649"/>
    </row>
    <row r="427" spans="2:46" ht="13.5" thickTop="1" x14ac:dyDescent="0.4"/>
    <row r="428" spans="2:46" ht="13.5" x14ac:dyDescent="0.4">
      <c r="B428" s="183" t="s">
        <v>932</v>
      </c>
    </row>
    <row r="429" spans="2:46" x14ac:dyDescent="0.4">
      <c r="AO429" s="1009" t="s">
        <v>655</v>
      </c>
      <c r="AP429" s="1009" t="s">
        <v>656</v>
      </c>
      <c r="AQ429" s="1009" t="s">
        <v>657</v>
      </c>
      <c r="AR429" s="1010" t="s">
        <v>658</v>
      </c>
      <c r="AS429" s="1010" t="s">
        <v>659</v>
      </c>
      <c r="AT429" s="442" t="s">
        <v>660</v>
      </c>
    </row>
    <row r="430" spans="2:46" x14ac:dyDescent="0.4">
      <c r="C430" s="747" t="s">
        <v>933</v>
      </c>
      <c r="AO430" s="1012">
        <v>7.0240224327128953E-2</v>
      </c>
      <c r="AP430" s="1013">
        <v>-6.4525525765658731E-2</v>
      </c>
      <c r="AQ430" s="1013">
        <v>-4.9184611547278267E-2</v>
      </c>
      <c r="AR430" s="1014">
        <v>-8.6129269039816436E-2</v>
      </c>
      <c r="AS430" s="1014">
        <v>-2.2507723491275944E-2</v>
      </c>
      <c r="AT430" s="1014">
        <v>5.4005043320043411E-2</v>
      </c>
    </row>
    <row r="431" spans="2:46" x14ac:dyDescent="0.4">
      <c r="C431" s="754" t="s">
        <v>934</v>
      </c>
      <c r="AO431" s="1003">
        <v>-5.1667025853467718E-2</v>
      </c>
      <c r="AP431" s="1002">
        <v>-8.9382038421500831E-2</v>
      </c>
      <c r="AQ431" s="1002">
        <v>-8.4312283939995902E-2</v>
      </c>
      <c r="AR431" s="1016">
        <v>-5.8113537937180437E-2</v>
      </c>
      <c r="AS431" s="1016">
        <v>2.6597087787223472E-2</v>
      </c>
      <c r="AT431" s="1016">
        <v>0.11675759937646113</v>
      </c>
    </row>
    <row r="432" spans="2:46" x14ac:dyDescent="0.4">
      <c r="C432" s="758" t="s">
        <v>935</v>
      </c>
      <c r="AO432" s="1003">
        <v>0.34355147545677411</v>
      </c>
      <c r="AP432" s="1002">
        <v>7.6645813481346359E-4</v>
      </c>
      <c r="AQ432" s="1002">
        <v>6.1636399526253438E-2</v>
      </c>
      <c r="AR432" s="1016">
        <v>-0.16559859857640213</v>
      </c>
      <c r="AS432" s="1016">
        <v>-0.10021444078903585</v>
      </c>
      <c r="AT432" s="1016">
        <v>-9.5982281467987485E-2</v>
      </c>
    </row>
    <row r="433" spans="2:46" x14ac:dyDescent="0.4">
      <c r="C433" s="758" t="s">
        <v>936</v>
      </c>
      <c r="AO433" s="1003">
        <v>0.16863746304756777</v>
      </c>
      <c r="AP433" s="1002">
        <v>-4.2094713104485093E-2</v>
      </c>
      <c r="AQ433" s="1002">
        <v>-5.9595455479552584E-2</v>
      </c>
      <c r="AR433" s="1016">
        <v>-3.0520367610531451E-2</v>
      </c>
      <c r="AS433" s="1016">
        <v>-5.8111992641140753E-2</v>
      </c>
      <c r="AT433" s="1016">
        <v>-6.586450431598212E-2</v>
      </c>
    </row>
    <row r="434" spans="2:46" x14ac:dyDescent="0.4">
      <c r="C434" s="759" t="s">
        <v>937</v>
      </c>
      <c r="AO434" s="1012">
        <v>-5.6029684601113128E-2</v>
      </c>
      <c r="AP434" s="1013">
        <v>-0.69771286855883163</v>
      </c>
      <c r="AQ434" s="1013">
        <v>-0.89329181998301721</v>
      </c>
      <c r="AR434" s="1014">
        <v>-0.72936144817982895</v>
      </c>
      <c r="AS434" s="1014">
        <v>-0.81928066037735847</v>
      </c>
      <c r="AT434" s="1014">
        <v>-0.37131570951078696</v>
      </c>
    </row>
    <row r="435" spans="2:46" x14ac:dyDescent="0.4">
      <c r="C435" s="754" t="s">
        <v>938</v>
      </c>
      <c r="AO435" s="1018">
        <v>-8.6113817712586416E-3</v>
      </c>
      <c r="AP435" s="1008">
        <v>-5.4958270197464909E-2</v>
      </c>
      <c r="AQ435" s="1008">
        <v>-2.374893977947401E-2</v>
      </c>
      <c r="AR435" s="1019">
        <v>1.6225792871175981E-2</v>
      </c>
      <c r="AS435" s="1019">
        <v>-2.7572650480794714E-2</v>
      </c>
      <c r="AT435" s="1019">
        <v>4.8610404153517361E-3</v>
      </c>
    </row>
    <row r="436" spans="2:46" x14ac:dyDescent="0.4">
      <c r="C436" s="763" t="s">
        <v>939</v>
      </c>
      <c r="AO436" s="1006">
        <v>5.9200258328400146E-3</v>
      </c>
      <c r="AP436" s="1020">
        <v>1.0120888389091753E-2</v>
      </c>
      <c r="AQ436" s="1020">
        <v>-2.2683530382182626E-3</v>
      </c>
      <c r="AR436" s="1021">
        <v>1.5712479682139513E-3</v>
      </c>
      <c r="AS436" s="1021">
        <v>1.3669680594938782E-2</v>
      </c>
      <c r="AT436" s="1021">
        <v>-0.9940227691410547</v>
      </c>
    </row>
    <row r="437" spans="2:46" x14ac:dyDescent="0.4">
      <c r="C437" s="759" t="s">
        <v>940</v>
      </c>
    </row>
    <row r="438" spans="2:46" s="429" customFormat="1" ht="13.5" thickBot="1" x14ac:dyDescent="0.45">
      <c r="C438" s="767"/>
      <c r="D438" s="649"/>
      <c r="E438" s="649"/>
      <c r="F438" s="649"/>
      <c r="G438" s="649"/>
      <c r="H438" s="649"/>
      <c r="I438" s="649"/>
      <c r="J438" s="649"/>
      <c r="K438" s="649"/>
      <c r="L438" s="649"/>
      <c r="M438" s="649"/>
      <c r="N438" s="649"/>
      <c r="O438" s="649"/>
      <c r="P438" s="649"/>
      <c r="Q438" s="649"/>
      <c r="R438" s="649"/>
      <c r="S438" s="649"/>
      <c r="T438" s="649"/>
      <c r="U438" s="649"/>
      <c r="V438" s="649"/>
      <c r="W438" s="649"/>
      <c r="X438" s="649"/>
      <c r="Y438" s="649"/>
      <c r="Z438" s="649"/>
      <c r="AA438" s="649"/>
      <c r="AB438" s="649"/>
      <c r="AC438" s="649"/>
      <c r="AD438" s="649"/>
      <c r="AE438" s="649"/>
      <c r="AF438" s="649"/>
      <c r="AG438" s="649"/>
      <c r="AH438" s="649"/>
      <c r="AI438" s="649"/>
      <c r="AJ438" s="649"/>
      <c r="AK438" s="649"/>
      <c r="AL438" s="649"/>
      <c r="AM438" s="649"/>
      <c r="AN438" s="649"/>
      <c r="AO438" s="649"/>
      <c r="AP438" s="649"/>
      <c r="AQ438" s="649"/>
      <c r="AR438" s="649"/>
      <c r="AS438" s="649"/>
      <c r="AT438" s="649"/>
    </row>
    <row r="439" spans="2:46" ht="13.5" thickTop="1" x14ac:dyDescent="0.4"/>
    <row r="440" spans="2:46" ht="13.5" x14ac:dyDescent="0.4">
      <c r="B440" s="183" t="s">
        <v>941</v>
      </c>
    </row>
    <row r="441" spans="2:46" x14ac:dyDescent="0.4">
      <c r="C441" s="768" t="s">
        <v>942</v>
      </c>
      <c r="AB441" s="731">
        <v>536945</v>
      </c>
      <c r="AF441" s="731">
        <v>589637</v>
      </c>
      <c r="AJ441" s="731">
        <v>658892</v>
      </c>
      <c r="AN441" s="731">
        <v>697647</v>
      </c>
      <c r="AP441" s="731">
        <v>357670</v>
      </c>
      <c r="AR441" s="731">
        <v>675891</v>
      </c>
      <c r="AS441" s="731">
        <v>189525</v>
      </c>
      <c r="AT441" s="731">
        <v>362151</v>
      </c>
    </row>
    <row r="442" spans="2:46" x14ac:dyDescent="0.4">
      <c r="C442" s="746" t="s">
        <v>943</v>
      </c>
      <c r="AB442" s="731">
        <v>417828</v>
      </c>
      <c r="AF442" s="731">
        <v>443335.00000000006</v>
      </c>
      <c r="AJ442" s="731">
        <v>493522</v>
      </c>
      <c r="AN442" s="731">
        <v>507867</v>
      </c>
      <c r="AP442" s="731">
        <v>234280.00000000003</v>
      </c>
      <c r="AR442" s="731">
        <v>471846</v>
      </c>
      <c r="AS442" s="731">
        <v>121970</v>
      </c>
      <c r="AT442" s="731">
        <v>250921.99999999997</v>
      </c>
    </row>
    <row r="443" spans="2:46" x14ac:dyDescent="0.4">
      <c r="C443" s="746" t="s">
        <v>944</v>
      </c>
      <c r="AB443" s="731">
        <v>119117</v>
      </c>
      <c r="AF443" s="731">
        <v>146301.99999999994</v>
      </c>
      <c r="AJ443" s="731">
        <v>165369.99999999997</v>
      </c>
      <c r="AN443" s="731">
        <v>189780.00000000003</v>
      </c>
      <c r="AP443" s="731">
        <v>123389.99999999997</v>
      </c>
      <c r="AR443" s="731">
        <v>204044.99999999997</v>
      </c>
      <c r="AS443" s="731">
        <v>67555</v>
      </c>
      <c r="AT443" s="731">
        <v>111229.00000000004</v>
      </c>
    </row>
    <row r="444" spans="2:46" x14ac:dyDescent="0.4">
      <c r="C444" s="769" t="s">
        <v>945</v>
      </c>
      <c r="AB444" s="731">
        <v>106064.00000000001</v>
      </c>
      <c r="AF444" s="731">
        <v>122326</v>
      </c>
      <c r="AJ444" s="731">
        <v>132497</v>
      </c>
      <c r="AN444" s="731">
        <v>143391</v>
      </c>
      <c r="AP444" s="731">
        <v>81715</v>
      </c>
      <c r="AR444" s="731">
        <v>144973</v>
      </c>
      <c r="AS444" s="731">
        <v>40958</v>
      </c>
      <c r="AT444" s="731">
        <v>76670</v>
      </c>
    </row>
    <row r="445" spans="2:46" x14ac:dyDescent="0.4">
      <c r="C445" s="747" t="s">
        <v>946</v>
      </c>
      <c r="AB445" s="731">
        <v>153336</v>
      </c>
      <c r="AF445" s="731">
        <v>165280</v>
      </c>
      <c r="AJ445" s="731">
        <v>176261</v>
      </c>
      <c r="AN445" s="731">
        <v>177823</v>
      </c>
      <c r="AP445" s="731">
        <v>76938</v>
      </c>
      <c r="AR445" s="731">
        <v>175156</v>
      </c>
      <c r="AS445" s="731">
        <v>36608</v>
      </c>
      <c r="AT445" s="731">
        <v>76091</v>
      </c>
    </row>
    <row r="446" spans="2:46" x14ac:dyDescent="0.4">
      <c r="C446" s="747" t="s">
        <v>947</v>
      </c>
      <c r="AB446" s="731">
        <v>238532.00000000003</v>
      </c>
      <c r="AF446" s="731">
        <v>262649</v>
      </c>
      <c r="AJ446" s="731">
        <v>275811</v>
      </c>
      <c r="AN446" s="731">
        <v>277131</v>
      </c>
      <c r="AP446" s="731">
        <v>150217</v>
      </c>
      <c r="AR446" s="731">
        <v>278249</v>
      </c>
      <c r="AS446" s="731">
        <v>75786</v>
      </c>
      <c r="AT446" s="731">
        <v>152995</v>
      </c>
    </row>
    <row r="447" spans="2:46" s="429" customFormat="1" ht="13.5" thickBot="1" x14ac:dyDescent="0.45">
      <c r="C447" s="767"/>
      <c r="D447" s="649"/>
      <c r="E447" s="649"/>
      <c r="F447" s="649"/>
      <c r="G447" s="649"/>
      <c r="H447" s="649"/>
      <c r="I447" s="649"/>
      <c r="J447" s="649"/>
      <c r="K447" s="649"/>
      <c r="L447" s="649"/>
      <c r="M447" s="649"/>
      <c r="N447" s="649"/>
      <c r="O447" s="649"/>
      <c r="P447" s="649"/>
      <c r="Q447" s="649"/>
      <c r="R447" s="649"/>
      <c r="S447" s="649"/>
      <c r="T447" s="649"/>
      <c r="U447" s="649"/>
      <c r="V447" s="649"/>
      <c r="W447" s="649"/>
      <c r="X447" s="649"/>
      <c r="Y447" s="649"/>
      <c r="Z447" s="649"/>
      <c r="AA447" s="649"/>
      <c r="AB447" s="732"/>
      <c r="AC447" s="649"/>
      <c r="AD447" s="649"/>
      <c r="AE447" s="649"/>
      <c r="AF447" s="732"/>
      <c r="AG447" s="649"/>
      <c r="AH447" s="649"/>
      <c r="AI447" s="649"/>
      <c r="AJ447" s="732"/>
      <c r="AK447" s="649"/>
      <c r="AL447" s="649"/>
      <c r="AM447" s="649"/>
      <c r="AN447" s="732"/>
      <c r="AO447" s="649"/>
      <c r="AP447" s="732"/>
      <c r="AQ447" s="649"/>
      <c r="AR447" s="732"/>
      <c r="AS447" s="732"/>
      <c r="AT447" s="732"/>
    </row>
    <row r="448" spans="2:46" ht="13.5" thickTop="1" x14ac:dyDescent="0.4">
      <c r="AB448" s="731"/>
      <c r="AC448" s="731"/>
      <c r="AD448" s="731"/>
      <c r="AE448" s="731"/>
      <c r="AF448" s="731"/>
      <c r="AG448" s="731"/>
      <c r="AH448" s="731"/>
      <c r="AI448" s="731"/>
    </row>
    <row r="449" spans="1:46" ht="13.5" x14ac:dyDescent="0.4">
      <c r="B449" s="183" t="s">
        <v>948</v>
      </c>
      <c r="AB449" s="731"/>
      <c r="AC449" s="731"/>
      <c r="AD449" s="731"/>
      <c r="AE449" s="731"/>
      <c r="AF449" s="731"/>
      <c r="AG449" s="731"/>
      <c r="AH449" s="731"/>
      <c r="AI449" s="731"/>
    </row>
    <row r="450" spans="1:46" x14ac:dyDescent="0.4">
      <c r="C450" s="747"/>
      <c r="AB450" s="626">
        <v>2012</v>
      </c>
      <c r="AF450" s="626">
        <v>2013</v>
      </c>
      <c r="AJ450" s="626">
        <v>2014</v>
      </c>
      <c r="AN450" s="626">
        <v>2015</v>
      </c>
      <c r="AP450" s="626" t="s">
        <v>214</v>
      </c>
      <c r="AR450" s="626">
        <v>2016</v>
      </c>
      <c r="AS450" s="626" t="s">
        <v>659</v>
      </c>
      <c r="AT450" s="626" t="s">
        <v>215</v>
      </c>
    </row>
    <row r="451" spans="1:46" x14ac:dyDescent="0.4">
      <c r="C451" s="754" t="s">
        <v>949</v>
      </c>
      <c r="AB451" s="679">
        <v>0.77815791189041705</v>
      </c>
      <c r="AF451" s="679">
        <v>0.75187785027059029</v>
      </c>
      <c r="AJ451" s="679">
        <v>0.74901804848138998</v>
      </c>
      <c r="AN451" s="679">
        <v>0.72797130927245435</v>
      </c>
      <c r="AP451" s="679">
        <v>0.65501719462073982</v>
      </c>
      <c r="AR451" s="679">
        <v>0.6981096064306227</v>
      </c>
      <c r="AS451" s="679">
        <v>0.64355625906872449</v>
      </c>
      <c r="AT451" s="679">
        <v>0.69286568309903873</v>
      </c>
    </row>
    <row r="452" spans="1:46" x14ac:dyDescent="0.4">
      <c r="C452" s="758" t="s">
        <v>950</v>
      </c>
      <c r="AB452" s="679">
        <v>0.22184208810958295</v>
      </c>
      <c r="AF452" s="679">
        <v>0.24812214972940971</v>
      </c>
      <c r="AJ452" s="679">
        <v>0.25098195151861002</v>
      </c>
      <c r="AN452" s="679">
        <v>0.27202869072754565</v>
      </c>
      <c r="AP452" s="679">
        <v>0.34498280537926018</v>
      </c>
      <c r="AR452" s="679">
        <v>0.3018903935693773</v>
      </c>
      <c r="AS452" s="679">
        <v>0.35644374093127551</v>
      </c>
      <c r="AT452" s="679">
        <v>0.30713431690096127</v>
      </c>
    </row>
    <row r="453" spans="1:46" x14ac:dyDescent="0.4">
      <c r="C453" s="759" t="s">
        <v>951</v>
      </c>
      <c r="AB453" s="679">
        <v>0.19753233571408621</v>
      </c>
      <c r="AF453" s="679">
        <v>0.20745984393788042</v>
      </c>
      <c r="AJ453" s="679">
        <v>0.20109061879640366</v>
      </c>
      <c r="AN453" s="679">
        <v>0.20553517753247702</v>
      </c>
      <c r="AP453" s="679">
        <v>0.22846478597589959</v>
      </c>
      <c r="AR453" s="679">
        <v>0.21449168578957259</v>
      </c>
      <c r="AS453" s="679">
        <v>0.21610869278459305</v>
      </c>
      <c r="AT453" s="679">
        <v>0.21170727127634606</v>
      </c>
    </row>
    <row r="454" spans="1:46" x14ac:dyDescent="0.4">
      <c r="C454" s="769" t="s">
        <v>952</v>
      </c>
      <c r="AB454" s="679">
        <v>0.28557114788293025</v>
      </c>
      <c r="AF454" s="679">
        <v>0.28030805393827052</v>
      </c>
      <c r="AJ454" s="679">
        <v>0.26751121579864379</v>
      </c>
      <c r="AN454" s="679">
        <v>0.25488965049659784</v>
      </c>
      <c r="AP454" s="679">
        <v>0.21510889926468532</v>
      </c>
      <c r="AR454" s="679">
        <v>0.25914829462147004</v>
      </c>
      <c r="AS454" s="679">
        <v>0.19315657564965044</v>
      </c>
      <c r="AT454" s="679">
        <v>0.21010849065721202</v>
      </c>
    </row>
    <row r="455" spans="1:46" s="429" customFormat="1" ht="13.5" thickBot="1" x14ac:dyDescent="0.45">
      <c r="C455" s="767"/>
      <c r="D455" s="649"/>
      <c r="E455" s="649"/>
      <c r="F455" s="649"/>
      <c r="G455" s="649"/>
      <c r="H455" s="649"/>
      <c r="I455" s="649"/>
      <c r="J455" s="649"/>
      <c r="K455" s="649"/>
      <c r="L455" s="649"/>
      <c r="M455" s="649"/>
      <c r="N455" s="649"/>
      <c r="O455" s="649"/>
      <c r="P455" s="649"/>
      <c r="Q455" s="649"/>
      <c r="R455" s="649"/>
      <c r="S455" s="649"/>
      <c r="T455" s="649"/>
      <c r="U455" s="649"/>
      <c r="V455" s="649"/>
      <c r="W455" s="649"/>
      <c r="X455" s="649"/>
      <c r="Y455" s="649"/>
      <c r="Z455" s="649"/>
      <c r="AA455" s="649"/>
      <c r="AB455" s="678"/>
      <c r="AC455" s="649"/>
      <c r="AD455" s="649"/>
      <c r="AE455" s="649"/>
      <c r="AF455" s="678"/>
      <c r="AG455" s="649"/>
      <c r="AH455" s="649"/>
      <c r="AI455" s="649"/>
      <c r="AJ455" s="678"/>
      <c r="AK455" s="649"/>
      <c r="AL455" s="649"/>
      <c r="AM455" s="649"/>
      <c r="AN455" s="678"/>
      <c r="AO455" s="649"/>
      <c r="AP455" s="678"/>
      <c r="AQ455" s="649"/>
      <c r="AR455" s="678"/>
      <c r="AS455" s="678"/>
      <c r="AT455" s="678"/>
    </row>
    <row r="456" spans="1:46" ht="13.5" thickTop="1" x14ac:dyDescent="0.4">
      <c r="AB456" s="731"/>
    </row>
    <row r="457" spans="1:46" ht="13.5" x14ac:dyDescent="0.4">
      <c r="B457" s="183" t="s">
        <v>953</v>
      </c>
    </row>
    <row r="458" spans="1:46" s="224" customFormat="1" ht="13.5" x14ac:dyDescent="0.4">
      <c r="A458" s="244"/>
      <c r="B458" s="244"/>
      <c r="C458" s="224" t="s">
        <v>954</v>
      </c>
      <c r="D458" s="644"/>
      <c r="E458" s="644"/>
      <c r="F458" s="644"/>
      <c r="G458" s="644"/>
      <c r="H458" s="644"/>
      <c r="I458" s="644"/>
      <c r="J458" s="644"/>
      <c r="K458" s="644"/>
      <c r="L458" s="644"/>
      <c r="M458" s="644"/>
      <c r="N458" s="644"/>
      <c r="O458" s="644"/>
      <c r="P458" s="644"/>
      <c r="Q458" s="644"/>
      <c r="R458" s="644"/>
      <c r="S458" s="644"/>
      <c r="T458" s="644"/>
      <c r="U458" s="644"/>
      <c r="V458" s="644"/>
      <c r="W458" s="644"/>
      <c r="X458" s="644"/>
      <c r="Y458" s="644"/>
      <c r="Z458" s="644"/>
      <c r="AA458" s="644"/>
      <c r="AB458" s="733">
        <v>0.14510302477871861</v>
      </c>
      <c r="AC458" s="644"/>
      <c r="AD458" s="644"/>
      <c r="AE458" s="644"/>
      <c r="AF458" s="733">
        <v>0.10169633542948833</v>
      </c>
      <c r="AG458" s="644"/>
      <c r="AH458" s="644"/>
      <c r="AI458" s="644"/>
      <c r="AJ458" s="733">
        <v>5.0656931530812084E-2</v>
      </c>
      <c r="AK458" s="644"/>
      <c r="AL458" s="644"/>
      <c r="AM458" s="644"/>
      <c r="AN458" s="733">
        <v>5.1902738466661361E-3</v>
      </c>
      <c r="AO458" s="644"/>
      <c r="AP458" s="644"/>
      <c r="AQ458" s="644"/>
      <c r="AR458" s="733">
        <v>4.9906380527149647E-3</v>
      </c>
      <c r="AS458" s="644"/>
      <c r="AT458" s="733">
        <v>2.0118680968564145E-2</v>
      </c>
    </row>
    <row r="459" spans="1:46" x14ac:dyDescent="0.4">
      <c r="C459" s="770" t="s">
        <v>955</v>
      </c>
      <c r="AB459" s="734">
        <v>0.23193906564094324</v>
      </c>
      <c r="AF459" s="734">
        <v>0.16553168055161316</v>
      </c>
      <c r="AJ459" s="734">
        <v>0.13141065600298746</v>
      </c>
      <c r="AN459" s="734">
        <v>0.19139483036740282</v>
      </c>
      <c r="AR459" s="734">
        <v>0.11488404083400772</v>
      </c>
      <c r="AT459" s="734">
        <v>0.15450016748775405</v>
      </c>
    </row>
    <row r="460" spans="1:46" x14ac:dyDescent="0.4">
      <c r="C460" s="771" t="s">
        <v>956</v>
      </c>
      <c r="AB460" s="734">
        <v>3.2226541593579017E-2</v>
      </c>
      <c r="AF460" s="734">
        <v>-5.8669670672732273E-2</v>
      </c>
      <c r="AJ460" s="734">
        <v>5.943983740868336E-2</v>
      </c>
      <c r="AN460" s="734">
        <v>-0.13947399471159697</v>
      </c>
      <c r="AR460" s="734">
        <v>-0.24458661897025991</v>
      </c>
      <c r="AT460" s="734">
        <v>-4.4036594845443512E-2</v>
      </c>
    </row>
    <row r="461" spans="1:46" x14ac:dyDescent="0.4">
      <c r="C461" s="771" t="s">
        <v>957</v>
      </c>
      <c r="AB461" s="734">
        <v>3.1984456331406369E-2</v>
      </c>
      <c r="AF461" s="734">
        <v>0.11389201938908464</v>
      </c>
      <c r="AJ461" s="734">
        <v>7.2511550966858712E-2</v>
      </c>
      <c r="AN461" s="734">
        <v>8.8350477403849631E-2</v>
      </c>
      <c r="AR461" s="734">
        <v>5.1364683854241686E-2</v>
      </c>
      <c r="AT461" s="734">
        <v>-8.0720316482582544E-2</v>
      </c>
    </row>
    <row r="462" spans="1:46" x14ac:dyDescent="0.4">
      <c r="C462" s="771" t="s">
        <v>958</v>
      </c>
      <c r="AB462" s="734">
        <v>-0.13806519705437886</v>
      </c>
      <c r="AF462" s="734">
        <v>-0.10098411754108869</v>
      </c>
      <c r="AJ462" s="734">
        <v>-0.14463902040195464</v>
      </c>
      <c r="AN462" s="734">
        <v>-3.169541706782103E-2</v>
      </c>
      <c r="AR462" s="734">
        <v>8.9222958375342068E-2</v>
      </c>
      <c r="AT462" s="734">
        <v>0.1015027612574341</v>
      </c>
    </row>
    <row r="463" spans="1:46" x14ac:dyDescent="0.4">
      <c r="C463" s="771" t="s">
        <v>959</v>
      </c>
      <c r="AB463" s="734">
        <v>-1.2588452589412075E-2</v>
      </c>
      <c r="AF463" s="734">
        <v>-1.9171229748922245E-2</v>
      </c>
      <c r="AJ463" s="734">
        <v>-7.0001711254349439E-2</v>
      </c>
      <c r="AN463" s="734">
        <v>-0.10953866645432632</v>
      </c>
      <c r="AR463" s="734">
        <v>-3.2442748091603053E-3</v>
      </c>
      <c r="AT463" s="734">
        <v>-0.11224245964316053</v>
      </c>
    </row>
    <row r="464" spans="1:46" x14ac:dyDescent="0.4">
      <c r="C464" s="772" t="s">
        <v>960</v>
      </c>
      <c r="AB464" s="734">
        <v>-3.9338914341912733E-4</v>
      </c>
      <c r="AF464" s="734">
        <v>1.0976534515335728E-3</v>
      </c>
      <c r="AJ464" s="734">
        <v>1.935618808586694E-3</v>
      </c>
      <c r="AN464" s="734">
        <v>6.1530443091579014E-3</v>
      </c>
      <c r="AR464" s="734">
        <v>-2.6501512314561428E-3</v>
      </c>
      <c r="AT464" s="734">
        <v>1.1151231945624469E-3</v>
      </c>
    </row>
    <row r="465" spans="2:46" s="429" customFormat="1" ht="13.5" thickBot="1" x14ac:dyDescent="0.45">
      <c r="D465" s="649"/>
      <c r="E465" s="649"/>
      <c r="F465" s="649"/>
      <c r="G465" s="649"/>
      <c r="H465" s="649"/>
      <c r="I465" s="649"/>
      <c r="J465" s="649"/>
      <c r="K465" s="649"/>
      <c r="L465" s="649"/>
      <c r="M465" s="649"/>
      <c r="N465" s="649"/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49"/>
      <c r="AA465" s="649"/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49"/>
      <c r="AN465" s="649"/>
      <c r="AO465" s="649"/>
      <c r="AP465" s="649"/>
      <c r="AQ465" s="649"/>
      <c r="AR465" s="649"/>
      <c r="AS465" s="649"/>
      <c r="AT465" s="649"/>
    </row>
    <row r="466" spans="2:46" ht="13.5" thickTop="1" x14ac:dyDescent="0.4"/>
    <row r="467" spans="2:46" ht="13.5" x14ac:dyDescent="0.4">
      <c r="B467" s="183" t="s">
        <v>961</v>
      </c>
      <c r="AB467" s="1047">
        <v>2012</v>
      </c>
      <c r="AF467" s="1047">
        <v>2013</v>
      </c>
      <c r="AJ467" s="1047">
        <v>2014</v>
      </c>
      <c r="AN467" s="1047">
        <v>2015</v>
      </c>
      <c r="AR467" s="1047">
        <v>2016</v>
      </c>
      <c r="AS467" s="1047" t="s">
        <v>659</v>
      </c>
      <c r="AT467" s="563" t="s">
        <v>215</v>
      </c>
    </row>
    <row r="468" spans="2:46" x14ac:dyDescent="0.4">
      <c r="C468" s="775" t="s">
        <v>962</v>
      </c>
      <c r="AB468" s="995">
        <v>8583289</v>
      </c>
      <c r="AF468" s="995">
        <v>9681415</v>
      </c>
      <c r="AJ468" s="995">
        <v>10768750</v>
      </c>
      <c r="AN468" s="995">
        <v>11652812</v>
      </c>
      <c r="AR468" s="995">
        <v>12767334</v>
      </c>
      <c r="AS468" s="995">
        <v>13267798.000000002</v>
      </c>
      <c r="AT468" s="987">
        <v>13549396</v>
      </c>
    </row>
    <row r="469" spans="2:46" x14ac:dyDescent="0.4">
      <c r="C469" s="778" t="s">
        <v>963</v>
      </c>
      <c r="AB469" s="985">
        <v>1181029</v>
      </c>
      <c r="AF469" s="985">
        <v>1049887</v>
      </c>
      <c r="AJ469" s="985">
        <v>1251238</v>
      </c>
      <c r="AN469" s="985">
        <v>1680126.0000000002</v>
      </c>
      <c r="AR469" s="985">
        <v>1553100</v>
      </c>
      <c r="AS469" s="985">
        <v>1554511</v>
      </c>
      <c r="AT469" s="988">
        <v>1797897</v>
      </c>
    </row>
    <row r="470" spans="2:46" x14ac:dyDescent="0.4">
      <c r="C470" s="778" t="s">
        <v>964</v>
      </c>
      <c r="AB470" s="985">
        <v>3719172</v>
      </c>
      <c r="AF470" s="985">
        <v>3997756</v>
      </c>
      <c r="AJ470" s="985">
        <v>4101506</v>
      </c>
      <c r="AN470" s="985">
        <v>4657820</v>
      </c>
      <c r="AR470" s="985">
        <v>5189803.9999999991</v>
      </c>
      <c r="AS470" s="985">
        <v>5255339</v>
      </c>
      <c r="AT470" s="988">
        <v>5226171</v>
      </c>
    </row>
    <row r="471" spans="2:46" x14ac:dyDescent="0.4">
      <c r="C471" s="781" t="s">
        <v>965</v>
      </c>
      <c r="AB471" s="1048">
        <v>364715</v>
      </c>
      <c r="AF471" s="1048">
        <v>324488</v>
      </c>
      <c r="AJ471" s="1048">
        <v>331731</v>
      </c>
      <c r="AN471" s="1048">
        <v>352143</v>
      </c>
      <c r="AR471" s="1048">
        <v>291370</v>
      </c>
      <c r="AS471" s="1048">
        <v>409635.00000000006</v>
      </c>
      <c r="AT471" s="1001">
        <v>343822</v>
      </c>
    </row>
    <row r="472" spans="2:46" x14ac:dyDescent="0.4">
      <c r="C472" s="784" t="s">
        <v>966</v>
      </c>
      <c r="AB472" s="990">
        <v>4083887.0000000005</v>
      </c>
      <c r="AF472" s="990">
        <v>4322243.9999999991</v>
      </c>
      <c r="AJ472" s="990">
        <v>4433237</v>
      </c>
      <c r="AN472" s="990">
        <v>5009963</v>
      </c>
      <c r="AR472" s="990">
        <v>5481173.9999999991</v>
      </c>
      <c r="AS472" s="990">
        <v>5664974</v>
      </c>
      <c r="AT472" s="992">
        <v>5569993</v>
      </c>
    </row>
    <row r="473" spans="2:46" x14ac:dyDescent="0.4">
      <c r="C473" s="787" t="s">
        <v>967</v>
      </c>
      <c r="AB473" s="995">
        <v>3174943</v>
      </c>
      <c r="AF473" s="995">
        <v>3294007</v>
      </c>
      <c r="AJ473" s="995">
        <v>3523622</v>
      </c>
      <c r="AN473" s="995">
        <v>3059633</v>
      </c>
      <c r="AR473" s="995">
        <v>3350787.9999999995</v>
      </c>
      <c r="AS473" s="995">
        <v>3437830.0000000005</v>
      </c>
      <c r="AT473" s="987">
        <v>3542773.0000000005</v>
      </c>
    </row>
    <row r="474" spans="2:46" x14ac:dyDescent="0.4">
      <c r="C474" s="788" t="s">
        <v>968</v>
      </c>
      <c r="AB474" s="985">
        <v>519069.00000000006</v>
      </c>
      <c r="AF474" s="985">
        <v>570199</v>
      </c>
      <c r="AJ474" s="985">
        <v>633106</v>
      </c>
      <c r="AN474" s="985">
        <v>807246</v>
      </c>
      <c r="AR474" s="985">
        <v>984868.99999999988</v>
      </c>
      <c r="AS474" s="985">
        <v>979823</v>
      </c>
      <c r="AT474" s="988">
        <v>1053987</v>
      </c>
    </row>
    <row r="475" spans="2:46" x14ac:dyDescent="0.4">
      <c r="C475" s="784" t="s">
        <v>969</v>
      </c>
      <c r="AB475" s="998">
        <v>17542217</v>
      </c>
      <c r="AF475" s="998">
        <v>18917752</v>
      </c>
      <c r="AJ475" s="998">
        <v>20609953</v>
      </c>
      <c r="AN475" s="998">
        <v>22209780</v>
      </c>
      <c r="AR475" s="998">
        <v>24137265.000000004</v>
      </c>
      <c r="AS475" s="998">
        <v>24904936.000000007</v>
      </c>
      <c r="AT475" s="1049">
        <v>25514046</v>
      </c>
    </row>
    <row r="477" spans="2:46" s="429" customFormat="1" ht="13.5" thickBot="1" x14ac:dyDescent="0.45">
      <c r="D477" s="649"/>
      <c r="E477" s="649"/>
      <c r="F477" s="649"/>
      <c r="G477" s="649"/>
      <c r="H477" s="649"/>
      <c r="I477" s="649"/>
      <c r="J477" s="649"/>
      <c r="K477" s="649"/>
      <c r="L477" s="649"/>
      <c r="M477" s="649"/>
      <c r="N477" s="649"/>
      <c r="O477" s="649"/>
      <c r="P477" s="649"/>
      <c r="Q477" s="649"/>
      <c r="R477" s="649"/>
      <c r="S477" s="649"/>
      <c r="T477" s="649"/>
      <c r="U477" s="649"/>
      <c r="V477" s="649"/>
      <c r="W477" s="649"/>
      <c r="X477" s="649"/>
      <c r="Y477" s="649"/>
      <c r="Z477" s="649"/>
      <c r="AA477" s="649"/>
      <c r="AB477" s="649"/>
      <c r="AC477" s="649"/>
      <c r="AD477" s="649"/>
      <c r="AE477" s="649"/>
      <c r="AF477" s="649"/>
      <c r="AG477" s="649"/>
      <c r="AH477" s="649"/>
      <c r="AI477" s="649"/>
      <c r="AJ477" s="649"/>
      <c r="AK477" s="649"/>
      <c r="AL477" s="649"/>
      <c r="AM477" s="649"/>
      <c r="AN477" s="649"/>
      <c r="AO477" s="649"/>
      <c r="AP477" s="649"/>
      <c r="AQ477" s="649"/>
      <c r="AR477" s="649"/>
      <c r="AS477" s="649"/>
      <c r="AT477" s="649"/>
    </row>
    <row r="478" spans="2:46" ht="13.5" thickTop="1" x14ac:dyDescent="0.4"/>
    <row r="479" spans="2:46" ht="13.5" x14ac:dyDescent="0.4">
      <c r="B479" s="183" t="s">
        <v>970</v>
      </c>
      <c r="AB479" s="626">
        <v>2012</v>
      </c>
      <c r="AF479" s="626">
        <v>2013</v>
      </c>
      <c r="AJ479" s="626">
        <v>2014</v>
      </c>
      <c r="AN479" s="626">
        <v>2015</v>
      </c>
      <c r="AR479" s="626">
        <v>2016</v>
      </c>
      <c r="AS479" s="626" t="s">
        <v>659</v>
      </c>
      <c r="AT479" s="626" t="s">
        <v>215</v>
      </c>
    </row>
    <row r="480" spans="2:46" x14ac:dyDescent="0.4">
      <c r="C480" s="784"/>
      <c r="AB480" s="679">
        <v>0.48929328601966338</v>
      </c>
      <c r="AF480" s="679">
        <v>0.51176350128704506</v>
      </c>
      <c r="AJ480" s="679">
        <v>0.52250240454211616</v>
      </c>
      <c r="AN480" s="679">
        <v>0.52467030290259509</v>
      </c>
      <c r="AR480" s="679">
        <v>0.5289470037305386</v>
      </c>
      <c r="AS480" s="679">
        <v>0.53273768701915147</v>
      </c>
      <c r="AT480" s="679">
        <v>0.53105634441515082</v>
      </c>
    </row>
    <row r="481" spans="2:46" x14ac:dyDescent="0.4">
      <c r="C481" s="778" t="s">
        <v>971</v>
      </c>
      <c r="AB481" s="679">
        <v>6.7324956703021077E-2</v>
      </c>
      <c r="AF481" s="679">
        <v>5.5497450225587067E-2</v>
      </c>
      <c r="AJ481" s="679">
        <v>6.0710376195423646E-2</v>
      </c>
      <c r="AN481" s="679">
        <v>7.5648025329381918E-2</v>
      </c>
      <c r="AR481" s="679">
        <v>6.4344489734027441E-2</v>
      </c>
      <c r="AS481" s="679">
        <v>6.241778738158571E-2</v>
      </c>
      <c r="AT481" s="679">
        <v>7.0466949851858071E-2</v>
      </c>
    </row>
    <row r="482" spans="2:46" x14ac:dyDescent="0.4">
      <c r="C482" s="778" t="s">
        <v>972</v>
      </c>
      <c r="AB482" s="679">
        <v>0.21201265495689631</v>
      </c>
      <c r="AF482" s="679">
        <v>0.21132299440229474</v>
      </c>
      <c r="AJ482" s="679">
        <v>0.19900608215846002</v>
      </c>
      <c r="AN482" s="679">
        <v>0.20971932184830283</v>
      </c>
      <c r="AR482" s="679">
        <v>0.21501209851240391</v>
      </c>
      <c r="AS482" s="679">
        <v>0.2110159608520977</v>
      </c>
      <c r="AT482" s="679">
        <v>0.20483505438533739</v>
      </c>
    </row>
    <row r="483" spans="2:46" x14ac:dyDescent="0.4">
      <c r="C483" s="778" t="s">
        <v>973</v>
      </c>
      <c r="AB483" s="679">
        <v>2.0790701654186585E-2</v>
      </c>
      <c r="AF483" s="679">
        <v>1.7152566541732868E-2</v>
      </c>
      <c r="AJ483" s="679">
        <v>1.6095669893085151E-2</v>
      </c>
      <c r="AN483" s="679">
        <v>1.5855312389406826E-2</v>
      </c>
      <c r="AR483" s="679">
        <v>1.207137594089471E-2</v>
      </c>
      <c r="AS483" s="679">
        <v>1.6447944295058615E-2</v>
      </c>
      <c r="AT483" s="679">
        <v>1.347579290246635E-2</v>
      </c>
    </row>
    <row r="484" spans="2:46" x14ac:dyDescent="0.4">
      <c r="C484" s="781" t="s">
        <v>974</v>
      </c>
      <c r="AB484" s="679">
        <v>0.2328033566110829</v>
      </c>
      <c r="AF484" s="679">
        <v>0.2284755609440276</v>
      </c>
      <c r="AJ484" s="679">
        <v>0.21510175205154516</v>
      </c>
      <c r="AN484" s="679">
        <v>0.22557463423770965</v>
      </c>
      <c r="AR484" s="679">
        <v>0.22708347445329863</v>
      </c>
      <c r="AS484" s="679">
        <v>0.22746390514715631</v>
      </c>
      <c r="AT484" s="679">
        <v>0.21831084728780373</v>
      </c>
    </row>
    <row r="485" spans="2:46" x14ac:dyDescent="0.4">
      <c r="C485" s="784" t="s">
        <v>975</v>
      </c>
      <c r="AB485" s="679">
        <v>0.18098869715270313</v>
      </c>
      <c r="AF485" s="679">
        <v>0.17412253844960016</v>
      </c>
      <c r="AJ485" s="679">
        <v>0.17096700802762627</v>
      </c>
      <c r="AN485" s="679">
        <v>0.13776061716955323</v>
      </c>
      <c r="AR485" s="679">
        <v>0.13882219050087072</v>
      </c>
      <c r="AS485" s="679">
        <v>0.13803809815050314</v>
      </c>
      <c r="AT485" s="679">
        <v>0.13885578947376673</v>
      </c>
    </row>
    <row r="486" spans="2:46" x14ac:dyDescent="0.4">
      <c r="C486" s="787" t="s">
        <v>976</v>
      </c>
      <c r="AB486" s="679">
        <v>2.9589703513529683E-2</v>
      </c>
      <c r="AF486" s="679">
        <v>3.0140949093740103E-2</v>
      </c>
      <c r="AJ486" s="679">
        <v>3.071845918328877E-2</v>
      </c>
      <c r="AN486" s="679">
        <v>3.6346420360759989E-2</v>
      </c>
      <c r="AR486" s="679">
        <v>4.080284158126448E-2</v>
      </c>
      <c r="AS486" s="679">
        <v>3.9342522301603171E-2</v>
      </c>
      <c r="AT486" s="679">
        <v>4.1310068971420678E-2</v>
      </c>
    </row>
    <row r="487" spans="2:46" x14ac:dyDescent="0.4">
      <c r="C487" s="791" t="s">
        <v>977</v>
      </c>
    </row>
    <row r="489" spans="2:46" s="429" customFormat="1" ht="13.5" thickBot="1" x14ac:dyDescent="0.45">
      <c r="D489" s="649"/>
      <c r="E489" s="649"/>
      <c r="F489" s="649"/>
      <c r="G489" s="649"/>
      <c r="H489" s="649"/>
      <c r="I489" s="649"/>
      <c r="J489" s="649"/>
      <c r="K489" s="649"/>
      <c r="L489" s="649"/>
      <c r="M489" s="649"/>
      <c r="N489" s="649"/>
      <c r="O489" s="649"/>
      <c r="P489" s="649"/>
      <c r="Q489" s="649"/>
      <c r="R489" s="649"/>
      <c r="S489" s="649"/>
      <c r="T489" s="649"/>
      <c r="U489" s="649"/>
      <c r="V489" s="649"/>
      <c r="W489" s="649"/>
      <c r="X489" s="649"/>
      <c r="Y489" s="649"/>
      <c r="Z489" s="649"/>
      <c r="AA489" s="649"/>
      <c r="AB489" s="649"/>
      <c r="AC489" s="649"/>
      <c r="AD489" s="649"/>
      <c r="AE489" s="649"/>
      <c r="AF489" s="649"/>
      <c r="AG489" s="649"/>
      <c r="AH489" s="649"/>
      <c r="AI489" s="649"/>
      <c r="AJ489" s="649"/>
      <c r="AK489" s="649"/>
      <c r="AL489" s="649"/>
      <c r="AM489" s="649"/>
      <c r="AN489" s="649"/>
      <c r="AO489" s="649"/>
      <c r="AP489" s="649"/>
      <c r="AQ489" s="649"/>
      <c r="AR489" s="649"/>
      <c r="AS489" s="649"/>
      <c r="AT489" s="649"/>
    </row>
    <row r="490" spans="2:46" ht="13.5" thickTop="1" x14ac:dyDescent="0.4"/>
    <row r="491" spans="2:46" ht="13.5" x14ac:dyDescent="0.4">
      <c r="B491" s="183" t="s">
        <v>978</v>
      </c>
    </row>
    <row r="492" spans="2:46" x14ac:dyDescent="0.4">
      <c r="AB492" s="626">
        <v>2012</v>
      </c>
      <c r="AF492" s="626">
        <v>2013</v>
      </c>
      <c r="AJ492" s="626">
        <v>2014</v>
      </c>
      <c r="AN492" s="626">
        <v>2015</v>
      </c>
      <c r="AR492" s="626">
        <v>2016</v>
      </c>
      <c r="AS492" s="626" t="s">
        <v>659</v>
      </c>
      <c r="AT492" s="626" t="s">
        <v>215</v>
      </c>
    </row>
    <row r="493" spans="2:46" x14ac:dyDescent="0.4">
      <c r="C493" s="788" t="s">
        <v>979</v>
      </c>
      <c r="AB493" s="626">
        <v>13642910</v>
      </c>
      <c r="AF493" s="626">
        <v>14620825</v>
      </c>
      <c r="AJ493" s="626">
        <v>15556601</v>
      </c>
      <c r="AN493" s="626">
        <v>16281939.000000002</v>
      </c>
      <c r="AR493" s="626">
        <v>17825302</v>
      </c>
      <c r="AS493" s="626">
        <v>18565009</v>
      </c>
      <c r="AT493" s="626">
        <v>19021171</v>
      </c>
    </row>
    <row r="494" spans="2:46" x14ac:dyDescent="0.4">
      <c r="C494" s="788" t="s">
        <v>980</v>
      </c>
      <c r="AB494" s="626">
        <v>1724568.9999999998</v>
      </c>
      <c r="AF494" s="626">
        <v>1568559</v>
      </c>
      <c r="AJ494" s="626">
        <v>1920196</v>
      </c>
      <c r="AN494" s="626">
        <v>2603051</v>
      </c>
      <c r="AR494" s="626">
        <v>2606105</v>
      </c>
      <c r="AS494" s="626">
        <v>2545150</v>
      </c>
      <c r="AT494" s="626">
        <v>2496970</v>
      </c>
    </row>
    <row r="495" spans="2:46" x14ac:dyDescent="0.4">
      <c r="C495" s="788" t="s">
        <v>981</v>
      </c>
      <c r="AB495" s="626">
        <v>232186</v>
      </c>
      <c r="AF495" s="626">
        <v>253017.99999999997</v>
      </c>
      <c r="AJ495" s="626">
        <v>279590</v>
      </c>
      <c r="AN495" s="626">
        <v>306622</v>
      </c>
      <c r="AR495" s="626">
        <v>357937</v>
      </c>
      <c r="AS495" s="626">
        <v>374569</v>
      </c>
      <c r="AT495" s="626">
        <v>413016</v>
      </c>
    </row>
    <row r="496" spans="2:46" x14ac:dyDescent="0.4">
      <c r="C496" s="788" t="s">
        <v>982</v>
      </c>
      <c r="AB496" s="626">
        <v>1133</v>
      </c>
      <c r="AF496" s="626">
        <v>724</v>
      </c>
      <c r="AJ496" s="626">
        <v>631</v>
      </c>
      <c r="AN496" s="626">
        <v>210</v>
      </c>
      <c r="AR496" s="626">
        <v>545</v>
      </c>
      <c r="AS496" s="626">
        <v>534</v>
      </c>
      <c r="AT496" s="626">
        <v>511.00000000000006</v>
      </c>
    </row>
    <row r="497" spans="2:46" x14ac:dyDescent="0.4">
      <c r="C497" s="788" t="s">
        <v>983</v>
      </c>
      <c r="AB497" s="626">
        <v>812960</v>
      </c>
      <c r="AF497" s="626">
        <v>1196163</v>
      </c>
      <c r="AJ497" s="626">
        <v>1315631.0000000002</v>
      </c>
      <c r="AN497" s="626">
        <v>1217439.0000000002</v>
      </c>
      <c r="AR497" s="626">
        <v>1366213</v>
      </c>
      <c r="AS497" s="626">
        <v>1374703</v>
      </c>
      <c r="AT497" s="626">
        <v>1551744</v>
      </c>
    </row>
    <row r="498" spans="2:46" x14ac:dyDescent="0.4">
      <c r="C498" s="788" t="s">
        <v>984</v>
      </c>
      <c r="AB498" s="626">
        <v>16413757.999999998</v>
      </c>
      <c r="AF498" s="626">
        <v>17639289</v>
      </c>
      <c r="AJ498" s="626">
        <v>19072649</v>
      </c>
      <c r="AN498" s="626">
        <v>20409261.000000004</v>
      </c>
      <c r="AR498" s="626">
        <v>22156102</v>
      </c>
      <c r="AS498" s="626">
        <v>22859965</v>
      </c>
      <c r="AT498" s="626">
        <v>23483412</v>
      </c>
    </row>
    <row r="500" spans="2:46" s="429" customFormat="1" ht="13.5" thickBot="1" x14ac:dyDescent="0.45">
      <c r="D500" s="649"/>
      <c r="E500" s="649"/>
      <c r="F500" s="649"/>
      <c r="G500" s="649"/>
      <c r="H500" s="649"/>
      <c r="I500" s="649"/>
      <c r="J500" s="649"/>
      <c r="K500" s="649"/>
      <c r="L500" s="649"/>
      <c r="M500" s="649"/>
      <c r="N500" s="649"/>
      <c r="O500" s="649"/>
      <c r="P500" s="649"/>
      <c r="Q500" s="649"/>
      <c r="R500" s="649"/>
      <c r="S500" s="649"/>
      <c r="T500" s="649"/>
      <c r="U500" s="649"/>
      <c r="V500" s="649"/>
      <c r="W500" s="649"/>
      <c r="X500" s="649"/>
      <c r="Y500" s="649"/>
      <c r="Z500" s="649"/>
      <c r="AA500" s="649"/>
      <c r="AB500" s="649"/>
      <c r="AC500" s="649"/>
      <c r="AD500" s="649"/>
      <c r="AE500" s="649"/>
      <c r="AF500" s="649"/>
      <c r="AG500" s="649"/>
      <c r="AH500" s="649"/>
      <c r="AI500" s="649"/>
      <c r="AJ500" s="649"/>
      <c r="AK500" s="649"/>
      <c r="AL500" s="649"/>
      <c r="AM500" s="649"/>
      <c r="AN500" s="649"/>
      <c r="AO500" s="649"/>
      <c r="AP500" s="649"/>
      <c r="AQ500" s="649"/>
      <c r="AR500" s="649"/>
      <c r="AS500" s="649"/>
      <c r="AT500" s="649"/>
    </row>
    <row r="501" spans="2:46" ht="13.5" thickTop="1" x14ac:dyDescent="0.4"/>
    <row r="502" spans="2:46" x14ac:dyDescent="0.4">
      <c r="B502" s="784" t="s">
        <v>985</v>
      </c>
    </row>
    <row r="504" spans="2:46" x14ac:dyDescent="0.4">
      <c r="C504" s="784"/>
      <c r="AB504" s="626">
        <v>2012</v>
      </c>
      <c r="AF504" s="626">
        <v>2013</v>
      </c>
      <c r="AJ504" s="626">
        <v>2014</v>
      </c>
      <c r="AN504" s="626">
        <v>2015</v>
      </c>
      <c r="AR504" s="626">
        <v>2016</v>
      </c>
      <c r="AS504" s="626" t="s">
        <v>659</v>
      </c>
      <c r="AT504" s="626" t="s">
        <v>215</v>
      </c>
    </row>
    <row r="505" spans="2:46" x14ac:dyDescent="0.4">
      <c r="C505" s="778" t="s">
        <v>986</v>
      </c>
      <c r="AB505" s="679">
        <v>0.83118747090093581</v>
      </c>
      <c r="AF505" s="679">
        <v>0.82887836352134159</v>
      </c>
      <c r="AJ505" s="679">
        <v>0.81564972962067317</v>
      </c>
      <c r="AN505" s="679">
        <v>0.79777209963653251</v>
      </c>
      <c r="AR505" s="679">
        <v>0.80453240375946999</v>
      </c>
      <c r="AS505" s="679">
        <v>0.81211887244796743</v>
      </c>
      <c r="AT505" s="679">
        <v>0.80998327670612769</v>
      </c>
    </row>
    <row r="506" spans="2:46" x14ac:dyDescent="0.4">
      <c r="C506" s="778" t="s">
        <v>987</v>
      </c>
      <c r="AB506" s="679">
        <v>0.10506850411709494</v>
      </c>
      <c r="AF506" s="679">
        <v>8.8924162419471681E-2</v>
      </c>
      <c r="AJ506" s="679">
        <v>0.10067799181959465</v>
      </c>
      <c r="AN506" s="679">
        <v>0.12754263860901183</v>
      </c>
      <c r="AR506" s="679">
        <v>0.11762470672864749</v>
      </c>
      <c r="AS506" s="679">
        <v>0.11133656591337739</v>
      </c>
      <c r="AT506" s="679">
        <v>0.10632909732197349</v>
      </c>
    </row>
    <row r="507" spans="2:46" x14ac:dyDescent="0.4">
      <c r="C507" s="778" t="s">
        <v>988</v>
      </c>
      <c r="AB507" s="679">
        <v>1.4145815967312302E-2</v>
      </c>
      <c r="AF507" s="679">
        <v>1.4344002187389753E-2</v>
      </c>
      <c r="AJ507" s="679">
        <v>1.4659211732990002E-2</v>
      </c>
      <c r="AN507" s="679">
        <v>1.5023669891820185E-2</v>
      </c>
      <c r="AR507" s="679">
        <v>1.6155233443139051E-2</v>
      </c>
      <c r="AS507" s="679">
        <v>1.6385370668765241E-2</v>
      </c>
      <c r="AT507" s="679">
        <v>1.7587563510787954E-2</v>
      </c>
    </row>
    <row r="508" spans="2:46" x14ac:dyDescent="0.4">
      <c r="C508" s="778" t="s">
        <v>989</v>
      </c>
      <c r="AB508" s="679">
        <v>6.902745855032102E-5</v>
      </c>
      <c r="AF508" s="679">
        <v>4.1044738254472734E-5</v>
      </c>
      <c r="AJ508" s="679">
        <v>3.3084025192305487E-5</v>
      </c>
      <c r="AN508" s="679">
        <v>1.0289446540960007E-5</v>
      </c>
      <c r="AR508" s="679">
        <v>2.4598189699614131E-5</v>
      </c>
      <c r="AS508" s="679">
        <v>2.335961581743454E-5</v>
      </c>
      <c r="AT508" s="679">
        <v>2.1760040661893596E-5</v>
      </c>
    </row>
    <row r="509" spans="2:46" x14ac:dyDescent="0.4">
      <c r="C509" s="781" t="s">
        <v>990</v>
      </c>
      <c r="AB509" s="679">
        <v>4.9529181556106777E-2</v>
      </c>
      <c r="AF509" s="679">
        <v>6.781242713354263E-2</v>
      </c>
      <c r="AJ509" s="679">
        <v>6.8979982801550016E-2</v>
      </c>
      <c r="AN509" s="679">
        <v>5.9651302416094336E-2</v>
      </c>
      <c r="AR509" s="679">
        <v>6.1663057879043894E-2</v>
      </c>
      <c r="AS509" s="679">
        <v>6.0135831354072508E-2</v>
      </c>
      <c r="AT509" s="679">
        <v>6.6078302420448959E-2</v>
      </c>
    </row>
    <row r="510" spans="2:46" x14ac:dyDescent="0.4">
      <c r="C510" s="792" t="s">
        <v>991</v>
      </c>
      <c r="AR510" s="679">
        <v>0.11762470672864749</v>
      </c>
      <c r="AS510" s="679">
        <v>0.11133656591337739</v>
      </c>
      <c r="AT510" s="679">
        <v>0.1063887138717321</v>
      </c>
    </row>
    <row r="513" spans="2:46" s="429" customFormat="1" ht="13.5" thickBot="1" x14ac:dyDescent="0.45">
      <c r="D513" s="649"/>
      <c r="E513" s="649"/>
      <c r="F513" s="649"/>
      <c r="G513" s="649"/>
      <c r="H513" s="649"/>
      <c r="I513" s="649"/>
      <c r="J513" s="649"/>
      <c r="K513" s="649"/>
      <c r="L513" s="649"/>
      <c r="M513" s="649"/>
      <c r="N513" s="649"/>
      <c r="O513" s="649"/>
      <c r="P513" s="649"/>
      <c r="Q513" s="649"/>
      <c r="R513" s="649"/>
      <c r="S513" s="649"/>
      <c r="T513" s="649"/>
      <c r="U513" s="649"/>
      <c r="V513" s="649"/>
      <c r="W513" s="649"/>
      <c r="X513" s="649"/>
      <c r="Y513" s="649"/>
      <c r="Z513" s="649"/>
      <c r="AA513" s="649"/>
      <c r="AB513" s="649"/>
      <c r="AC513" s="649"/>
      <c r="AD513" s="649"/>
      <c r="AE513" s="649"/>
      <c r="AF513" s="649"/>
      <c r="AG513" s="649"/>
      <c r="AH513" s="649"/>
      <c r="AI513" s="649"/>
      <c r="AJ513" s="649"/>
      <c r="AK513" s="649"/>
      <c r="AL513" s="649"/>
      <c r="AM513" s="649"/>
      <c r="AN513" s="649"/>
      <c r="AO513" s="649"/>
      <c r="AP513" s="649"/>
      <c r="AQ513" s="649"/>
      <c r="AR513" s="649"/>
      <c r="AS513" s="649"/>
      <c r="AT513" s="649"/>
    </row>
    <row r="514" spans="2:46" ht="13.9" thickTop="1" x14ac:dyDescent="0.4">
      <c r="B514" s="183" t="s">
        <v>992</v>
      </c>
    </row>
    <row r="515" spans="2:46" x14ac:dyDescent="0.4">
      <c r="AB515" s="716">
        <v>41274</v>
      </c>
      <c r="AF515" s="716">
        <v>41639</v>
      </c>
      <c r="AJ515" s="716">
        <v>42004</v>
      </c>
      <c r="AN515" s="716">
        <v>42369</v>
      </c>
      <c r="AR515" s="716">
        <v>42735</v>
      </c>
      <c r="AT515" s="626" t="s">
        <v>215</v>
      </c>
    </row>
    <row r="516" spans="2:46" x14ac:dyDescent="0.4">
      <c r="C516" s="746" t="s">
        <v>993</v>
      </c>
      <c r="AB516" s="679">
        <v>8.4708778998629219E-3</v>
      </c>
      <c r="AF516" s="679">
        <v>9.4421959905966052E-3</v>
      </c>
      <c r="AJ516" s="679">
        <v>1.1290881799213176E-2</v>
      </c>
      <c r="AN516" s="679">
        <v>1.5043240580733209E-2</v>
      </c>
      <c r="AR516" s="679">
        <v>1.6221451949421782E-2</v>
      </c>
      <c r="AT516" s="679">
        <v>1.5655086154106448E-2</v>
      </c>
    </row>
    <row r="517" spans="2:46" x14ac:dyDescent="0.4">
      <c r="C517" s="746" t="s">
        <v>994</v>
      </c>
      <c r="AB517" s="679">
        <v>2.5847224096435906E-2</v>
      </c>
      <c r="AF517" s="679">
        <v>1.9769663993717629E-2</v>
      </c>
      <c r="AJ517" s="679">
        <v>2.9001850207471553E-2</v>
      </c>
      <c r="AN517" s="679">
        <v>4.3616163149918057E-2</v>
      </c>
      <c r="AR517" s="679">
        <v>4.4728336383840321E-2</v>
      </c>
      <c r="AT517" s="679">
        <v>3.9027228579100008E-2</v>
      </c>
    </row>
    <row r="518" spans="2:46" x14ac:dyDescent="0.4">
      <c r="C518" s="746" t="s">
        <v>995</v>
      </c>
      <c r="AB518" s="679">
        <v>1.4273784225981552E-2</v>
      </c>
      <c r="AF518" s="679">
        <v>1.3467643932792695E-2</v>
      </c>
      <c r="AJ518" s="679">
        <v>1.9097739764931784E-2</v>
      </c>
      <c r="AN518" s="679">
        <v>2.7879410726104219E-2</v>
      </c>
      <c r="AR518" s="679">
        <v>2.6509235078670604E-2</v>
      </c>
      <c r="AT518" s="679">
        <v>2.2257177657808082E-2</v>
      </c>
    </row>
    <row r="519" spans="2:46" x14ac:dyDescent="0.4">
      <c r="C519" s="746" t="s">
        <v>996</v>
      </c>
      <c r="AB519" s="679">
        <v>7.0532908238952483E-3</v>
      </c>
      <c r="AF519" s="679">
        <v>8.0387012221067259E-3</v>
      </c>
      <c r="AJ519" s="679">
        <v>1.0444816140563893E-2</v>
      </c>
      <c r="AN519" s="679">
        <v>1.3641971242889534E-2</v>
      </c>
      <c r="AR519" s="679">
        <v>1.4935613087571071E-2</v>
      </c>
      <c r="AT519" s="679">
        <v>1.4161783407059716E-2</v>
      </c>
    </row>
    <row r="520" spans="2:46" x14ac:dyDescent="0.4">
      <c r="C520" s="746" t="s">
        <v>997</v>
      </c>
      <c r="AB520" s="679">
        <v>0.59345705145549177</v>
      </c>
      <c r="AF520" s="679">
        <v>0.70110228913949613</v>
      </c>
      <c r="AJ520" s="679">
        <v>0.5912156065685874</v>
      </c>
      <c r="AN520" s="679">
        <v>0.53958244413852807</v>
      </c>
      <c r="AR520" s="679">
        <v>0.61191701311946201</v>
      </c>
      <c r="AT520" s="679">
        <v>0.70337247582756557</v>
      </c>
    </row>
    <row r="521" spans="2:46" x14ac:dyDescent="0.4">
      <c r="C521" s="746" t="s">
        <v>998</v>
      </c>
      <c r="AB521" s="679">
        <v>1.2009823657299299</v>
      </c>
      <c r="AF521" s="679">
        <v>1.1745922294798341</v>
      </c>
      <c r="AJ521" s="679">
        <v>1.0810034037232563</v>
      </c>
      <c r="AN521" s="679">
        <v>1.1027175114867687</v>
      </c>
      <c r="AR521" s="679">
        <v>1.0860921379197179</v>
      </c>
      <c r="AT521" s="679">
        <v>1.1054459529653811</v>
      </c>
    </row>
    <row r="522" spans="2:46" x14ac:dyDescent="0.4">
      <c r="C522" s="793" t="s">
        <v>999</v>
      </c>
      <c r="AB522" s="679">
        <v>2.9554999999999998</v>
      </c>
      <c r="AF522" s="679">
        <v>2.5718999999999999</v>
      </c>
      <c r="AJ522" s="679">
        <v>2.069</v>
      </c>
      <c r="AN522" s="679">
        <v>1.5633999999999999</v>
      </c>
      <c r="AR522" s="679">
        <v>1.3669</v>
      </c>
      <c r="AT522" s="679">
        <v>1.4581</v>
      </c>
    </row>
    <row r="524" spans="2:46" s="429" customFormat="1" ht="13.5" thickBot="1" x14ac:dyDescent="0.45">
      <c r="D524" s="649"/>
      <c r="E524" s="649"/>
      <c r="F524" s="649"/>
      <c r="G524" s="649"/>
      <c r="H524" s="649"/>
      <c r="I524" s="649"/>
      <c r="J524" s="649"/>
      <c r="K524" s="649"/>
      <c r="L524" s="649"/>
      <c r="M524" s="649"/>
      <c r="N524" s="649"/>
      <c r="O524" s="649"/>
      <c r="P524" s="649"/>
      <c r="Q524" s="649"/>
      <c r="R524" s="649"/>
      <c r="S524" s="649"/>
      <c r="T524" s="649"/>
      <c r="U524" s="649"/>
      <c r="V524" s="649"/>
      <c r="W524" s="649"/>
      <c r="X524" s="649"/>
      <c r="Y524" s="649"/>
      <c r="Z524" s="649"/>
      <c r="AA524" s="649"/>
      <c r="AB524" s="649"/>
      <c r="AC524" s="649"/>
      <c r="AD524" s="649"/>
      <c r="AE524" s="649"/>
      <c r="AF524" s="649"/>
      <c r="AG524" s="649"/>
      <c r="AH524" s="649"/>
      <c r="AI524" s="649"/>
      <c r="AJ524" s="649"/>
      <c r="AK524" s="649"/>
      <c r="AL524" s="649"/>
      <c r="AM524" s="649"/>
      <c r="AN524" s="649"/>
      <c r="AO524" s="649"/>
      <c r="AP524" s="649"/>
      <c r="AQ524" s="649"/>
      <c r="AR524" s="649"/>
      <c r="AS524" s="649"/>
      <c r="AT524" s="649"/>
    </row>
    <row r="525" spans="2:46" ht="13.5" thickTop="1" x14ac:dyDescent="0.4"/>
    <row r="526" spans="2:46" ht="13.5" x14ac:dyDescent="0.4">
      <c r="B526" s="183" t="s">
        <v>1000</v>
      </c>
      <c r="AB526" s="1047">
        <v>2012</v>
      </c>
      <c r="AF526" s="1047">
        <v>2013</v>
      </c>
      <c r="AJ526" s="1047">
        <v>2014</v>
      </c>
      <c r="AN526" s="1047">
        <v>2015</v>
      </c>
      <c r="AR526" s="1050">
        <v>2016</v>
      </c>
      <c r="AT526" s="1050" t="s">
        <v>215</v>
      </c>
    </row>
    <row r="527" spans="2:46" x14ac:dyDescent="0.4">
      <c r="C527" s="746" t="s">
        <v>1001</v>
      </c>
      <c r="AB527" s="1051">
        <v>0.71930935339400792</v>
      </c>
      <c r="AF527" s="1051">
        <v>0.71016422078022856</v>
      </c>
      <c r="AJ527" s="1051">
        <v>0.69040118603368605</v>
      </c>
      <c r="AN527" s="1051">
        <v>0.65945233346288501</v>
      </c>
      <c r="AR527" s="1052">
        <v>0.62348012682388987</v>
      </c>
      <c r="AT527" s="1052">
        <v>0.64385472311984737</v>
      </c>
    </row>
    <row r="528" spans="2:46" x14ac:dyDescent="0.4">
      <c r="C528" s="746" t="s">
        <v>1002</v>
      </c>
      <c r="AB528" s="1051">
        <v>0.25978907485632163</v>
      </c>
      <c r="AF528" s="1051">
        <v>0.2748939921030995</v>
      </c>
      <c r="AJ528" s="1051">
        <v>0.27783176470940335</v>
      </c>
      <c r="AN528" s="1051">
        <v>0.29680077858352305</v>
      </c>
      <c r="AR528" s="1052">
        <v>0.32137692364603215</v>
      </c>
      <c r="AT528" s="1052">
        <v>0.32995968746080767</v>
      </c>
    </row>
    <row r="529" spans="2:46" x14ac:dyDescent="0.4">
      <c r="C529" s="769" t="s">
        <v>1003</v>
      </c>
      <c r="AB529" s="1053">
        <v>2.0901571749670479E-2</v>
      </c>
      <c r="AF529" s="1053">
        <v>1.4941787116671875E-2</v>
      </c>
      <c r="AJ529" s="1053">
        <v>3.1767049256910568E-2</v>
      </c>
      <c r="AN529" s="1053">
        <v>4.374688795359203E-2</v>
      </c>
      <c r="AR529" s="1054">
        <v>5.5142949530077937E-2</v>
      </c>
      <c r="AT529" s="1054">
        <v>2.6185589419344957E-2</v>
      </c>
    </row>
    <row r="531" spans="2:46" ht="13.5" x14ac:dyDescent="0.4">
      <c r="B531" s="183" t="s">
        <v>1004</v>
      </c>
      <c r="AB531" s="1055">
        <v>2012</v>
      </c>
      <c r="AF531" s="1055">
        <v>2013</v>
      </c>
      <c r="AJ531" s="1055">
        <v>2014</v>
      </c>
      <c r="AN531" s="1055">
        <v>2015</v>
      </c>
      <c r="AP531" s="1055" t="s">
        <v>214</v>
      </c>
      <c r="AR531" s="1055">
        <v>2016</v>
      </c>
      <c r="AS531" s="1056"/>
      <c r="AT531" s="1056" t="s">
        <v>215</v>
      </c>
    </row>
    <row r="532" spans="2:46" x14ac:dyDescent="0.4">
      <c r="C532" s="758" t="s">
        <v>1005</v>
      </c>
      <c r="AB532" s="1057">
        <v>0.58628360856507122</v>
      </c>
      <c r="AF532" s="1057">
        <v>0.63078690761588663</v>
      </c>
      <c r="AJ532" s="1057">
        <v>0.67582492373831593</v>
      </c>
      <c r="AN532" s="1057">
        <v>0.71041615963580729</v>
      </c>
      <c r="AP532" s="1057">
        <v>0.73911038927830319</v>
      </c>
      <c r="AR532" s="1057">
        <v>0.77233257287778445</v>
      </c>
      <c r="AS532" s="1058"/>
      <c r="AT532" s="1058">
        <v>0.79024635255664732</v>
      </c>
    </row>
    <row r="533" spans="2:46" x14ac:dyDescent="0.4">
      <c r="C533" s="758" t="s">
        <v>1006</v>
      </c>
      <c r="AB533" s="1057">
        <v>0</v>
      </c>
      <c r="AF533" s="1057">
        <v>0</v>
      </c>
      <c r="AJ533" s="1057">
        <v>0.10115637031923001</v>
      </c>
      <c r="AN533" s="1057">
        <v>8.782809719859215E-2</v>
      </c>
      <c r="AP533" s="1057">
        <v>7.6166964474357807E-2</v>
      </c>
      <c r="AR533" s="1057">
        <v>5.8867981723329056E-2</v>
      </c>
      <c r="AS533" s="1058"/>
      <c r="AT533" s="1058">
        <v>5.6838719957265166E-2</v>
      </c>
    </row>
    <row r="534" spans="2:46" x14ac:dyDescent="0.4">
      <c r="C534" s="758" t="s">
        <v>1007</v>
      </c>
      <c r="AB534" s="1057">
        <v>0</v>
      </c>
      <c r="AF534" s="1057">
        <v>0</v>
      </c>
      <c r="AJ534" s="1057">
        <v>0.10346617310790232</v>
      </c>
      <c r="AN534" s="1057">
        <v>8.3315216685460908E-2</v>
      </c>
      <c r="AP534" s="1057">
        <v>7.292724038943843E-2</v>
      </c>
      <c r="AR534" s="1057">
        <v>6.1072850021054913E-2</v>
      </c>
      <c r="AS534" s="1058"/>
      <c r="AT534" s="1058">
        <v>5.0245115449824934E-2</v>
      </c>
    </row>
    <row r="535" spans="2:46" x14ac:dyDescent="0.4">
      <c r="C535" s="758" t="s">
        <v>1008</v>
      </c>
      <c r="AB535" s="1057">
        <v>0.30664119630816805</v>
      </c>
      <c r="AF535" s="1057">
        <v>0.2566104793186394</v>
      </c>
      <c r="AJ535" s="1057">
        <v>0</v>
      </c>
      <c r="AN535" s="1057">
        <v>0</v>
      </c>
      <c r="AP535" s="1057">
        <v>0</v>
      </c>
      <c r="AR535" s="1057">
        <v>0.10772659537783154</v>
      </c>
      <c r="AS535" s="1058"/>
      <c r="AT535" s="1058">
        <v>0.10266981203626252</v>
      </c>
    </row>
    <row r="536" spans="2:46" x14ac:dyDescent="0.4">
      <c r="C536" s="759" t="s">
        <v>1009</v>
      </c>
      <c r="AB536" s="1059">
        <v>0.10707519512676081</v>
      </c>
      <c r="AF536" s="1059">
        <v>0.11260261306547402</v>
      </c>
      <c r="AJ536" s="1059">
        <v>0.11955253283455171</v>
      </c>
      <c r="AN536" s="1059">
        <v>0.11844024414277009</v>
      </c>
      <c r="AP536" s="1059">
        <v>0.11179540585790053</v>
      </c>
      <c r="AR536" s="1059">
        <v>0.10772659537783154</v>
      </c>
      <c r="AS536" s="1060"/>
      <c r="AT536" s="1060">
        <v>0.10266981203626252</v>
      </c>
    </row>
    <row r="538" spans="2:46" s="429" customFormat="1" ht="13.5" thickBot="1" x14ac:dyDescent="0.45">
      <c r="D538" s="649"/>
      <c r="E538" s="649"/>
      <c r="F538" s="649"/>
      <c r="G538" s="649"/>
      <c r="H538" s="649"/>
      <c r="I538" s="649"/>
      <c r="J538" s="649"/>
      <c r="K538" s="649"/>
      <c r="L538" s="649"/>
      <c r="M538" s="649"/>
      <c r="N538" s="649"/>
      <c r="O538" s="649"/>
      <c r="P538" s="649"/>
      <c r="Q538" s="649"/>
      <c r="R538" s="649"/>
      <c r="S538" s="649"/>
      <c r="T538" s="649"/>
      <c r="U538" s="649"/>
      <c r="V538" s="649"/>
      <c r="W538" s="649"/>
      <c r="X538" s="649"/>
      <c r="Y538" s="649"/>
      <c r="Z538" s="649"/>
      <c r="AA538" s="649"/>
      <c r="AB538" s="649"/>
      <c r="AC538" s="649"/>
      <c r="AD538" s="649"/>
      <c r="AE538" s="649"/>
      <c r="AF538" s="649"/>
      <c r="AG538" s="649"/>
      <c r="AH538" s="649"/>
      <c r="AI538" s="649"/>
      <c r="AJ538" s="649"/>
      <c r="AK538" s="649"/>
      <c r="AL538" s="649"/>
      <c r="AM538" s="649"/>
      <c r="AN538" s="649"/>
      <c r="AO538" s="649"/>
      <c r="AP538" s="649"/>
      <c r="AQ538" s="649"/>
      <c r="AR538" s="649"/>
      <c r="AS538" s="649"/>
      <c r="AT538" s="649"/>
    </row>
    <row r="539" spans="2:46" ht="13.5" thickTop="1" x14ac:dyDescent="0.4"/>
    <row r="540" spans="2:46" ht="13.5" x14ac:dyDescent="0.4">
      <c r="B540" s="183" t="s">
        <v>1010</v>
      </c>
    </row>
    <row r="541" spans="2:46" x14ac:dyDescent="0.4">
      <c r="C541" s="747"/>
      <c r="AB541" s="626">
        <v>2012</v>
      </c>
      <c r="AF541" s="626">
        <v>2013</v>
      </c>
      <c r="AJ541" s="626">
        <v>2014</v>
      </c>
      <c r="AN541" s="626">
        <v>2015</v>
      </c>
      <c r="AP541" s="626" t="s">
        <v>214</v>
      </c>
      <c r="AR541" s="626">
        <v>2016</v>
      </c>
      <c r="AT541" s="626" t="s">
        <v>215</v>
      </c>
    </row>
    <row r="542" spans="2:46" x14ac:dyDescent="0.4">
      <c r="C542" s="805" t="s">
        <v>1011</v>
      </c>
      <c r="AB542" s="626">
        <v>32572.000000000004</v>
      </c>
      <c r="AF542" s="626">
        <v>38098</v>
      </c>
      <c r="AJ542" s="626">
        <v>56266.999999999993</v>
      </c>
      <c r="AN542" s="626">
        <v>86022</v>
      </c>
      <c r="AP542" s="626">
        <v>43891</v>
      </c>
      <c r="AR542" s="626">
        <v>86138</v>
      </c>
      <c r="AT542" s="626">
        <v>61001</v>
      </c>
    </row>
    <row r="543" spans="2:46" x14ac:dyDescent="0.4">
      <c r="C543" s="746" t="s">
        <v>1012</v>
      </c>
      <c r="AB543" s="626">
        <v>-7528</v>
      </c>
      <c r="AF543" s="626">
        <v>-16500</v>
      </c>
      <c r="AJ543" s="626">
        <v>-38364</v>
      </c>
      <c r="AN543" s="626">
        <v>-60296</v>
      </c>
      <c r="AP543" s="626">
        <v>-42148</v>
      </c>
      <c r="AR543" s="626">
        <v>-74144</v>
      </c>
      <c r="AT543" s="626">
        <v>-33342</v>
      </c>
    </row>
    <row r="544" spans="2:46" x14ac:dyDescent="0.4">
      <c r="C544" s="806" t="s">
        <v>1013</v>
      </c>
      <c r="AB544" s="626">
        <v>892</v>
      </c>
      <c r="AF544" s="626">
        <v>977</v>
      </c>
      <c r="AJ544" s="626">
        <v>1498</v>
      </c>
      <c r="AN544" s="626">
        <v>1089</v>
      </c>
      <c r="AP544" s="626">
        <v>1007</v>
      </c>
      <c r="AR544" s="626">
        <v>1998.9999999999998</v>
      </c>
      <c r="AT544" s="626">
        <v>974</v>
      </c>
    </row>
    <row r="546" spans="2:46" x14ac:dyDescent="0.4">
      <c r="C546" s="364"/>
      <c r="AB546" s="626">
        <v>2012</v>
      </c>
      <c r="AF546" s="626">
        <v>2013</v>
      </c>
      <c r="AJ546" s="626">
        <v>2014</v>
      </c>
      <c r="AN546" s="626">
        <v>2015</v>
      </c>
      <c r="AP546" s="626" t="s">
        <v>214</v>
      </c>
      <c r="AR546" s="626">
        <v>2016</v>
      </c>
      <c r="AT546" s="626" t="s">
        <v>215</v>
      </c>
    </row>
    <row r="547" spans="2:46" x14ac:dyDescent="0.4">
      <c r="C547" s="787" t="s">
        <v>1014</v>
      </c>
      <c r="AB547" s="626">
        <v>9091.9999999999982</v>
      </c>
      <c r="AF547" s="626">
        <v>35614</v>
      </c>
      <c r="AJ547" s="626">
        <v>69172</v>
      </c>
      <c r="AN547" s="626">
        <v>115317</v>
      </c>
      <c r="AP547" s="626">
        <v>58932.999999999993</v>
      </c>
      <c r="AR547" s="626">
        <v>106427.00000000001</v>
      </c>
      <c r="AT547" s="626">
        <v>54110.999999999993</v>
      </c>
    </row>
    <row r="548" spans="2:46" x14ac:dyDescent="0.4">
      <c r="C548" s="791" t="s">
        <v>1015</v>
      </c>
      <c r="AB548" s="679">
        <v>1.1673026360471833E-3</v>
      </c>
      <c r="AF548" s="679">
        <v>4.0453482470763401E-3</v>
      </c>
      <c r="AJ548" s="679">
        <v>6.9713155339639482E-3</v>
      </c>
      <c r="AN548" s="679">
        <v>1.0458329248414546E-2</v>
      </c>
      <c r="AP548" s="679" t="s">
        <v>692</v>
      </c>
      <c r="AR548" s="679">
        <v>8.9183645388523341E-3</v>
      </c>
      <c r="AT548" s="679" t="s">
        <v>692</v>
      </c>
    </row>
    <row r="550" spans="2:46" s="429" customFormat="1" ht="13.5" thickBot="1" x14ac:dyDescent="0.45">
      <c r="D550" s="649"/>
      <c r="E550" s="649"/>
      <c r="F550" s="649"/>
      <c r="G550" s="649"/>
      <c r="H550" s="649"/>
      <c r="I550" s="649"/>
      <c r="J550" s="649"/>
      <c r="K550" s="649"/>
      <c r="L550" s="649"/>
      <c r="M550" s="649"/>
      <c r="N550" s="649"/>
      <c r="O550" s="649"/>
      <c r="P550" s="649"/>
      <c r="Q550" s="649"/>
      <c r="R550" s="649"/>
      <c r="S550" s="649"/>
      <c r="T550" s="649"/>
      <c r="U550" s="649"/>
      <c r="V550" s="649"/>
      <c r="W550" s="649"/>
      <c r="X550" s="649"/>
      <c r="Y550" s="649"/>
      <c r="Z550" s="649"/>
      <c r="AA550" s="649"/>
      <c r="AB550" s="649"/>
      <c r="AC550" s="649"/>
      <c r="AD550" s="649"/>
      <c r="AE550" s="649"/>
      <c r="AF550" s="649"/>
      <c r="AG550" s="649"/>
      <c r="AH550" s="649"/>
      <c r="AI550" s="649"/>
      <c r="AJ550" s="649"/>
      <c r="AK550" s="649"/>
      <c r="AL550" s="649"/>
      <c r="AM550" s="649"/>
      <c r="AN550" s="649"/>
      <c r="AO550" s="649"/>
      <c r="AP550" s="649"/>
      <c r="AQ550" s="649"/>
      <c r="AR550" s="649"/>
      <c r="AS550" s="649"/>
      <c r="AT550" s="649"/>
    </row>
    <row r="551" spans="2:46" ht="13.5" thickTop="1" x14ac:dyDescent="0.4"/>
    <row r="552" spans="2:46" ht="13.5" x14ac:dyDescent="0.4">
      <c r="B552" s="183" t="s">
        <v>1016</v>
      </c>
      <c r="AB552" s="626">
        <v>2012</v>
      </c>
      <c r="AF552" s="626">
        <v>2013</v>
      </c>
      <c r="AJ552" s="626">
        <v>2014</v>
      </c>
      <c r="AN552" s="626">
        <v>2015</v>
      </c>
      <c r="AR552" s="626">
        <v>2016</v>
      </c>
      <c r="AT552" s="626" t="s">
        <v>215</v>
      </c>
    </row>
    <row r="553" spans="2:46" x14ac:dyDescent="0.4">
      <c r="C553" s="778" t="s">
        <v>1017</v>
      </c>
      <c r="AB553" s="679">
        <v>0.50636154603380068</v>
      </c>
      <c r="AF553" s="679">
        <v>0.5132061289291131</v>
      </c>
      <c r="AJ553" s="679">
        <v>0.51663811394275649</v>
      </c>
      <c r="AN553" s="679">
        <v>0.51818238601680056</v>
      </c>
      <c r="AR553" s="679">
        <v>0.53006226766873288</v>
      </c>
      <c r="AT553" s="679">
        <v>0.54321203463235779</v>
      </c>
    </row>
    <row r="554" spans="2:46" x14ac:dyDescent="0.4">
      <c r="C554" s="778" t="s">
        <v>1018</v>
      </c>
      <c r="AB554" s="679">
        <v>0.4804170811065967</v>
      </c>
      <c r="AF554" s="679">
        <v>0.47164499951268141</v>
      </c>
      <c r="AJ554" s="679">
        <v>0.46209367971833953</v>
      </c>
      <c r="AN554" s="679">
        <v>0.46684329182169271</v>
      </c>
      <c r="AR554" s="679">
        <v>0.45667001883053654</v>
      </c>
      <c r="AT554" s="679">
        <v>0.44633088046997738</v>
      </c>
    </row>
    <row r="555" spans="2:46" x14ac:dyDescent="0.4">
      <c r="C555" s="778" t="s">
        <v>1019</v>
      </c>
      <c r="AB555" s="679">
        <v>0.4979393692401401</v>
      </c>
      <c r="AF555" s="679">
        <v>0.48106813398012771</v>
      </c>
      <c r="AJ555" s="679">
        <v>0.46852426182300355</v>
      </c>
      <c r="AN555" s="679">
        <v>0.48508810897768379</v>
      </c>
      <c r="AR555" s="679">
        <v>0.50445484738491397</v>
      </c>
      <c r="AT555" s="679">
        <v>0.50155560874774752</v>
      </c>
    </row>
    <row r="556" spans="2:46" x14ac:dyDescent="0.4">
      <c r="C556" s="781" t="s">
        <v>1020</v>
      </c>
      <c r="AB556" s="679">
        <v>0.48883925790025728</v>
      </c>
      <c r="AF556" s="679">
        <v>0.50378299446166686</v>
      </c>
      <c r="AJ556" s="679">
        <v>0.51020753183809242</v>
      </c>
      <c r="AN556" s="679">
        <v>0.49993756886080948</v>
      </c>
      <c r="AR556" s="679">
        <v>0.48227743911435561</v>
      </c>
      <c r="AT556" s="679">
        <v>0.4879873063545877</v>
      </c>
    </row>
    <row r="558" spans="2:46" s="429" customFormat="1" ht="13.5" thickBot="1" x14ac:dyDescent="0.45">
      <c r="D558" s="649"/>
      <c r="E558" s="649"/>
      <c r="F558" s="649"/>
      <c r="G558" s="649"/>
      <c r="H558" s="649"/>
      <c r="I558" s="649"/>
      <c r="J558" s="649"/>
      <c r="K558" s="649"/>
      <c r="L558" s="649"/>
      <c r="M558" s="649"/>
      <c r="N558" s="649"/>
      <c r="O558" s="649"/>
      <c r="P558" s="649"/>
      <c r="Q558" s="649"/>
      <c r="R558" s="649"/>
      <c r="S558" s="649"/>
      <c r="T558" s="649"/>
      <c r="U558" s="649"/>
      <c r="V558" s="649"/>
      <c r="W558" s="649"/>
      <c r="X558" s="649"/>
      <c r="Y558" s="649"/>
      <c r="Z558" s="649"/>
      <c r="AA558" s="649"/>
      <c r="AB558" s="649"/>
      <c r="AC558" s="649"/>
      <c r="AD558" s="649"/>
      <c r="AE558" s="649"/>
      <c r="AF558" s="649"/>
      <c r="AG558" s="649"/>
      <c r="AH558" s="649"/>
      <c r="AI558" s="649"/>
      <c r="AJ558" s="649"/>
      <c r="AK558" s="649"/>
      <c r="AL558" s="649"/>
      <c r="AM558" s="649"/>
      <c r="AN558" s="649"/>
      <c r="AO558" s="649"/>
      <c r="AP558" s="649"/>
      <c r="AQ558" s="649"/>
      <c r="AR558" s="649"/>
      <c r="AS558" s="649"/>
      <c r="AT558" s="649"/>
    </row>
    <row r="559" spans="2:46" ht="13.5" thickTop="1" x14ac:dyDescent="0.4"/>
    <row r="560" spans="2:46" x14ac:dyDescent="0.4">
      <c r="B560" s="807" t="s">
        <v>1021</v>
      </c>
      <c r="H560" s="1061">
        <v>2007</v>
      </c>
      <c r="J560" s="1062" t="s">
        <v>746</v>
      </c>
      <c r="L560" s="1062">
        <v>2008</v>
      </c>
      <c r="N560" s="1062" t="s">
        <v>747</v>
      </c>
      <c r="P560" s="1062">
        <v>2009</v>
      </c>
      <c r="R560" s="1062" t="s">
        <v>748</v>
      </c>
      <c r="T560" s="1062">
        <v>2010</v>
      </c>
      <c r="V560" s="1062" t="s">
        <v>749</v>
      </c>
      <c r="X560" s="1062">
        <v>2011</v>
      </c>
      <c r="Z560" s="1062" t="s">
        <v>750</v>
      </c>
      <c r="AB560" s="1062">
        <v>2012</v>
      </c>
      <c r="AD560" s="1062" t="s">
        <v>751</v>
      </c>
      <c r="AF560" s="1062">
        <v>2013</v>
      </c>
      <c r="AH560" s="1062" t="s">
        <v>752</v>
      </c>
      <c r="AJ560" s="1062">
        <v>2014</v>
      </c>
      <c r="AL560" s="1062" t="s">
        <v>645</v>
      </c>
      <c r="AN560" s="1062">
        <v>2015</v>
      </c>
      <c r="AP560" s="1062" t="s">
        <v>214</v>
      </c>
      <c r="AR560" s="1062">
        <v>2016</v>
      </c>
      <c r="AT560" s="1063" t="s">
        <v>215</v>
      </c>
    </row>
    <row r="561" spans="3:46" x14ac:dyDescent="0.4">
      <c r="C561" s="788" t="s">
        <v>1022</v>
      </c>
      <c r="H561" s="679">
        <v>1.0496542950292558E-2</v>
      </c>
      <c r="J561" s="679">
        <v>1.3244962431693989E-2</v>
      </c>
      <c r="L561" s="679">
        <v>1.3723040666812389E-2</v>
      </c>
      <c r="N561" s="679">
        <v>1.1489532640456051E-2</v>
      </c>
      <c r="P561" s="679">
        <v>1.3968239686895497E-2</v>
      </c>
      <c r="R561" s="679">
        <v>1.1625431020547403E-2</v>
      </c>
      <c r="T561" s="679">
        <v>9.1581930254431253E-3</v>
      </c>
      <c r="V561" s="679">
        <v>9.3713567853854277E-3</v>
      </c>
      <c r="X561" s="679">
        <v>1.1565477055739081E-2</v>
      </c>
      <c r="Z561" s="679">
        <v>9.0494949151201706E-3</v>
      </c>
      <c r="AB561" s="679">
        <v>8.398891888702794E-3</v>
      </c>
      <c r="AD561" s="679">
        <v>6.30747679767744E-3</v>
      </c>
      <c r="AF561" s="679">
        <v>4.4130250257310277E-3</v>
      </c>
      <c r="AH561" s="679">
        <v>3.3348612267424999E-3</v>
      </c>
      <c r="AJ561" s="679">
        <v>3.1652419582556567E-3</v>
      </c>
      <c r="AL561" s="679">
        <v>2.8783302237600128E-3</v>
      </c>
      <c r="AN561" s="679">
        <v>2.7873038832703714E-3</v>
      </c>
      <c r="AP561" s="679">
        <v>2.7322661223174237E-3</v>
      </c>
      <c r="AR561" s="679">
        <v>1.9932866738034509E-3</v>
      </c>
      <c r="AT561" s="679">
        <v>3.143934646074615E-3</v>
      </c>
    </row>
    <row r="562" spans="3:46" x14ac:dyDescent="0.4">
      <c r="C562" s="788" t="s">
        <v>1023</v>
      </c>
      <c r="H562" s="679">
        <v>7.555129849983945E-2</v>
      </c>
      <c r="J562" s="679">
        <v>6.3618199981836349E-2</v>
      </c>
      <c r="L562" s="679">
        <v>5.9272711936781394E-2</v>
      </c>
      <c r="N562" s="679">
        <v>5.1037383235886906E-2</v>
      </c>
      <c r="P562" s="679">
        <v>4.3582402648402171E-2</v>
      </c>
      <c r="R562" s="679">
        <v>3.5349690156913305E-2</v>
      </c>
      <c r="T562" s="679">
        <v>2.8537986330597963E-2</v>
      </c>
      <c r="V562" s="679">
        <v>2.4591520725677087E-2</v>
      </c>
      <c r="X562" s="679">
        <v>2.0895067205391769E-2</v>
      </c>
      <c r="Z562" s="679">
        <v>1.8419872486931926E-2</v>
      </c>
      <c r="AB562" s="679">
        <v>1.6119046216743066E-2</v>
      </c>
      <c r="AD562" s="679">
        <v>1.6602529394903268E-2</v>
      </c>
      <c r="AF562" s="679">
        <v>1.8174196590877028E-2</v>
      </c>
      <c r="AH562" s="679">
        <v>1.8530182324371713E-2</v>
      </c>
      <c r="AJ562" s="679">
        <v>2.3276081951952677E-2</v>
      </c>
      <c r="AL562" s="679">
        <v>3.0439767656791916E-2</v>
      </c>
      <c r="AN562" s="679">
        <v>3.4321342617933875E-2</v>
      </c>
      <c r="AP562" s="679">
        <v>3.5061372757326188E-2</v>
      </c>
      <c r="AR562" s="679">
        <v>4.2872353663158017E-2</v>
      </c>
      <c r="AT562" s="679">
        <v>4.409095638301562E-2</v>
      </c>
    </row>
    <row r="563" spans="3:46" x14ac:dyDescent="0.4">
      <c r="C563" s="788" t="s">
        <v>1024</v>
      </c>
      <c r="H563" s="679">
        <v>8.1984114546819198E-2</v>
      </c>
      <c r="J563" s="679">
        <v>7.2394267192564532E-2</v>
      </c>
      <c r="L563" s="679">
        <v>6.5017882718173159E-2</v>
      </c>
      <c r="N563" s="679">
        <v>5.2329646699698501E-2</v>
      </c>
      <c r="P563" s="679">
        <v>4.6021179349008956E-2</v>
      </c>
      <c r="R563" s="679">
        <v>3.5762675865503628E-2</v>
      </c>
      <c r="T563" s="679">
        <v>3.4154332763621661E-2</v>
      </c>
      <c r="V563" s="679">
        <v>2.4166133088657563E-2</v>
      </c>
      <c r="X563" s="679">
        <v>2.0100560132551328E-2</v>
      </c>
      <c r="Z563" s="679">
        <v>1.9305237425146626E-2</v>
      </c>
      <c r="AB563" s="679">
        <v>1.4513686662783926E-2</v>
      </c>
      <c r="AD563" s="679">
        <v>1.2175709009573715E-2</v>
      </c>
      <c r="AF563" s="679">
        <v>1.3299708661019517E-2</v>
      </c>
      <c r="AH563" s="679">
        <v>1.2439580836007888E-2</v>
      </c>
      <c r="AJ563" s="679">
        <v>1.4196716448205601E-2</v>
      </c>
      <c r="AL563" s="679">
        <v>2.5684791115417584E-2</v>
      </c>
      <c r="AN563" s="679">
        <v>3.3658550002554057E-2</v>
      </c>
      <c r="AP563" s="679">
        <v>5.3432017502284476E-2</v>
      </c>
      <c r="AR563" s="679">
        <v>4.8801879923214407E-2</v>
      </c>
      <c r="AT563" s="679"/>
    </row>
    <row r="564" spans="3:46" x14ac:dyDescent="0.4">
      <c r="C564" s="788" t="s">
        <v>1025</v>
      </c>
      <c r="H564" s="679">
        <v>8.7880972531318893E-2</v>
      </c>
      <c r="J564" s="679">
        <v>6.9668917238873057E-2</v>
      </c>
      <c r="L564" s="679">
        <v>6.1169669187421533E-2</v>
      </c>
      <c r="N564" s="679">
        <v>5.1180690834798308E-2</v>
      </c>
      <c r="P564" s="679">
        <v>4.4068626527806548E-2</v>
      </c>
      <c r="R564" s="679">
        <v>2.7037089128078694E-2</v>
      </c>
      <c r="T564" s="679">
        <v>2.2358676640244129E-2</v>
      </c>
      <c r="V564" s="679">
        <v>1.5699172003571498E-2</v>
      </c>
      <c r="X564" s="679">
        <v>1.2890008582265165E-2</v>
      </c>
      <c r="Z564" s="679">
        <v>1.3638511207937425E-2</v>
      </c>
      <c r="AB564" s="679">
        <v>1.2829701158963817E-2</v>
      </c>
      <c r="AD564" s="679">
        <v>2.0515328226971098E-2</v>
      </c>
      <c r="AF564" s="679">
        <v>1.9298585545436932E-2</v>
      </c>
      <c r="AH564" s="679">
        <v>1.8866341775185747E-2</v>
      </c>
      <c r="AJ564" s="679">
        <v>2.6325374596515908E-2</v>
      </c>
      <c r="AL564" s="679">
        <v>3.7775030308850183E-2</v>
      </c>
      <c r="AN564" s="679">
        <v>3.3899598512758984E-2</v>
      </c>
      <c r="AP564" s="679">
        <v>3.5152616151510364E-2</v>
      </c>
      <c r="AR564" s="679">
        <v>3.9069076271226293E-2</v>
      </c>
      <c r="AT564" s="679"/>
    </row>
    <row r="565" spans="3:46" x14ac:dyDescent="0.4">
      <c r="C565" s="788" t="s">
        <v>1026</v>
      </c>
      <c r="H565" s="679">
        <v>4.3401706765371167E-2</v>
      </c>
      <c r="J565" s="679">
        <v>3.214329083181542E-2</v>
      </c>
      <c r="L565" s="679">
        <v>3.4052781811808305E-2</v>
      </c>
      <c r="N565" s="679">
        <v>2.5568670635603429E-2</v>
      </c>
      <c r="P565" s="679">
        <v>1.9721577726218097E-2</v>
      </c>
      <c r="R565" s="679">
        <v>1.6349889540641427E-2</v>
      </c>
      <c r="T565" s="679">
        <v>1.1506084529157761E-2</v>
      </c>
      <c r="V565" s="679">
        <v>1.1069343234374278E-2</v>
      </c>
      <c r="X565" s="679">
        <v>1.1824759570186007E-2</v>
      </c>
      <c r="Z565" s="679">
        <v>1.1647680520762859E-2</v>
      </c>
      <c r="AB565" s="679">
        <v>1.4814644016209641E-2</v>
      </c>
      <c r="AD565" s="679">
        <v>1.6124363131079202E-2</v>
      </c>
      <c r="AF565" s="679">
        <v>2.0167490845530073E-2</v>
      </c>
      <c r="AH565" s="679">
        <v>1.8013162837032318E-2</v>
      </c>
      <c r="AJ565" s="679">
        <v>2.7511517843380167E-2</v>
      </c>
      <c r="AL565" s="679">
        <v>3.8446494973144195E-2</v>
      </c>
      <c r="AN565" s="679">
        <v>4.1726828983135067E-2</v>
      </c>
      <c r="AP565" s="679">
        <v>4.6898996582431393E-2</v>
      </c>
      <c r="AR565" s="679">
        <v>6.2365285158550873E-2</v>
      </c>
      <c r="AT565" s="679"/>
    </row>
    <row r="566" spans="3:46" x14ac:dyDescent="0.4">
      <c r="C566" s="788" t="s">
        <v>1027</v>
      </c>
      <c r="H566" s="679">
        <v>8.6763070077864296E-2</v>
      </c>
      <c r="J566" s="679">
        <v>7.8677550207799318E-2</v>
      </c>
      <c r="L566" s="679">
        <v>9.4054206373603857E-2</v>
      </c>
      <c r="N566" s="679">
        <v>7.8592940609565107E-2</v>
      </c>
      <c r="P566" s="679">
        <v>6.8495093982740271E-2</v>
      </c>
      <c r="R566" s="679">
        <v>5.8269458535386266E-2</v>
      </c>
      <c r="T566" s="679">
        <v>4.6378488978908533E-2</v>
      </c>
      <c r="V566" s="679">
        <v>3.5040817300806798E-2</v>
      </c>
      <c r="X566" s="679">
        <v>2.9418964522389887E-2</v>
      </c>
      <c r="Z566" s="679">
        <v>2.4424284717376135E-2</v>
      </c>
      <c r="AB566" s="679">
        <v>2.3419082979726544E-2</v>
      </c>
      <c r="AD566" s="679">
        <v>2.5305193763400083E-2</v>
      </c>
      <c r="AF566" s="679">
        <v>3.1496507842347976E-2</v>
      </c>
      <c r="AH566" s="679">
        <v>3.3435499298336252E-2</v>
      </c>
      <c r="AJ566" s="679">
        <v>3.0053839573883852E-2</v>
      </c>
      <c r="AL566" s="679">
        <v>4.2669186087199946E-2</v>
      </c>
      <c r="AN566" s="679">
        <v>4.7332388205372979E-2</v>
      </c>
      <c r="AP566" s="679">
        <v>3.4044924946936034E-2</v>
      </c>
      <c r="AR566" s="679">
        <v>5.7733165502810095E-2</v>
      </c>
      <c r="AT566" s="679"/>
    </row>
    <row r="567" spans="3:46" x14ac:dyDescent="0.4">
      <c r="C567" s="788" t="s">
        <v>1028</v>
      </c>
      <c r="H567" s="679">
        <v>8.473634237280285E-2</v>
      </c>
      <c r="J567" s="679">
        <v>7.7908803071476657E-2</v>
      </c>
      <c r="L567" s="679">
        <v>7.8396316524209544E-2</v>
      </c>
      <c r="N567" s="679">
        <v>8.5119838107885912E-2</v>
      </c>
      <c r="P567" s="679">
        <v>6.6135826819587504E-2</v>
      </c>
      <c r="R567" s="679">
        <v>6.3395721308070432E-2</v>
      </c>
      <c r="T567" s="679">
        <v>3.9291697510421941E-2</v>
      </c>
      <c r="V567" s="679">
        <v>4.0611448395490024E-2</v>
      </c>
      <c r="X567" s="679">
        <v>3.0235418130709769E-2</v>
      </c>
      <c r="Z567" s="679">
        <v>2.037240477812852E-2</v>
      </c>
      <c r="AB567" s="679">
        <v>1.1664798324837666E-2</v>
      </c>
      <c r="AD567" s="679">
        <v>6.6320366173085576E-3</v>
      </c>
      <c r="AF567" s="679">
        <v>1.0029989669110641E-2</v>
      </c>
      <c r="AH567" s="679">
        <v>1.052215970782746E-2</v>
      </c>
      <c r="AJ567" s="679">
        <v>7.4867989389569714E-3</v>
      </c>
      <c r="AL567" s="679">
        <v>1.0973606065630605E-2</v>
      </c>
      <c r="AN567" s="679">
        <v>1.0886803843123613E-2</v>
      </c>
      <c r="AP567" s="679">
        <v>1.610925686261154E-2</v>
      </c>
      <c r="AR567" s="679">
        <v>1.4487131918912538E-2</v>
      </c>
      <c r="AT567" s="679"/>
    </row>
    <row r="568" spans="3:46" x14ac:dyDescent="0.4">
      <c r="C568" s="788" t="s">
        <v>1029</v>
      </c>
      <c r="H568" s="679">
        <v>1.8978863639057812E-2</v>
      </c>
      <c r="J568" s="679">
        <v>1.4593522504451307E-2</v>
      </c>
      <c r="L568" s="679">
        <v>1.1119220856237028E-2</v>
      </c>
      <c r="N568" s="679">
        <v>9.7856683733404254E-3</v>
      </c>
      <c r="P568" s="679">
        <v>5.8342082657249217E-3</v>
      </c>
      <c r="R568" s="679">
        <v>6.5834434370586363E-3</v>
      </c>
      <c r="T568" s="679">
        <v>1.0477462149764177E-2</v>
      </c>
      <c r="V568" s="679">
        <v>2.1361983194682497E-2</v>
      </c>
      <c r="X568" s="679">
        <v>1.8290161284258807E-2</v>
      </c>
      <c r="Z568" s="679">
        <v>1.4663259263876335E-2</v>
      </c>
      <c r="AB568" s="679">
        <v>1.0314511679234872E-2</v>
      </c>
      <c r="AD568" s="679">
        <v>9.8910362001098148E-3</v>
      </c>
      <c r="AF568" s="679">
        <v>2.6666666666666666E-3</v>
      </c>
      <c r="AH568" s="679">
        <v>5.7863031071655044E-3</v>
      </c>
      <c r="AJ568" s="679">
        <v>8.1149680048618316E-3</v>
      </c>
      <c r="AL568" s="679">
        <v>6.5868161159142943E-3</v>
      </c>
      <c r="AN568" s="679">
        <v>9.1619012482321831E-3</v>
      </c>
      <c r="AP568" s="679">
        <v>7.807243130639973E-3</v>
      </c>
      <c r="AR568" s="679">
        <v>4.6889105882786447E-3</v>
      </c>
      <c r="AT568" s="679"/>
    </row>
    <row r="569" spans="3:46" x14ac:dyDescent="0.4">
      <c r="C569" s="788" t="s">
        <v>1030</v>
      </c>
      <c r="H569" s="679">
        <v>4.3227597891566265E-2</v>
      </c>
      <c r="J569" s="679">
        <v>3.3202962469834403E-2</v>
      </c>
      <c r="L569" s="679">
        <v>2.7746971506568845E-2</v>
      </c>
      <c r="N569" s="679">
        <v>2.5462254666258687E-2</v>
      </c>
      <c r="P569" s="679">
        <v>2.2326041058353174E-2</v>
      </c>
      <c r="R569" s="679">
        <v>3.350553819333716E-2</v>
      </c>
      <c r="T569" s="679">
        <v>3.0530500232056015E-2</v>
      </c>
      <c r="V569" s="679">
        <v>2.6418992261633811E-2</v>
      </c>
      <c r="X569" s="679">
        <v>2.3247717165962429E-2</v>
      </c>
      <c r="Z569" s="679">
        <v>1.8850697419617649E-2</v>
      </c>
      <c r="AB569" s="679">
        <v>1.8033868484715197E-2</v>
      </c>
      <c r="AD569" s="679">
        <v>2.0630414566100534E-2</v>
      </c>
      <c r="AF569" s="679">
        <v>1.8558877613566709E-2</v>
      </c>
      <c r="AH569" s="679">
        <v>2.0178580436866267E-2</v>
      </c>
      <c r="AJ569" s="679">
        <v>3.6254482289243523E-2</v>
      </c>
      <c r="AL569" s="679">
        <v>4.0107004659243467E-2</v>
      </c>
      <c r="AN569" s="679">
        <v>5.1226833724876013E-2</v>
      </c>
      <c r="AP569" s="679">
        <v>4.4561780767961509E-2</v>
      </c>
      <c r="AR569" s="679">
        <v>4.4073802013567816E-2</v>
      </c>
      <c r="AT569" s="679"/>
    </row>
    <row r="570" spans="3:46" x14ac:dyDescent="0.4">
      <c r="C570" s="788" t="s">
        <v>1031</v>
      </c>
      <c r="H570" s="679">
        <v>0.14426896618544716</v>
      </c>
      <c r="J570" s="679">
        <v>0.1288414960208864</v>
      </c>
      <c r="L570" s="679">
        <v>0.10410526629156619</v>
      </c>
      <c r="N570" s="679">
        <v>9.2784902795477339E-2</v>
      </c>
      <c r="P570" s="679">
        <v>8.2969186095683795E-2</v>
      </c>
      <c r="R570" s="679">
        <v>6.4674896243481966E-2</v>
      </c>
      <c r="T570" s="679">
        <v>4.9606865590197682E-2</v>
      </c>
      <c r="V570" s="679">
        <v>3.8951392681594754E-2</v>
      </c>
      <c r="X570" s="679">
        <v>3.3162334044229254E-2</v>
      </c>
      <c r="Z570" s="679">
        <v>3.0656934306569343E-2</v>
      </c>
      <c r="AB570" s="679">
        <v>2.6887215207786287E-2</v>
      </c>
      <c r="AD570" s="679">
        <v>2.4437476945776467E-2</v>
      </c>
      <c r="AF570" s="679">
        <v>2.7126078125459953E-2</v>
      </c>
      <c r="AH570" s="679">
        <v>2.7722853847421323E-2</v>
      </c>
      <c r="AJ570" s="679">
        <v>2.8190671450538187E-2</v>
      </c>
      <c r="AL570" s="679">
        <v>3.6257613415999784E-2</v>
      </c>
      <c r="AN570" s="679">
        <v>2.5130590339892664E-2</v>
      </c>
      <c r="AP570" s="679">
        <v>2.2827094636696608E-2</v>
      </c>
      <c r="AR570" s="679">
        <v>3.7739619683017943E-2</v>
      </c>
      <c r="AT570" s="679"/>
    </row>
    <row r="571" spans="3:46" x14ac:dyDescent="0.4">
      <c r="C571" s="788" t="s">
        <v>1032</v>
      </c>
      <c r="H571" s="679">
        <v>2.8830289980705238E-2</v>
      </c>
      <c r="J571" s="679">
        <v>2.2317272612907283E-2</v>
      </c>
      <c r="L571" s="679">
        <v>1.728643698002829E-2</v>
      </c>
      <c r="N571" s="679">
        <v>1.0013493359846602E-2</v>
      </c>
      <c r="P571" s="679">
        <v>9.0514309632187522E-3</v>
      </c>
      <c r="R571" s="679">
        <v>7.4339067336479424E-3</v>
      </c>
      <c r="T571" s="679">
        <v>4.2973971283613837E-3</v>
      </c>
      <c r="V571" s="679">
        <v>6.9739235900545789E-3</v>
      </c>
      <c r="X571" s="679">
        <v>7.2204764075131335E-3</v>
      </c>
      <c r="Z571" s="679">
        <v>5.9067817111523261E-3</v>
      </c>
      <c r="AB571" s="679">
        <v>5.6561701201936149E-3</v>
      </c>
      <c r="AD571" s="679">
        <v>5.147217622921316E-3</v>
      </c>
      <c r="AF571" s="679">
        <v>6.8477869119741878E-3</v>
      </c>
      <c r="AH571" s="679">
        <v>5.8696175126292998E-3</v>
      </c>
      <c r="AJ571" s="679">
        <v>3.9267771553964312E-3</v>
      </c>
      <c r="AL571" s="679">
        <v>2.3857238286096E-3</v>
      </c>
      <c r="AN571" s="679">
        <v>4.6041398891169642E-3</v>
      </c>
      <c r="AP571" s="679">
        <v>1.5540871267743514E-2</v>
      </c>
      <c r="AR571" s="679">
        <v>2.4131381968495139E-2</v>
      </c>
      <c r="AT571" s="679"/>
    </row>
    <row r="572" spans="3:46" x14ac:dyDescent="0.4">
      <c r="C572" s="788" t="s">
        <v>1033</v>
      </c>
      <c r="H572" s="679">
        <v>0.11435317002768823</v>
      </c>
      <c r="J572" s="679">
        <v>9.8519685039370072E-2</v>
      </c>
      <c r="L572" s="679">
        <v>8.8288406069470429E-2</v>
      </c>
      <c r="N572" s="679">
        <v>7.5706535501346692E-2</v>
      </c>
      <c r="P572" s="679">
        <v>6.5865141314849177E-2</v>
      </c>
      <c r="R572" s="679">
        <v>5.1526123730587535E-2</v>
      </c>
      <c r="T572" s="679">
        <v>4.2702897007136011E-2</v>
      </c>
      <c r="V572" s="679">
        <v>3.404932937574278E-2</v>
      </c>
      <c r="X572" s="679">
        <v>2.8549107973236541E-2</v>
      </c>
      <c r="Z572" s="679">
        <v>2.4636994644341756E-2</v>
      </c>
      <c r="AB572" s="679">
        <v>2.1413422435019352E-2</v>
      </c>
      <c r="AD572" s="679">
        <v>1.9860390536777087E-2</v>
      </c>
      <c r="AF572" s="679">
        <v>2.331207809107318E-2</v>
      </c>
      <c r="AH572" s="679">
        <v>2.4339044988876568E-2</v>
      </c>
      <c r="AJ572" s="679">
        <v>3.4022118634968471E-2</v>
      </c>
      <c r="AL572" s="679">
        <v>3.7488134407719594E-2</v>
      </c>
      <c r="AN572" s="679">
        <v>4.5352283418303788E-2</v>
      </c>
      <c r="AP572" s="679">
        <v>3.2632523877221577E-2</v>
      </c>
      <c r="AR572" s="679">
        <v>5.6285433704415855E-2</v>
      </c>
      <c r="AT572" s="679"/>
    </row>
    <row r="573" spans="3:46" x14ac:dyDescent="0.4">
      <c r="C573" s="788" t="s">
        <v>1034</v>
      </c>
      <c r="H573" s="679">
        <v>1.3199200737021239E-2</v>
      </c>
      <c r="J573" s="679">
        <v>1.0501410263937909E-2</v>
      </c>
      <c r="L573" s="679">
        <v>1.5300821082904046E-2</v>
      </c>
      <c r="N573" s="679">
        <v>1.3866648495792307E-2</v>
      </c>
      <c r="P573" s="679">
        <v>1.2305243790940662E-2</v>
      </c>
      <c r="R573" s="679">
        <v>9.7214449643717154E-3</v>
      </c>
      <c r="T573" s="679">
        <v>9.2370138966715223E-3</v>
      </c>
      <c r="V573" s="679">
        <v>8.1243028368165708E-3</v>
      </c>
      <c r="X573" s="679">
        <v>8.6758558028186741E-3</v>
      </c>
      <c r="Z573" s="679">
        <v>6.0090814447568055E-3</v>
      </c>
      <c r="AB573" s="679">
        <v>4.7039463470674074E-3</v>
      </c>
      <c r="AD573" s="679">
        <v>4.1252944769217346E-3</v>
      </c>
      <c r="AF573" s="679">
        <v>2.9324896562209863E-3</v>
      </c>
      <c r="AH573" s="679">
        <v>2.3114181072020805E-3</v>
      </c>
      <c r="AJ573" s="679">
        <v>1.9338268188763223E-3</v>
      </c>
      <c r="AL573" s="679">
        <v>1.8230959991401992E-3</v>
      </c>
      <c r="AN573" s="679">
        <v>1.914476466291631E-3</v>
      </c>
      <c r="AP573" s="679">
        <v>1.4628529132653253E-3</v>
      </c>
      <c r="AR573" s="679">
        <v>6.1046044070126189E-4</v>
      </c>
      <c r="AT573" s="679">
        <v>6.9370348841785005E-4</v>
      </c>
    </row>
    <row r="574" spans="3:46" x14ac:dyDescent="0.4">
      <c r="C574" s="788" t="s">
        <v>1035</v>
      </c>
      <c r="H574" s="679">
        <v>8.4377365099420187E-3</v>
      </c>
      <c r="J574" s="679">
        <v>8.1033691209089053E-3</v>
      </c>
      <c r="L574" s="679">
        <v>1.0030831384222836E-2</v>
      </c>
      <c r="N574" s="679">
        <v>6.3726587568091932E-3</v>
      </c>
      <c r="P574" s="679">
        <v>4.5315243965428189E-3</v>
      </c>
      <c r="R574" s="679">
        <v>3.6160627422806937E-3</v>
      </c>
      <c r="T574" s="679">
        <v>3.0898373710936625E-3</v>
      </c>
      <c r="V574" s="679">
        <v>2.6459286571009727E-3</v>
      </c>
      <c r="X574" s="679">
        <v>2.1372901335591746E-3</v>
      </c>
      <c r="Z574" s="679">
        <v>2.7471693949883465E-3</v>
      </c>
      <c r="AB574" s="679">
        <v>2.5049956247469537E-3</v>
      </c>
      <c r="AD574" s="679">
        <v>2.0625064754511129E-3</v>
      </c>
      <c r="AF574" s="679">
        <v>1.8991542520683696E-3</v>
      </c>
      <c r="AH574" s="679">
        <v>1.7909102784240748E-3</v>
      </c>
      <c r="AJ574" s="679">
        <v>3.7604110734027374E-3</v>
      </c>
      <c r="AL574" s="679">
        <v>6.057192264970211E-3</v>
      </c>
      <c r="AN574" s="679">
        <v>7.5135231164121319E-3</v>
      </c>
      <c r="AP574" s="679">
        <v>5.7087527763351274E-3</v>
      </c>
      <c r="AR574" s="679">
        <v>6.7008539585654368E-3</v>
      </c>
      <c r="AT574" s="679">
        <v>7.4251668840102612E-3</v>
      </c>
    </row>
    <row r="575" spans="3:46" x14ac:dyDescent="0.4">
      <c r="C575" s="788" t="s">
        <v>1036</v>
      </c>
      <c r="H575" s="679">
        <v>4.8575748622673321E-3</v>
      </c>
      <c r="J575" s="679">
        <v>4.1558503893859818E-3</v>
      </c>
      <c r="L575" s="679">
        <v>6.4653372974817491E-3</v>
      </c>
      <c r="N575" s="679">
        <v>1.0983154434904545E-3</v>
      </c>
      <c r="P575" s="679">
        <v>6.5201940002467104E-4</v>
      </c>
      <c r="R575" s="679">
        <v>4.5069488136809333E-4</v>
      </c>
      <c r="T575" s="679">
        <v>3.7864583143707017E-4</v>
      </c>
      <c r="V575" s="679">
        <v>4.9350875268971723E-4</v>
      </c>
      <c r="X575" s="679">
        <v>2.2075497399818909E-3</v>
      </c>
      <c r="Z575" s="679">
        <v>2.4330594571052872E-3</v>
      </c>
      <c r="AB575" s="679">
        <v>7.3491379310344827E-4</v>
      </c>
      <c r="AD575" s="679">
        <v>1.7057443573555487E-4</v>
      </c>
      <c r="AF575" s="679">
        <v>2.4514178441715389E-4</v>
      </c>
      <c r="AH575" s="679">
        <v>2.0810505482931138E-4</v>
      </c>
      <c r="AJ575" s="679">
        <v>1.1914538715868038E-4</v>
      </c>
      <c r="AL575" s="679">
        <v>4.9821758364471938E-4</v>
      </c>
      <c r="AN575" s="679">
        <v>6.0232871547984796E-4</v>
      </c>
      <c r="AP575" s="679">
        <v>5.4828933726772469E-4</v>
      </c>
      <c r="AR575" s="679">
        <v>2.5157378531597435E-3</v>
      </c>
      <c r="AT575" s="679">
        <v>2.2825806972190067E-3</v>
      </c>
    </row>
    <row r="576" spans="3:46" x14ac:dyDescent="0.4">
      <c r="C576" s="788" t="s">
        <v>1037</v>
      </c>
      <c r="H576" s="679">
        <v>8.5294243480865076E-2</v>
      </c>
      <c r="J576" s="679">
        <v>7.0040729761646547E-2</v>
      </c>
      <c r="L576" s="679">
        <v>7.2657561523266842E-2</v>
      </c>
      <c r="N576" s="679">
        <v>6.1810898165429964E-2</v>
      </c>
      <c r="P576" s="679">
        <v>4.6447805068494726E-2</v>
      </c>
      <c r="R576" s="679">
        <v>3.4821072544673905E-2</v>
      </c>
      <c r="T576" s="679">
        <v>2.6073196691948672E-2</v>
      </c>
      <c r="V576" s="679">
        <v>1.8848467607660707E-2</v>
      </c>
      <c r="X576" s="679">
        <v>1.5341790124610009E-2</v>
      </c>
      <c r="Z576" s="679">
        <v>1.7579083638443026E-2</v>
      </c>
      <c r="AB576" s="679">
        <v>2.0099178237461036E-2</v>
      </c>
      <c r="AD576" s="679">
        <v>2.5320050941141516E-2</v>
      </c>
      <c r="AF576" s="679">
        <v>3.4010343397752739E-2</v>
      </c>
      <c r="AH576" s="679">
        <v>3.6216625168938303E-2</v>
      </c>
      <c r="AJ576" s="679">
        <v>4.6097528141083394E-2</v>
      </c>
      <c r="AL576" s="679">
        <v>6.0949618139837784E-2</v>
      </c>
      <c r="AN576" s="679">
        <v>6.6016865443799547E-2</v>
      </c>
      <c r="AP576" s="679">
        <v>8.0166828624310696E-2</v>
      </c>
      <c r="AR576" s="679">
        <v>9.2773962090399814E-2</v>
      </c>
      <c r="AT576" s="679">
        <v>9.0444553128513266E-2</v>
      </c>
    </row>
    <row r="577" spans="2:46" x14ac:dyDescent="0.4">
      <c r="C577" s="788" t="s">
        <v>1038</v>
      </c>
      <c r="H577" s="679">
        <v>2.8156087162482236E-2</v>
      </c>
      <c r="J577" s="679">
        <v>2.4314700428718215E-2</v>
      </c>
      <c r="L577" s="679">
        <v>2.2099768824786637E-2</v>
      </c>
      <c r="N577" s="679">
        <v>1.9483769845282637E-2</v>
      </c>
      <c r="P577" s="679">
        <v>1.5049643910441817E-2</v>
      </c>
      <c r="R577" s="679">
        <v>1.1171231298516594E-2</v>
      </c>
      <c r="T577" s="679">
        <v>1.0458616689257018E-2</v>
      </c>
      <c r="V577" s="679">
        <v>8.5439059711815129E-3</v>
      </c>
      <c r="X577" s="679">
        <v>9.3229306998738725E-3</v>
      </c>
      <c r="Z577" s="679">
        <v>1.0097812541322894E-2</v>
      </c>
      <c r="AB577" s="679">
        <v>8.820039984728625E-3</v>
      </c>
      <c r="AD577" s="679">
        <v>9.0399041532212617E-3</v>
      </c>
      <c r="AF577" s="679">
        <v>8.690962822351888E-3</v>
      </c>
      <c r="AH577" s="679">
        <v>8.2861930324229019E-3</v>
      </c>
      <c r="AJ577" s="679">
        <v>8.3725880610006059E-3</v>
      </c>
      <c r="AL577" s="679">
        <v>9.6761199716945186E-3</v>
      </c>
      <c r="AN577" s="679">
        <v>1.472715103462156E-2</v>
      </c>
      <c r="AP577" s="679">
        <v>1.5070459886788658E-2</v>
      </c>
      <c r="AR577" s="679">
        <v>2.1936819524167504E-2</v>
      </c>
      <c r="AT577" s="679">
        <v>2.1182668127918476E-2</v>
      </c>
    </row>
    <row r="578" spans="2:46" x14ac:dyDescent="0.4">
      <c r="C578" s="788" t="s">
        <v>1039</v>
      </c>
      <c r="H578" s="679">
        <v>0</v>
      </c>
      <c r="J578" s="679">
        <v>0</v>
      </c>
      <c r="L578" s="679">
        <v>0</v>
      </c>
      <c r="N578" s="679">
        <v>0</v>
      </c>
      <c r="P578" s="679">
        <v>3.3814823585129055E-3</v>
      </c>
      <c r="R578" s="679">
        <v>2.7742596948314335E-3</v>
      </c>
      <c r="T578" s="679">
        <v>2.2936488323242309E-3</v>
      </c>
      <c r="V578" s="679">
        <v>2.2078825836654645E-3</v>
      </c>
      <c r="X578" s="679">
        <v>2.9196429566399592E-3</v>
      </c>
      <c r="Z578" s="679">
        <v>2.3393658647530902E-3</v>
      </c>
      <c r="AB578" s="679">
        <v>2.0289631269195794E-3</v>
      </c>
      <c r="AD578" s="679">
        <v>2.3204852437316631E-3</v>
      </c>
      <c r="AF578" s="679">
        <v>2.5576383523766926E-3</v>
      </c>
      <c r="AH578" s="679">
        <v>4.0108365807821535E-3</v>
      </c>
      <c r="AJ578" s="679">
        <v>6.007517020027598E-3</v>
      </c>
      <c r="AL578" s="679">
        <v>8.8651840410597996E-3</v>
      </c>
      <c r="AN578" s="679">
        <v>1.5096880437736522E-2</v>
      </c>
      <c r="AP578" s="679">
        <v>2.2308972385921451E-2</v>
      </c>
      <c r="AR578" s="679">
        <v>1.9622624775503868E-2</v>
      </c>
      <c r="AT578" s="679">
        <v>1.8073617899807663E-2</v>
      </c>
    </row>
    <row r="579" spans="2:46" x14ac:dyDescent="0.4">
      <c r="C579" s="788" t="s">
        <v>1040</v>
      </c>
      <c r="H579" s="679">
        <v>2.5665381181253444E-2</v>
      </c>
      <c r="J579" s="679">
        <v>2.6480135778667591E-2</v>
      </c>
      <c r="L579" s="679">
        <v>2.5800740910730091E-2</v>
      </c>
      <c r="N579" s="679">
        <v>2.2864869848489504E-2</v>
      </c>
      <c r="P579" s="679">
        <v>2.1313077896895984E-2</v>
      </c>
      <c r="R579" s="679">
        <v>1.5877574464593418E-2</v>
      </c>
      <c r="T579" s="679">
        <v>1.3896820864268038E-2</v>
      </c>
      <c r="V579" s="679">
        <v>1.188231637832798E-2</v>
      </c>
      <c r="X579" s="679">
        <v>9.1614731370657215E-3</v>
      </c>
      <c r="Z579" s="679">
        <v>9.7019690153455507E-3</v>
      </c>
      <c r="AB579" s="679">
        <v>6.3924059314942588E-3</v>
      </c>
      <c r="AD579" s="679">
        <v>4.1977787538432579E-3</v>
      </c>
      <c r="AF579" s="679">
        <v>4.851188017951048E-3</v>
      </c>
      <c r="AH579" s="679">
        <v>5.3220057614374299E-3</v>
      </c>
      <c r="AJ579" s="679">
        <v>6.0326110714441841E-3</v>
      </c>
      <c r="AL579" s="679">
        <v>1.1093431544320092E-2</v>
      </c>
      <c r="AN579" s="679">
        <v>1.4489238875098672E-2</v>
      </c>
      <c r="AP579" s="679">
        <v>1.4309213690670874E-2</v>
      </c>
      <c r="AR579" s="679">
        <v>2.2533798028426102E-2</v>
      </c>
      <c r="AT579" s="679">
        <v>1.5203857136170014E-2</v>
      </c>
    </row>
    <row r="580" spans="2:46" x14ac:dyDescent="0.4">
      <c r="C580" s="788" t="s">
        <v>1041</v>
      </c>
      <c r="H580" s="679">
        <v>2.6899142553984685E-2</v>
      </c>
      <c r="J580" s="679">
        <v>2.918164224495438E-2</v>
      </c>
      <c r="L580" s="679">
        <v>2.7983691623424758E-2</v>
      </c>
      <c r="N580" s="679">
        <v>2.2487010737790095E-2</v>
      </c>
      <c r="P580" s="679">
        <v>1.6943824933766408E-2</v>
      </c>
      <c r="R580" s="679">
        <v>1.3450308974431658E-2</v>
      </c>
      <c r="T580" s="679">
        <v>1.2407858800035242E-2</v>
      </c>
      <c r="V580" s="679">
        <v>1.2670186162823007E-2</v>
      </c>
      <c r="X580" s="679">
        <v>1.0240420847309858E-2</v>
      </c>
      <c r="Z580" s="679">
        <v>7.9095465791531525E-3</v>
      </c>
      <c r="AB580" s="679">
        <v>6.8532944426659076E-3</v>
      </c>
      <c r="AD580" s="679">
        <v>6.2102310555209933E-3</v>
      </c>
      <c r="AF580" s="679">
        <v>5.3034358333828979E-3</v>
      </c>
      <c r="AH580" s="679">
        <v>4.3238136763316618E-3</v>
      </c>
      <c r="AJ580" s="679">
        <v>3.7627618145458373E-3</v>
      </c>
      <c r="AL580" s="679">
        <v>2.7033389889674544E-3</v>
      </c>
      <c r="AN580" s="679">
        <v>4.6169163816222637E-3</v>
      </c>
      <c r="AP580" s="679">
        <v>4.7800919492770313E-3</v>
      </c>
      <c r="AR580" s="679">
        <v>5.5194858292311969E-3</v>
      </c>
      <c r="AT580" s="679">
        <v>7.2119839805316723E-3</v>
      </c>
    </row>
    <row r="581" spans="2:46" x14ac:dyDescent="0.4">
      <c r="C581" s="788" t="s">
        <v>1042</v>
      </c>
      <c r="H581" s="679">
        <v>0</v>
      </c>
      <c r="J581" s="679">
        <v>0</v>
      </c>
      <c r="L581" s="679">
        <v>0</v>
      </c>
      <c r="N581" s="679">
        <v>0</v>
      </c>
      <c r="P581" s="679">
        <v>0</v>
      </c>
      <c r="R581" s="679">
        <v>0</v>
      </c>
      <c r="T581" s="679">
        <v>0</v>
      </c>
      <c r="V581" s="679">
        <v>0</v>
      </c>
      <c r="X581" s="679">
        <v>1.4905750299922759E-2</v>
      </c>
      <c r="Z581" s="679">
        <v>1.1594091002676549E-2</v>
      </c>
      <c r="AB581" s="679">
        <v>7.8432145355654299E-3</v>
      </c>
      <c r="AD581" s="679">
        <v>4.3814775185685613E-3</v>
      </c>
      <c r="AF581" s="679">
        <v>5.040068201193521E-3</v>
      </c>
      <c r="AH581" s="679">
        <v>7.6305945764273131E-3</v>
      </c>
      <c r="AJ581" s="679">
        <v>8.2273043663658764E-3</v>
      </c>
      <c r="AL581" s="679">
        <v>1.3585806103991072E-2</v>
      </c>
      <c r="AN581" s="679">
        <v>2.3785086964008956E-2</v>
      </c>
      <c r="AP581" s="679">
        <v>1.8065686808201777E-2</v>
      </c>
      <c r="AR581" s="679">
        <v>2.2453876200692779E-2</v>
      </c>
      <c r="AT581" s="679">
        <v>2.7523419976250164E-2</v>
      </c>
    </row>
    <row r="582" spans="2:46" x14ac:dyDescent="0.4">
      <c r="C582" s="788" t="s">
        <v>1043</v>
      </c>
      <c r="H582" s="679">
        <v>2.7421776469881688E-2</v>
      </c>
      <c r="J582" s="679">
        <v>2.2331835747274497E-2</v>
      </c>
      <c r="L582" s="679">
        <v>2.0148510663221809E-2</v>
      </c>
      <c r="N582" s="679">
        <v>1.4913834755999356E-2</v>
      </c>
      <c r="P582" s="679">
        <v>1.3633486867550367E-2</v>
      </c>
      <c r="R582" s="679">
        <v>1.2650738684810413E-2</v>
      </c>
      <c r="T582" s="679">
        <v>1.2109822615391667E-2</v>
      </c>
      <c r="V582" s="679">
        <v>1.0203250708445979E-2</v>
      </c>
      <c r="X582" s="679">
        <v>8.148725370143604E-3</v>
      </c>
      <c r="Z582" s="679">
        <v>8.1618612796297459E-3</v>
      </c>
      <c r="AB582" s="679">
        <v>7.4107021696847245E-3</v>
      </c>
      <c r="AD582" s="679">
        <v>7.23646340278245E-3</v>
      </c>
      <c r="AF582" s="679">
        <v>6.3856422355164488E-3</v>
      </c>
      <c r="AH582" s="679">
        <v>5.8160791526748901E-3</v>
      </c>
      <c r="AJ582" s="679">
        <v>7.5497439099117851E-3</v>
      </c>
      <c r="AL582" s="679">
        <v>1.1577298050139276E-2</v>
      </c>
      <c r="AN582" s="679">
        <v>1.0275296453011545E-2</v>
      </c>
      <c r="AP582" s="679">
        <v>1.1932961392048779E-2</v>
      </c>
      <c r="AR582" s="679">
        <v>1.2459478791998742E-2</v>
      </c>
      <c r="AT582" s="679">
        <v>2.0999321204885398E-2</v>
      </c>
    </row>
    <row r="583" spans="2:46" x14ac:dyDescent="0.4">
      <c r="C583" s="792" t="s">
        <v>1044</v>
      </c>
      <c r="H583" s="679">
        <v>3.5059432389717572E-2</v>
      </c>
      <c r="J583" s="679">
        <v>3.0134643003367975E-2</v>
      </c>
      <c r="L583" s="679">
        <v>2.9004873593489335E-2</v>
      </c>
      <c r="N583" s="679">
        <v>2.2727576827930571E-2</v>
      </c>
      <c r="P583" s="679">
        <v>1.9402767102617475E-2</v>
      </c>
      <c r="R583" s="679">
        <v>1.5506570472468242E-2</v>
      </c>
      <c r="T583" s="679">
        <v>1.3107554065735202E-2</v>
      </c>
      <c r="V583" s="679">
        <v>1.155862171792627E-2</v>
      </c>
      <c r="X583" s="679">
        <v>1.1468659915771996E-2</v>
      </c>
      <c r="Z583" s="679">
        <v>1.7009533638114516E-2</v>
      </c>
      <c r="AB583" s="679">
        <v>9.9664062373018229E-3</v>
      </c>
      <c r="AD583" s="679">
        <v>1.7009533638114516E-2</v>
      </c>
      <c r="AF583" s="679">
        <v>1.101831284549562E-2</v>
      </c>
      <c r="AH583" s="679">
        <v>1.1214127287962164E-2</v>
      </c>
      <c r="AJ583" s="679">
        <v>1.3148180303412017E-2</v>
      </c>
      <c r="AL583" s="679">
        <v>1.7009533638114516E-2</v>
      </c>
      <c r="AN583" s="679">
        <v>1.8778922975623554E-2</v>
      </c>
      <c r="AP583" s="679">
        <v>1.9454714641438386E-2</v>
      </c>
      <c r="AR583" s="679">
        <v>2.2035035761833899E-2</v>
      </c>
      <c r="AT583" s="679">
        <v>2.1493211314754884E-2</v>
      </c>
    </row>
    <row r="585" spans="2:46" s="429" customFormat="1" ht="13.5" thickBot="1" x14ac:dyDescent="0.45">
      <c r="D585" s="649"/>
      <c r="E585" s="649"/>
      <c r="F585" s="649"/>
      <c r="G585" s="649"/>
      <c r="H585" s="649"/>
      <c r="I585" s="649"/>
      <c r="J585" s="649"/>
      <c r="K585" s="649"/>
      <c r="L585" s="649"/>
      <c r="M585" s="649"/>
      <c r="N585" s="649"/>
      <c r="O585" s="649"/>
      <c r="P585" s="649"/>
      <c r="Q585" s="649"/>
      <c r="R585" s="649"/>
      <c r="S585" s="649"/>
      <c r="T585" s="649"/>
      <c r="U585" s="649"/>
      <c r="V585" s="649"/>
      <c r="W585" s="649"/>
      <c r="X585" s="649"/>
      <c r="Y585" s="649"/>
      <c r="Z585" s="649"/>
      <c r="AA585" s="649"/>
      <c r="AB585" s="649"/>
      <c r="AC585" s="649"/>
      <c r="AD585" s="649"/>
      <c r="AE585" s="649"/>
      <c r="AF585" s="649"/>
      <c r="AG585" s="649"/>
      <c r="AH585" s="649"/>
      <c r="AI585" s="649"/>
      <c r="AJ585" s="649"/>
      <c r="AK585" s="649"/>
      <c r="AL585" s="649"/>
      <c r="AM585" s="649"/>
      <c r="AN585" s="649"/>
      <c r="AO585" s="649"/>
      <c r="AP585" s="649"/>
      <c r="AQ585" s="649"/>
      <c r="AR585" s="649"/>
      <c r="AS585" s="649"/>
      <c r="AT585" s="649"/>
    </row>
    <row r="586" spans="2:46" ht="13.5" thickTop="1" x14ac:dyDescent="0.4"/>
    <row r="587" spans="2:46" ht="13.5" x14ac:dyDescent="0.4">
      <c r="B587" s="1029" t="s">
        <v>1295</v>
      </c>
    </row>
    <row r="588" spans="2:46" ht="13.5" x14ac:dyDescent="0.4">
      <c r="C588" s="1030" t="s">
        <v>1296</v>
      </c>
      <c r="H588" s="626">
        <v>5372</v>
      </c>
      <c r="L588" s="626">
        <v>7199</v>
      </c>
      <c r="P588" s="626">
        <v>9408</v>
      </c>
      <c r="T588" s="626">
        <v>13687</v>
      </c>
      <c r="X588" s="626">
        <v>17019</v>
      </c>
      <c r="AB588" s="626">
        <v>23091</v>
      </c>
      <c r="AF588" s="626">
        <v>28533</v>
      </c>
      <c r="AJ588" s="626">
        <v>35133</v>
      </c>
      <c r="AN588" s="626">
        <v>37684</v>
      </c>
      <c r="AR588" s="626">
        <v>37670</v>
      </c>
    </row>
    <row r="589" spans="2:46" ht="13.5" x14ac:dyDescent="0.4">
      <c r="C589" s="1030" t="s">
        <v>1297</v>
      </c>
      <c r="H589" s="626">
        <v>584</v>
      </c>
      <c r="L589" s="626">
        <v>756</v>
      </c>
      <c r="P589" s="626">
        <v>882</v>
      </c>
      <c r="T589" s="626">
        <v>979</v>
      </c>
      <c r="X589" s="626">
        <v>1294</v>
      </c>
      <c r="AB589" s="626">
        <v>1553</v>
      </c>
      <c r="AF589" s="626">
        <v>1857</v>
      </c>
      <c r="AJ589" s="626">
        <v>2019</v>
      </c>
      <c r="AN589" s="626">
        <v>1979</v>
      </c>
      <c r="AR589" s="626">
        <v>1907</v>
      </c>
    </row>
    <row r="590" spans="2:46" ht="13.5" x14ac:dyDescent="0.4">
      <c r="C590" s="1030" t="s">
        <v>1298</v>
      </c>
      <c r="H590" s="626">
        <v>1465</v>
      </c>
      <c r="L590" s="626">
        <v>2066</v>
      </c>
      <c r="P590" s="626">
        <v>2212</v>
      </c>
      <c r="T590" s="626">
        <v>3385</v>
      </c>
      <c r="X590" s="626">
        <v>5892</v>
      </c>
      <c r="AB590" s="626">
        <v>5966</v>
      </c>
      <c r="AF590" s="626">
        <v>6893</v>
      </c>
      <c r="AJ590" s="626">
        <v>5923</v>
      </c>
      <c r="AN590" s="626">
        <v>5544</v>
      </c>
      <c r="AR590" s="626">
        <v>6893</v>
      </c>
    </row>
    <row r="591" spans="2:46" ht="13.5" x14ac:dyDescent="0.4">
      <c r="C591" s="1030" t="s">
        <v>1299</v>
      </c>
      <c r="H591" s="626">
        <v>9215</v>
      </c>
      <c r="L591" s="626">
        <v>13002</v>
      </c>
      <c r="P591" s="626">
        <v>14587</v>
      </c>
      <c r="T591" s="626">
        <v>19160</v>
      </c>
      <c r="X591" s="626">
        <v>24916</v>
      </c>
      <c r="AB591" s="626">
        <v>26939</v>
      </c>
      <c r="AF591" s="626">
        <v>30513</v>
      </c>
      <c r="AJ591" s="626">
        <v>30422</v>
      </c>
      <c r="AN591" s="626">
        <v>27986</v>
      </c>
      <c r="AR591" s="626">
        <v>26108</v>
      </c>
    </row>
    <row r="592" spans="2:46" ht="13.5" x14ac:dyDescent="0.4">
      <c r="C592" s="1030" t="s">
        <v>1300</v>
      </c>
      <c r="H592" s="626">
        <v>562</v>
      </c>
      <c r="L592" s="626">
        <v>1849</v>
      </c>
      <c r="P592" s="626">
        <v>2396</v>
      </c>
      <c r="T592" s="626">
        <v>3029</v>
      </c>
      <c r="X592" s="626">
        <v>5071</v>
      </c>
      <c r="AB592" s="626">
        <v>2653</v>
      </c>
      <c r="AF592" s="626">
        <v>4357</v>
      </c>
      <c r="AJ592" s="626">
        <v>4614</v>
      </c>
      <c r="AN592" s="626">
        <v>4687</v>
      </c>
      <c r="AR592" s="626">
        <v>5950</v>
      </c>
    </row>
    <row r="593" spans="3:44" ht="13.5" x14ac:dyDescent="0.4">
      <c r="C593" s="1030" t="s">
        <v>1301</v>
      </c>
      <c r="H593" s="626">
        <v>858</v>
      </c>
      <c r="L593" s="626">
        <v>1253</v>
      </c>
      <c r="P593" s="626">
        <v>3782</v>
      </c>
      <c r="T593" s="626">
        <v>5395</v>
      </c>
      <c r="X593" s="626">
        <v>5087</v>
      </c>
      <c r="AB593" s="626">
        <v>5173</v>
      </c>
      <c r="AF593" s="626">
        <v>9802</v>
      </c>
      <c r="AJ593" s="626">
        <v>7257</v>
      </c>
      <c r="AN593" s="626">
        <v>7452</v>
      </c>
      <c r="AR593" s="626">
        <v>7036</v>
      </c>
    </row>
    <row r="594" spans="3:44" ht="13.5" x14ac:dyDescent="0.4">
      <c r="C594" s="1030" t="s">
        <v>1302</v>
      </c>
      <c r="H594" s="626">
        <v>18674</v>
      </c>
      <c r="L594" s="626">
        <v>19927</v>
      </c>
      <c r="P594" s="626">
        <v>23709</v>
      </c>
      <c r="T594" s="626">
        <v>29104</v>
      </c>
      <c r="X594" s="626">
        <v>34191</v>
      </c>
      <c r="AB594" s="626">
        <v>39173</v>
      </c>
      <c r="AF594" s="626">
        <v>48975</v>
      </c>
      <c r="AJ594" s="626">
        <v>56232</v>
      </c>
      <c r="AN594" s="626">
        <v>63684</v>
      </c>
      <c r="AR594" s="626">
        <v>70720</v>
      </c>
    </row>
    <row r="595" spans="3:44" ht="13.5" x14ac:dyDescent="0.4">
      <c r="C595" s="1030" t="s">
        <v>1303</v>
      </c>
      <c r="H595" s="626">
        <v>1291</v>
      </c>
      <c r="L595" s="626">
        <v>1567</v>
      </c>
      <c r="P595" s="626">
        <v>1296</v>
      </c>
      <c r="T595" s="626">
        <v>1165</v>
      </c>
      <c r="X595" s="626">
        <v>699</v>
      </c>
      <c r="AB595" s="626">
        <v>648</v>
      </c>
      <c r="AF595" s="626">
        <v>1092</v>
      </c>
      <c r="AJ595" s="626">
        <v>1251</v>
      </c>
      <c r="AN595" s="626">
        <v>835</v>
      </c>
      <c r="AR595" s="626">
        <v>1109</v>
      </c>
    </row>
    <row r="596" spans="3:44" ht="13.5" x14ac:dyDescent="0.4">
      <c r="C596" s="1030" t="s">
        <v>1304</v>
      </c>
      <c r="H596" s="626">
        <v>2338</v>
      </c>
      <c r="L596" s="626">
        <v>3905</v>
      </c>
      <c r="P596" s="626">
        <v>5201</v>
      </c>
      <c r="T596" s="626">
        <v>6366</v>
      </c>
      <c r="X596" s="626">
        <v>7065</v>
      </c>
      <c r="AB596" s="626">
        <v>7713</v>
      </c>
      <c r="AF596" s="626">
        <v>8805</v>
      </c>
      <c r="AJ596" s="626">
        <v>10056</v>
      </c>
      <c r="AN596" s="626">
        <v>10891</v>
      </c>
      <c r="AR596" s="626">
        <v>12000</v>
      </c>
    </row>
    <row r="597" spans="3:44" ht="13.5" x14ac:dyDescent="0.4">
      <c r="C597" s="1030" t="s">
        <v>1305</v>
      </c>
      <c r="H597" s="626">
        <v>82.41</v>
      </c>
      <c r="L597" s="626">
        <v>170.97</v>
      </c>
      <c r="P597" s="626">
        <v>368.76</v>
      </c>
      <c r="T597" s="626">
        <v>915.61</v>
      </c>
      <c r="X597" s="626">
        <v>1780.47</v>
      </c>
      <c r="AB597" s="626">
        <v>2448.92</v>
      </c>
      <c r="AF597" s="626">
        <v>3071.35</v>
      </c>
      <c r="AJ597" s="626">
        <v>3662.45</v>
      </c>
      <c r="AN597" s="626">
        <v>4194.99</v>
      </c>
      <c r="AR597" s="626">
        <v>4520.3900000000003</v>
      </c>
    </row>
    <row r="598" spans="3:44" ht="13.5" x14ac:dyDescent="0.4">
      <c r="C598" s="1030" t="s">
        <v>1306</v>
      </c>
      <c r="H598" s="626">
        <v>2696</v>
      </c>
    </row>
    <row r="599" spans="3:44" ht="13.5" x14ac:dyDescent="0.4">
      <c r="C599" s="1030" t="s">
        <v>1307</v>
      </c>
      <c r="H599" s="626">
        <v>8570</v>
      </c>
      <c r="L599" s="626">
        <v>4310</v>
      </c>
      <c r="P599" s="626">
        <v>4878</v>
      </c>
      <c r="T599" s="626">
        <v>3561</v>
      </c>
      <c r="X599" s="626">
        <v>4223</v>
      </c>
      <c r="AB599" s="626">
        <v>7614</v>
      </c>
      <c r="AJ599" s="626">
        <v>10628</v>
      </c>
      <c r="AN599" s="626">
        <v>10379</v>
      </c>
      <c r="AR599" s="626">
        <v>4889</v>
      </c>
    </row>
    <row r="600" spans="3:44" ht="13.5" x14ac:dyDescent="0.4">
      <c r="C600" s="1030" t="s">
        <v>1308</v>
      </c>
      <c r="H600" s="626">
        <v>12339</v>
      </c>
      <c r="L600" s="626">
        <v>27246</v>
      </c>
      <c r="P600" s="626">
        <v>33229</v>
      </c>
      <c r="T600" s="626">
        <v>45394</v>
      </c>
      <c r="X600" s="626">
        <v>61213</v>
      </c>
      <c r="AB600" s="626">
        <v>59165</v>
      </c>
      <c r="AF600" s="626">
        <v>57854</v>
      </c>
    </row>
    <row r="601" spans="3:44" ht="13.5" x14ac:dyDescent="0.4">
      <c r="C601" s="1030" t="s">
        <v>1309</v>
      </c>
      <c r="L601" s="626">
        <v>15880000</v>
      </c>
    </row>
    <row r="602" spans="3:44" ht="13.5" x14ac:dyDescent="0.4">
      <c r="C602" s="1030" t="s">
        <v>1310</v>
      </c>
      <c r="H602" s="626">
        <v>579</v>
      </c>
      <c r="L602" s="626">
        <v>1027</v>
      </c>
      <c r="P602" s="626">
        <v>724</v>
      </c>
      <c r="T602" s="626">
        <v>885</v>
      </c>
      <c r="X602" s="626">
        <v>735</v>
      </c>
      <c r="AB602" s="626">
        <v>860</v>
      </c>
      <c r="AF602" s="626">
        <v>845</v>
      </c>
      <c r="AJ602" s="626">
        <v>1027</v>
      </c>
      <c r="AN602" s="626">
        <v>1668</v>
      </c>
      <c r="AR602" s="626">
        <v>3360</v>
      </c>
    </row>
    <row r="603" spans="3:44" ht="13.5" x14ac:dyDescent="0.4">
      <c r="C603" s="1030" t="s">
        <v>1311</v>
      </c>
      <c r="H603" s="626">
        <v>494</v>
      </c>
      <c r="L603" s="626">
        <v>612</v>
      </c>
      <c r="P603" s="626">
        <v>804</v>
      </c>
      <c r="T603" s="626">
        <v>715</v>
      </c>
      <c r="X603" s="626">
        <v>809</v>
      </c>
      <c r="AB603" s="626">
        <v>600</v>
      </c>
      <c r="AF603" s="626">
        <v>830</v>
      </c>
      <c r="AJ603" s="626">
        <v>815</v>
      </c>
      <c r="AR603" s="626">
        <v>738</v>
      </c>
    </row>
    <row r="604" spans="3:44" ht="13.5" x14ac:dyDescent="0.4">
      <c r="C604" s="1030" t="s">
        <v>1312</v>
      </c>
      <c r="H604" s="626">
        <v>13160</v>
      </c>
      <c r="L604" s="626">
        <v>11438</v>
      </c>
      <c r="P604" s="626">
        <v>18065</v>
      </c>
      <c r="T604" s="626">
        <v>28757</v>
      </c>
      <c r="X604" s="626">
        <v>35300</v>
      </c>
      <c r="AB604" s="626">
        <v>39553</v>
      </c>
      <c r="AF604" s="626">
        <v>46213</v>
      </c>
      <c r="AJ604" s="626">
        <v>58274.59</v>
      </c>
      <c r="AN604" s="626">
        <v>115000</v>
      </c>
      <c r="AR604" s="626">
        <v>141000</v>
      </c>
    </row>
    <row r="605" spans="3:44" ht="13.5" x14ac:dyDescent="0.4">
      <c r="C605" s="1030" t="s">
        <v>1313</v>
      </c>
      <c r="H605" s="626">
        <v>13269</v>
      </c>
      <c r="L605" s="626">
        <v>15534</v>
      </c>
      <c r="P605" s="626">
        <v>18320</v>
      </c>
    </row>
    <row r="606" spans="3:44" ht="13.5" x14ac:dyDescent="0.4">
      <c r="C606" s="1030" t="s">
        <v>1314</v>
      </c>
      <c r="L606" s="626">
        <v>40</v>
      </c>
      <c r="P606" s="626">
        <v>70</v>
      </c>
    </row>
    <row r="607" spans="3:44" ht="13.5" x14ac:dyDescent="0.4">
      <c r="C607" s="1030" t="s">
        <v>1315</v>
      </c>
      <c r="H607" s="626">
        <v>82</v>
      </c>
      <c r="L607" s="626">
        <v>107</v>
      </c>
      <c r="P607" s="626">
        <v>145</v>
      </c>
      <c r="X607" s="626">
        <v>915</v>
      </c>
    </row>
    <row r="608" spans="3:44" ht="13.5" x14ac:dyDescent="0.4">
      <c r="C608" s="1030" t="s">
        <v>1316</v>
      </c>
      <c r="H608" s="626">
        <v>5933</v>
      </c>
      <c r="L608" s="626">
        <v>7566</v>
      </c>
      <c r="P608" s="626">
        <v>5459</v>
      </c>
      <c r="T608" s="626">
        <v>7827</v>
      </c>
      <c r="X608" s="626">
        <v>10728</v>
      </c>
      <c r="AB608" s="626">
        <v>19252</v>
      </c>
      <c r="AF608" s="626">
        <v>23338</v>
      </c>
      <c r="AJ608" s="626">
        <v>27235.45</v>
      </c>
      <c r="AN608" s="626">
        <v>26000</v>
      </c>
      <c r="AR608" s="626">
        <v>25000</v>
      </c>
    </row>
    <row r="609" spans="3:44" ht="13.5" x14ac:dyDescent="0.4">
      <c r="C609" s="1030" t="s">
        <v>1317</v>
      </c>
      <c r="H609" s="626">
        <v>3908</v>
      </c>
      <c r="L609" s="626">
        <v>5672</v>
      </c>
      <c r="P609" s="626">
        <v>7536</v>
      </c>
      <c r="T609" s="626">
        <v>9623.4699999999993</v>
      </c>
      <c r="X609" s="626">
        <v>11817.62</v>
      </c>
      <c r="AF609" s="626">
        <v>16000</v>
      </c>
      <c r="AJ609" s="626">
        <v>18000</v>
      </c>
      <c r="AN609" s="626">
        <v>20088</v>
      </c>
      <c r="AR609" s="626">
        <v>31000</v>
      </c>
    </row>
    <row r="610" spans="3:44" ht="13.5" x14ac:dyDescent="0.4">
      <c r="C610" s="1030" t="s">
        <v>1318</v>
      </c>
      <c r="H610" s="626">
        <v>4006</v>
      </c>
      <c r="L610" s="626">
        <v>5816</v>
      </c>
      <c r="P610" s="626">
        <v>7725</v>
      </c>
      <c r="T610" s="626">
        <v>9862.56</v>
      </c>
      <c r="X610" s="626">
        <v>12101.66</v>
      </c>
    </row>
    <row r="611" spans="3:44" ht="13.5" x14ac:dyDescent="0.4">
      <c r="C611" s="1030" t="s">
        <v>1319</v>
      </c>
      <c r="H611" s="626">
        <v>898900</v>
      </c>
      <c r="L611" s="626">
        <v>1202727.47</v>
      </c>
      <c r="P611" s="626">
        <v>1531600</v>
      </c>
      <c r="T611" s="626">
        <v>2269369.1</v>
      </c>
      <c r="X611" s="626">
        <v>2870169.9</v>
      </c>
    </row>
    <row r="612" spans="3:44" ht="13.5" x14ac:dyDescent="0.4">
      <c r="C612" s="1030" t="s">
        <v>1320</v>
      </c>
      <c r="L612" s="626">
        <v>118199.7</v>
      </c>
    </row>
    <row r="613" spans="3:44" ht="13.5" x14ac:dyDescent="0.4">
      <c r="C613" s="1030" t="s">
        <v>1321</v>
      </c>
      <c r="H613" s="626">
        <v>98</v>
      </c>
      <c r="L613" s="626">
        <v>144</v>
      </c>
      <c r="P613" s="626">
        <v>189</v>
      </c>
      <c r="T613" s="626">
        <v>239.09</v>
      </c>
      <c r="X613" s="626">
        <v>284.02999999999997</v>
      </c>
    </row>
    <row r="614" spans="3:44" ht="13.5" x14ac:dyDescent="0.4">
      <c r="C614" s="1030" t="s">
        <v>1322</v>
      </c>
      <c r="L614" s="626">
        <v>1451</v>
      </c>
      <c r="T614" s="626">
        <v>2933.03</v>
      </c>
      <c r="X614" s="626">
        <v>4789.6400000000003</v>
      </c>
      <c r="AB614" s="626">
        <v>7400</v>
      </c>
      <c r="AF614" s="626">
        <v>10000</v>
      </c>
      <c r="AJ614" s="626">
        <v>15000</v>
      </c>
    </row>
    <row r="615" spans="3:44" ht="13.5" x14ac:dyDescent="0.4">
      <c r="C615" s="1030" t="s">
        <v>1323</v>
      </c>
      <c r="H615" s="626">
        <v>1028800</v>
      </c>
      <c r="L615" s="626">
        <v>1452900</v>
      </c>
      <c r="P615" s="626">
        <v>1813100</v>
      </c>
      <c r="T615" s="626">
        <v>249000</v>
      </c>
      <c r="X615" s="626">
        <v>312495</v>
      </c>
      <c r="AB615" s="626">
        <v>3326000</v>
      </c>
      <c r="AF615" s="626">
        <v>3800000</v>
      </c>
      <c r="AJ615" s="626">
        <v>4000000</v>
      </c>
      <c r="AN615" s="626">
        <v>5920000</v>
      </c>
      <c r="AR615" s="626">
        <v>5990000</v>
      </c>
    </row>
    <row r="616" spans="3:44" ht="13.5" x14ac:dyDescent="0.4">
      <c r="C616" s="1030" t="s">
        <v>1324</v>
      </c>
      <c r="H616" s="626">
        <v>857400</v>
      </c>
      <c r="L616" s="626">
        <v>1105000</v>
      </c>
      <c r="P616" s="626">
        <v>1353500</v>
      </c>
      <c r="T616" s="626">
        <v>1984231</v>
      </c>
      <c r="X616" s="626">
        <v>2512036.4500000002</v>
      </c>
    </row>
    <row r="617" spans="3:44" ht="13.5" x14ac:dyDescent="0.4">
      <c r="C617" s="1030" t="s">
        <v>1325</v>
      </c>
      <c r="H617" s="626">
        <v>41500</v>
      </c>
      <c r="L617" s="626">
        <v>97700</v>
      </c>
      <c r="P617" s="626">
        <v>178100</v>
      </c>
      <c r="T617" s="626">
        <v>285138.09999999998</v>
      </c>
      <c r="X617" s="626">
        <v>358133.45</v>
      </c>
    </row>
    <row r="618" spans="3:44" ht="13.5" x14ac:dyDescent="0.4">
      <c r="C618" s="1030" t="s">
        <v>1326</v>
      </c>
      <c r="L618" s="626">
        <v>4919.1000000000004</v>
      </c>
      <c r="AF618" s="626">
        <v>10000</v>
      </c>
    </row>
    <row r="619" spans="3:44" ht="13.5" x14ac:dyDescent="0.4">
      <c r="C619" s="1030" t="s">
        <v>1327</v>
      </c>
      <c r="L619" s="626">
        <v>29440.09</v>
      </c>
    </row>
    <row r="620" spans="3:44" ht="13.5" x14ac:dyDescent="0.4">
      <c r="C620" s="1030" t="s">
        <v>1328</v>
      </c>
      <c r="L620" s="626">
        <v>9494.1</v>
      </c>
    </row>
    <row r="621" spans="3:44" ht="13.5" x14ac:dyDescent="0.4">
      <c r="C621" s="1030" t="s">
        <v>1329</v>
      </c>
      <c r="H621" s="626">
        <v>44963</v>
      </c>
      <c r="L621" s="626">
        <v>36267</v>
      </c>
      <c r="P621" s="626">
        <v>44243</v>
      </c>
      <c r="T621" s="626">
        <v>63081</v>
      </c>
      <c r="X621" s="626">
        <v>85324</v>
      </c>
    </row>
    <row r="622" spans="3:44" ht="13.5" x14ac:dyDescent="0.4">
      <c r="C622" s="1030" t="s">
        <v>1330</v>
      </c>
      <c r="L622" s="626">
        <v>3572.29</v>
      </c>
      <c r="X622" s="626">
        <v>19816.189999999999</v>
      </c>
      <c r="AB622" s="626">
        <v>23911.27</v>
      </c>
      <c r="AF622" s="626">
        <v>25168.12</v>
      </c>
      <c r="AJ622" s="626">
        <v>28039.040000000001</v>
      </c>
      <c r="AN622" s="626">
        <v>28556.22</v>
      </c>
      <c r="AR622" s="626">
        <v>27696.84</v>
      </c>
    </row>
    <row r="623" spans="3:44" ht="13.5" x14ac:dyDescent="0.4">
      <c r="C623" s="1030" t="s">
        <v>1331</v>
      </c>
      <c r="L623" s="626">
        <v>1519</v>
      </c>
    </row>
    <row r="624" spans="3:44" ht="13.5" x14ac:dyDescent="0.4">
      <c r="C624" s="1030" t="s">
        <v>1332</v>
      </c>
      <c r="H624" s="626">
        <v>4890</v>
      </c>
      <c r="L624" s="626">
        <v>7085</v>
      </c>
      <c r="P624" s="626">
        <v>8726</v>
      </c>
      <c r="T624" s="626">
        <v>11414</v>
      </c>
      <c r="X624" s="626">
        <v>13772</v>
      </c>
      <c r="AB624" s="626">
        <v>17437</v>
      </c>
      <c r="AF624" s="626">
        <v>21825</v>
      </c>
      <c r="AJ624" s="626">
        <v>25861</v>
      </c>
      <c r="AN624" s="626">
        <v>29043</v>
      </c>
      <c r="AR624" s="626">
        <v>29385</v>
      </c>
    </row>
    <row r="625" spans="3:44" ht="13.5" x14ac:dyDescent="0.4">
      <c r="C625" s="1030" t="s">
        <v>1333</v>
      </c>
      <c r="H625" s="626">
        <v>23420</v>
      </c>
      <c r="L625" s="626">
        <v>28656</v>
      </c>
      <c r="P625" s="626">
        <v>34089</v>
      </c>
      <c r="T625" s="626">
        <v>42868</v>
      </c>
      <c r="X625" s="626">
        <v>59140</v>
      </c>
      <c r="AB625" s="626">
        <v>70202</v>
      </c>
      <c r="AF625" s="626">
        <v>80501</v>
      </c>
      <c r="AJ625" s="626">
        <v>92319</v>
      </c>
      <c r="AN625" s="626">
        <v>99789</v>
      </c>
      <c r="AR625" s="626">
        <v>100083</v>
      </c>
    </row>
    <row r="626" spans="3:44" ht="13.5" x14ac:dyDescent="0.4">
      <c r="C626" s="1030" t="s">
        <v>1334</v>
      </c>
      <c r="X626" s="626">
        <v>10</v>
      </c>
      <c r="AB626" s="626">
        <v>26</v>
      </c>
    </row>
    <row r="627" spans="3:44" ht="13.5" x14ac:dyDescent="0.4">
      <c r="C627" s="1030" t="s">
        <v>1335</v>
      </c>
      <c r="P627" s="626">
        <v>13000</v>
      </c>
      <c r="T627" s="626">
        <v>18000</v>
      </c>
      <c r="X627" s="626">
        <v>22000</v>
      </c>
      <c r="AB627" s="626">
        <v>26000</v>
      </c>
      <c r="AF627" s="626">
        <v>31300</v>
      </c>
      <c r="AJ627" s="626">
        <v>43100</v>
      </c>
      <c r="AN627" s="626">
        <v>62400</v>
      </c>
      <c r="AR627" s="626">
        <v>70100</v>
      </c>
    </row>
    <row r="628" spans="3:44" ht="13.5" x14ac:dyDescent="0.4">
      <c r="C628" s="1030" t="s">
        <v>1336</v>
      </c>
      <c r="P628" s="626">
        <v>2550</v>
      </c>
      <c r="T628" s="626">
        <v>3543</v>
      </c>
      <c r="X628" s="626">
        <v>4345</v>
      </c>
      <c r="AB628" s="626">
        <v>4732</v>
      </c>
      <c r="AF628" s="626">
        <v>5413</v>
      </c>
      <c r="AJ628" s="626">
        <v>7357</v>
      </c>
      <c r="AN628" s="626">
        <v>10600</v>
      </c>
      <c r="AR628" s="626">
        <v>12100</v>
      </c>
    </row>
    <row r="629" spans="3:44" ht="13.5" x14ac:dyDescent="0.4">
      <c r="C629" s="1030" t="s">
        <v>1337</v>
      </c>
      <c r="H629" s="626">
        <v>5944</v>
      </c>
      <c r="L629" s="626">
        <v>8361</v>
      </c>
      <c r="T629" s="626">
        <v>15577</v>
      </c>
      <c r="X629" s="626">
        <v>20484</v>
      </c>
      <c r="AB629" s="626">
        <v>24958</v>
      </c>
      <c r="AF629" s="626">
        <v>29185</v>
      </c>
    </row>
    <row r="630" spans="3:44" ht="13.5" x14ac:dyDescent="0.4">
      <c r="C630" s="1030" t="s">
        <v>1338</v>
      </c>
      <c r="L630" s="626">
        <v>110</v>
      </c>
      <c r="P630" s="626">
        <v>149</v>
      </c>
      <c r="T630" s="626">
        <v>208</v>
      </c>
    </row>
    <row r="631" spans="3:44" ht="13.5" x14ac:dyDescent="0.4">
      <c r="C631" s="1030" t="s">
        <v>1339</v>
      </c>
      <c r="AJ631" s="626">
        <v>105000</v>
      </c>
      <c r="AN631" s="626">
        <v>115900</v>
      </c>
      <c r="AR631" s="626">
        <v>120000</v>
      </c>
    </row>
    <row r="632" spans="3:44" ht="13.5" x14ac:dyDescent="0.4">
      <c r="C632" s="1030" t="s">
        <v>1340</v>
      </c>
      <c r="H632" s="626">
        <v>170000000</v>
      </c>
      <c r="L632" s="626">
        <v>190000000</v>
      </c>
      <c r="P632" s="626">
        <v>216000000</v>
      </c>
      <c r="T632" s="626">
        <v>259000000</v>
      </c>
      <c r="X632" s="626">
        <v>282000000</v>
      </c>
      <c r="AB632" s="626">
        <v>393210000</v>
      </c>
      <c r="AF632" s="626">
        <v>432000000</v>
      </c>
      <c r="AJ632" s="626">
        <v>465000000</v>
      </c>
      <c r="AN632" s="626">
        <v>496000000</v>
      </c>
      <c r="AR632" s="626">
        <v>530000000</v>
      </c>
    </row>
    <row r="633" spans="3:44" ht="13.5" x14ac:dyDescent="0.4">
      <c r="C633" s="1030" t="s">
        <v>1341</v>
      </c>
      <c r="H633" s="626">
        <v>11.7</v>
      </c>
      <c r="L633" s="626">
        <v>15.1</v>
      </c>
      <c r="P633" s="626">
        <v>20.6</v>
      </c>
      <c r="T633" s="626">
        <v>20.2</v>
      </c>
      <c r="X633" s="626">
        <v>23.7</v>
      </c>
      <c r="AB633" s="626">
        <v>22.18</v>
      </c>
      <c r="AF633" s="626">
        <v>24.81</v>
      </c>
      <c r="AJ633" s="626">
        <v>25.1</v>
      </c>
      <c r="AN633" s="626">
        <v>27.2</v>
      </c>
      <c r="AR633" s="626">
        <v>30.19</v>
      </c>
    </row>
    <row r="634" spans="3:44" ht="13.5" x14ac:dyDescent="0.4">
      <c r="C634" s="1030" t="s">
        <v>1342</v>
      </c>
      <c r="H634" s="626">
        <v>59.52</v>
      </c>
      <c r="L634" s="626">
        <v>107.46</v>
      </c>
      <c r="P634" s="626">
        <v>115.69</v>
      </c>
      <c r="T634" s="626">
        <v>148.29</v>
      </c>
      <c r="X634" s="626">
        <v>94.46</v>
      </c>
      <c r="AB634" s="626">
        <v>37.54</v>
      </c>
      <c r="AF634" s="626">
        <v>25.42</v>
      </c>
      <c r="AJ634" s="626">
        <v>19.25</v>
      </c>
      <c r="AN634" s="626">
        <v>14.5</v>
      </c>
      <c r="AR634" s="626">
        <v>7.8</v>
      </c>
    </row>
    <row r="635" spans="3:44" ht="13.5" x14ac:dyDescent="0.4">
      <c r="C635" s="1030" t="s">
        <v>1343</v>
      </c>
      <c r="D635" s="626">
        <v>16997</v>
      </c>
      <c r="H635" s="626">
        <v>16476</v>
      </c>
      <c r="L635" s="626">
        <v>16252</v>
      </c>
      <c r="P635" s="626">
        <v>16232</v>
      </c>
      <c r="T635" s="626">
        <v>16227</v>
      </c>
      <c r="X635" s="626">
        <v>16648</v>
      </c>
      <c r="AB635" s="626">
        <v>17125</v>
      </c>
      <c r="AF635" s="626">
        <v>17245</v>
      </c>
      <c r="AJ635" s="626">
        <v>17122</v>
      </c>
      <c r="AN635" s="626">
        <v>17094</v>
      </c>
      <c r="AR635" s="626">
        <v>16788</v>
      </c>
    </row>
    <row r="636" spans="3:44" ht="13.5" x14ac:dyDescent="0.4">
      <c r="C636" s="1030" t="s">
        <v>1344</v>
      </c>
      <c r="X636" s="626">
        <v>36716.959999999999</v>
      </c>
      <c r="AB636" s="626">
        <v>42312.03</v>
      </c>
      <c r="AF636" s="626">
        <v>43865.81</v>
      </c>
      <c r="AJ636" s="626">
        <v>45254.44</v>
      </c>
      <c r="AN636" s="626">
        <v>47388.3</v>
      </c>
      <c r="AR636" s="626">
        <v>48037.27</v>
      </c>
    </row>
    <row r="637" spans="3:44" ht="13.5" x14ac:dyDescent="0.4">
      <c r="C637" s="1030" t="s">
        <v>1345</v>
      </c>
      <c r="X637" s="626">
        <v>16900.77</v>
      </c>
      <c r="AB637" s="626">
        <v>18400.759999999998</v>
      </c>
      <c r="AF637" s="626">
        <v>18697.689999999999</v>
      </c>
      <c r="AJ637" s="626">
        <v>17215.400000000001</v>
      </c>
      <c r="AN637" s="626">
        <v>18832.080000000002</v>
      </c>
      <c r="AR637" s="626">
        <v>20340.43</v>
      </c>
    </row>
    <row r="638" spans="3:44" ht="13.5" x14ac:dyDescent="0.4">
      <c r="C638" s="1030" t="s">
        <v>1346</v>
      </c>
      <c r="AB638" s="626">
        <v>10000</v>
      </c>
      <c r="AF638" s="626">
        <v>13395.16</v>
      </c>
      <c r="AJ638" s="626">
        <v>19824.830000000002</v>
      </c>
      <c r="AN638" s="626">
        <v>26165.98</v>
      </c>
      <c r="AR638" s="626">
        <v>27029.439999999999</v>
      </c>
    </row>
    <row r="736" spans="1:46" s="619" customFormat="1" ht="13.5" x14ac:dyDescent="0.4">
      <c r="A736" s="808" t="s">
        <v>1045</v>
      </c>
      <c r="D736" s="735"/>
      <c r="E736" s="735"/>
      <c r="F736" s="735"/>
      <c r="G736" s="735"/>
      <c r="H736" s="735"/>
      <c r="I736" s="735"/>
      <c r="J736" s="735"/>
      <c r="K736" s="735"/>
      <c r="L736" s="735"/>
      <c r="M736" s="735"/>
      <c r="N736" s="735"/>
      <c r="O736" s="735"/>
      <c r="P736" s="735"/>
      <c r="Q736" s="735"/>
      <c r="R736" s="735"/>
      <c r="S736" s="735"/>
      <c r="T736" s="735"/>
      <c r="U736" s="735"/>
      <c r="V736" s="735"/>
      <c r="W736" s="735"/>
      <c r="X736" s="735"/>
      <c r="Y736" s="735"/>
      <c r="Z736" s="735"/>
      <c r="AA736" s="735"/>
      <c r="AB736" s="735"/>
      <c r="AC736" s="735"/>
      <c r="AD736" s="735"/>
      <c r="AE736" s="735"/>
      <c r="AF736" s="735"/>
      <c r="AG736" s="735"/>
      <c r="AH736" s="735"/>
      <c r="AI736" s="735"/>
      <c r="AJ736" s="735"/>
      <c r="AK736" s="735"/>
      <c r="AL736" s="735"/>
      <c r="AM736" s="735"/>
      <c r="AN736" s="735"/>
      <c r="AO736" s="735"/>
      <c r="AP736" s="735"/>
      <c r="AQ736" s="735"/>
      <c r="AR736" s="735"/>
      <c r="AS736" s="735"/>
      <c r="AT736" s="735"/>
    </row>
    <row r="738" spans="2:10" ht="13.5" x14ac:dyDescent="0.4">
      <c r="B738" s="183" t="s">
        <v>1046</v>
      </c>
    </row>
    <row r="739" spans="2:10" ht="13.15" customHeight="1" x14ac:dyDescent="0.4">
      <c r="D739" s="1079" t="s">
        <v>1047</v>
      </c>
      <c r="E739" s="1079"/>
      <c r="F739" s="1079"/>
      <c r="G739" s="1079"/>
      <c r="H739" s="1079"/>
      <c r="I739" s="1079"/>
      <c r="J739" s="1079"/>
    </row>
    <row r="740" spans="2:10" ht="13.15" customHeight="1" x14ac:dyDescent="0.4">
      <c r="D740" s="1079"/>
      <c r="E740" s="1079"/>
      <c r="F740" s="1079"/>
      <c r="G740" s="1079"/>
      <c r="H740" s="1079"/>
      <c r="I740" s="1079"/>
      <c r="J740" s="1079"/>
    </row>
    <row r="741" spans="2:10" ht="13.15" customHeight="1" x14ac:dyDescent="0.4">
      <c r="D741" s="1079"/>
      <c r="E741" s="1079"/>
      <c r="F741" s="1079"/>
      <c r="G741" s="1079"/>
      <c r="H741" s="1079"/>
      <c r="I741" s="1079"/>
      <c r="J741" s="1079"/>
    </row>
    <row r="742" spans="2:10" x14ac:dyDescent="0.4">
      <c r="D742" s="809"/>
      <c r="E742" s="809"/>
      <c r="F742" s="809"/>
      <c r="G742" s="809"/>
      <c r="H742" s="809"/>
      <c r="I742" s="603"/>
      <c r="J742" s="603" t="s">
        <v>1048</v>
      </c>
    </row>
    <row r="743" spans="2:10" x14ac:dyDescent="0.4">
      <c r="D743" s="810" t="s">
        <v>1049</v>
      </c>
      <c r="E743" s="810" t="s">
        <v>215</v>
      </c>
      <c r="F743" s="810" t="s">
        <v>647</v>
      </c>
      <c r="G743" s="811" t="s">
        <v>1050</v>
      </c>
      <c r="H743" s="810" t="s">
        <v>660</v>
      </c>
      <c r="I743" s="810" t="s">
        <v>659</v>
      </c>
      <c r="J743" s="810" t="s">
        <v>1051</v>
      </c>
    </row>
    <row r="744" spans="2:10" x14ac:dyDescent="0.4">
      <c r="D744" s="603" t="s">
        <v>1052</v>
      </c>
      <c r="E744" s="599">
        <v>255140.46</v>
      </c>
      <c r="F744" s="599">
        <v>241372.65</v>
      </c>
      <c r="G744" s="812">
        <v>5.7039643886745317E-2</v>
      </c>
      <c r="H744" s="599">
        <v>255140.46</v>
      </c>
      <c r="I744" s="615">
        <v>249049.36</v>
      </c>
      <c r="J744" s="813">
        <v>2.4457400733734147E-2</v>
      </c>
    </row>
    <row r="745" spans="2:10" x14ac:dyDescent="0.4">
      <c r="D745" s="603" t="s">
        <v>719</v>
      </c>
      <c r="E745" s="599">
        <v>138659.09</v>
      </c>
      <c r="F745" s="599">
        <v>130568.46</v>
      </c>
      <c r="G745" s="812">
        <v>6.1964658233695902E-2</v>
      </c>
      <c r="H745" s="599">
        <v>138659.09</v>
      </c>
      <c r="I745" s="615">
        <v>135724.44</v>
      </c>
      <c r="J745" s="813">
        <v>2.1622119052397526E-2</v>
      </c>
    </row>
    <row r="746" spans="2:10" x14ac:dyDescent="0.4">
      <c r="D746" s="603" t="s">
        <v>1053</v>
      </c>
      <c r="E746" s="599">
        <v>190211.71</v>
      </c>
      <c r="F746" s="599">
        <v>178253.02</v>
      </c>
      <c r="G746" s="812">
        <v>6.7088288321847322E-2</v>
      </c>
      <c r="H746" s="599">
        <v>190211.71</v>
      </c>
      <c r="I746" s="615">
        <v>185650.09</v>
      </c>
      <c r="J746" s="813">
        <v>2.4571062691108869E-2</v>
      </c>
    </row>
    <row r="747" spans="2:10" x14ac:dyDescent="0.4">
      <c r="D747" s="603"/>
      <c r="E747" s="599"/>
      <c r="F747" s="599"/>
      <c r="G747" s="814"/>
      <c r="H747" s="615"/>
      <c r="I747" s="615"/>
      <c r="J747" s="815"/>
    </row>
    <row r="748" spans="2:10" x14ac:dyDescent="0.4">
      <c r="D748" s="816" t="s">
        <v>1054</v>
      </c>
      <c r="E748" s="817" t="s">
        <v>215</v>
      </c>
      <c r="F748" s="817" t="s">
        <v>214</v>
      </c>
      <c r="G748" s="818" t="s">
        <v>1055</v>
      </c>
      <c r="H748" s="819" t="s">
        <v>660</v>
      </c>
      <c r="I748" s="819" t="s">
        <v>659</v>
      </c>
      <c r="J748" s="820" t="s">
        <v>1051</v>
      </c>
    </row>
    <row r="749" spans="2:10" x14ac:dyDescent="0.4">
      <c r="D749" s="821" t="s">
        <v>1056</v>
      </c>
      <c r="E749" s="599">
        <v>2509.2199999999998</v>
      </c>
      <c r="F749" s="599">
        <v>2342.8000000000002</v>
      </c>
      <c r="G749" s="812">
        <v>7.1034659381935983E-2</v>
      </c>
      <c r="H749" s="615">
        <v>1289.5199999999998</v>
      </c>
      <c r="I749" s="615">
        <v>1219.7</v>
      </c>
      <c r="J749" s="813">
        <v>5.7243584487988608E-2</v>
      </c>
    </row>
    <row r="750" spans="2:10" x14ac:dyDescent="0.4">
      <c r="D750" s="603" t="s">
        <v>1057</v>
      </c>
      <c r="E750" s="599">
        <v>3621.51</v>
      </c>
      <c r="F750" s="599">
        <v>3576.7</v>
      </c>
      <c r="G750" s="812">
        <v>1.2528308217071737E-2</v>
      </c>
      <c r="H750" s="615">
        <v>1726.2600000000002</v>
      </c>
      <c r="I750" s="615">
        <v>1895.25</v>
      </c>
      <c r="J750" s="813">
        <v>-8.9165017807676938E-2</v>
      </c>
    </row>
    <row r="751" spans="2:10" x14ac:dyDescent="0.4">
      <c r="D751" s="603" t="s">
        <v>1058</v>
      </c>
      <c r="E751" s="599">
        <v>613.42999999999995</v>
      </c>
      <c r="F751" s="599">
        <v>444.33</v>
      </c>
      <c r="G751" s="812">
        <v>0.38057299754686835</v>
      </c>
      <c r="H751" s="615">
        <v>298.37999999999994</v>
      </c>
      <c r="I751" s="615">
        <v>315.05</v>
      </c>
      <c r="J751" s="813">
        <v>-5.2912236152991787E-2</v>
      </c>
    </row>
    <row r="752" spans="2:10" x14ac:dyDescent="0.4">
      <c r="D752" s="603" t="s">
        <v>1059</v>
      </c>
      <c r="E752" s="599">
        <v>2578.41</v>
      </c>
      <c r="F752" s="599">
        <v>2395.08</v>
      </c>
      <c r="G752" s="812">
        <v>7.6544416052908515E-2</v>
      </c>
      <c r="H752" s="615">
        <v>1275.3999999999999</v>
      </c>
      <c r="I752" s="615">
        <v>1303.01</v>
      </c>
      <c r="J752" s="813">
        <v>-2.1189399927859398E-2</v>
      </c>
    </row>
    <row r="753" spans="4:10" x14ac:dyDescent="0.4">
      <c r="D753" s="603" t="s">
        <v>1060</v>
      </c>
      <c r="E753" s="599">
        <v>1529.95</v>
      </c>
      <c r="F753" s="599">
        <v>1502.17</v>
      </c>
      <c r="G753" s="812">
        <v>1.8493246436821487E-2</v>
      </c>
      <c r="H753" s="615">
        <v>772.09</v>
      </c>
      <c r="I753" s="615">
        <v>757.86</v>
      </c>
      <c r="J753" s="813">
        <v>1.8776555036550402E-2</v>
      </c>
    </row>
    <row r="754" spans="4:10" x14ac:dyDescent="0.4">
      <c r="D754" s="603"/>
      <c r="E754" s="603"/>
      <c r="F754" s="603"/>
      <c r="G754" s="603"/>
      <c r="H754" s="603"/>
      <c r="I754" s="603" t="s">
        <v>716</v>
      </c>
      <c r="J754" s="603"/>
    </row>
    <row r="755" spans="4:10" x14ac:dyDescent="0.4">
      <c r="D755" s="810" t="s">
        <v>1061</v>
      </c>
      <c r="E755" s="810" t="s">
        <v>215</v>
      </c>
      <c r="F755" s="810" t="s">
        <v>647</v>
      </c>
      <c r="G755" s="810" t="s">
        <v>1050</v>
      </c>
      <c r="H755" s="810" t="s">
        <v>660</v>
      </c>
      <c r="I755" s="810" t="s">
        <v>659</v>
      </c>
      <c r="J755" s="810" t="s">
        <v>1062</v>
      </c>
    </row>
    <row r="756" spans="4:10" x14ac:dyDescent="0.4">
      <c r="D756" s="603" t="s">
        <v>1063</v>
      </c>
      <c r="E756" s="813">
        <v>2.1600000000000001E-2</v>
      </c>
      <c r="F756" s="822">
        <v>2.1600000000000001E-2</v>
      </c>
      <c r="G756" s="822">
        <v>0</v>
      </c>
      <c r="H756" s="822">
        <v>2.1600000000000001E-2</v>
      </c>
      <c r="I756" s="823">
        <v>2.12E-2</v>
      </c>
      <c r="J756" s="822">
        <v>4.0000000000000105E-4</v>
      </c>
    </row>
    <row r="757" spans="4:10" x14ac:dyDescent="0.4">
      <c r="D757" s="603" t="s">
        <v>1064</v>
      </c>
      <c r="E757" s="822">
        <v>0.21010000000000001</v>
      </c>
      <c r="F757" s="822">
        <v>0.25914829462147004</v>
      </c>
      <c r="G757" s="822">
        <v>-4.9048294621470034E-2</v>
      </c>
      <c r="H757" s="822">
        <v>0.21010000000000001</v>
      </c>
      <c r="I757" s="824">
        <v>0.19315657564965044</v>
      </c>
      <c r="J757" s="824">
        <v>1.6943424350349567E-2</v>
      </c>
    </row>
    <row r="758" spans="4:10" x14ac:dyDescent="0.4">
      <c r="D758" s="603"/>
      <c r="E758" s="603"/>
      <c r="F758" s="603"/>
      <c r="G758" s="603"/>
      <c r="H758" s="603"/>
      <c r="I758" s="822"/>
      <c r="J758" s="603"/>
    </row>
    <row r="759" spans="4:10" x14ac:dyDescent="0.4">
      <c r="D759" s="816" t="s">
        <v>1065</v>
      </c>
      <c r="E759" s="810" t="s">
        <v>215</v>
      </c>
      <c r="F759" s="810" t="s">
        <v>647</v>
      </c>
      <c r="G759" s="810" t="s">
        <v>1050</v>
      </c>
      <c r="H759" s="810" t="s">
        <v>660</v>
      </c>
      <c r="I759" s="810" t="s">
        <v>659</v>
      </c>
      <c r="J759" s="810" t="s">
        <v>1062</v>
      </c>
    </row>
    <row r="760" spans="4:10" x14ac:dyDescent="0.4">
      <c r="D760" s="603" t="s">
        <v>1066</v>
      </c>
      <c r="E760" s="616">
        <v>52.71</v>
      </c>
      <c r="F760" s="616">
        <v>154.98000000000025</v>
      </c>
      <c r="G760" s="825">
        <v>-102.27000000000024</v>
      </c>
      <c r="H760" s="616">
        <v>17.87000000000031</v>
      </c>
      <c r="I760" s="616">
        <v>34.839999999999691</v>
      </c>
      <c r="J760" s="825">
        <v>-16.969999999999381</v>
      </c>
    </row>
    <row r="761" spans="4:10" x14ac:dyDescent="0.4">
      <c r="D761" s="821" t="s">
        <v>1067</v>
      </c>
      <c r="E761" s="822">
        <v>1.5699999999999999E-2</v>
      </c>
      <c r="F761" s="822">
        <v>1.6221451949421782E-2</v>
      </c>
      <c r="G761" s="826">
        <v>-5.2145194942178341E-4</v>
      </c>
      <c r="H761" s="822">
        <v>1.5699999999999999E-2</v>
      </c>
      <c r="I761" s="823">
        <v>1.5900000000000001E-2</v>
      </c>
      <c r="J761" s="826">
        <v>-2.0000000000000226E-4</v>
      </c>
    </row>
    <row r="762" spans="4:10" x14ac:dyDescent="0.4">
      <c r="D762" s="603" t="s">
        <v>1068</v>
      </c>
      <c r="E762" s="822">
        <v>2.23E-2</v>
      </c>
      <c r="F762" s="822">
        <v>2.6509235078670604E-2</v>
      </c>
      <c r="G762" s="822">
        <v>-4.2092350786706034E-3</v>
      </c>
      <c r="H762" s="822"/>
      <c r="I762" s="822"/>
      <c r="J762" s="822"/>
    </row>
    <row r="763" spans="4:10" x14ac:dyDescent="0.4">
      <c r="D763" s="821" t="s">
        <v>1069</v>
      </c>
      <c r="E763" s="822">
        <v>1.4581</v>
      </c>
      <c r="F763" s="823">
        <v>1.3669</v>
      </c>
      <c r="G763" s="822">
        <v>9.1199999999999948E-2</v>
      </c>
      <c r="H763" s="822">
        <v>1.4581</v>
      </c>
      <c r="I763" s="823">
        <v>1.4151</v>
      </c>
      <c r="J763" s="822">
        <v>4.2999999999999927E-2</v>
      </c>
    </row>
    <row r="764" spans="4:10" x14ac:dyDescent="0.4">
      <c r="D764" s="603" t="s">
        <v>1070</v>
      </c>
      <c r="E764" s="822">
        <v>0.14460000000000001</v>
      </c>
      <c r="F764" s="822">
        <v>0.14610000000000001</v>
      </c>
      <c r="G764" s="822">
        <v>-1.5000000000000013E-3</v>
      </c>
      <c r="H764" s="822">
        <v>0.14460000000000001</v>
      </c>
      <c r="I764" s="822">
        <v>0.14660000000000001</v>
      </c>
      <c r="J764" s="822">
        <v>-2.0000000000000018E-3</v>
      </c>
    </row>
    <row r="765" spans="4:10" x14ac:dyDescent="0.4">
      <c r="D765" s="603"/>
      <c r="E765" s="603"/>
      <c r="F765" s="603"/>
      <c r="G765" s="603"/>
      <c r="H765" s="603"/>
      <c r="I765" s="603"/>
      <c r="J765" s="603"/>
    </row>
    <row r="766" spans="4:10" x14ac:dyDescent="0.4">
      <c r="D766" s="603" t="s">
        <v>1071</v>
      </c>
      <c r="E766" s="603"/>
      <c r="F766" s="603"/>
      <c r="G766" s="603"/>
      <c r="H766" s="603"/>
      <c r="I766" s="603"/>
      <c r="J766" s="603"/>
    </row>
    <row r="767" spans="4:10" x14ac:dyDescent="0.4">
      <c r="D767" s="603" t="s">
        <v>1072</v>
      </c>
      <c r="E767" s="603"/>
      <c r="F767" s="603"/>
      <c r="G767" s="603"/>
      <c r="H767" s="603"/>
      <c r="I767" s="603"/>
      <c r="J767" s="603"/>
    </row>
    <row r="769" spans="2:46" s="429" customFormat="1" ht="13.5" thickBot="1" x14ac:dyDescent="0.45">
      <c r="D769" s="649"/>
      <c r="E769" s="649"/>
      <c r="F769" s="649"/>
      <c r="G769" s="649"/>
      <c r="H769" s="649"/>
      <c r="I769" s="649"/>
      <c r="J769" s="649"/>
      <c r="K769" s="649"/>
      <c r="L769" s="649"/>
      <c r="M769" s="649"/>
      <c r="N769" s="649"/>
      <c r="O769" s="649"/>
      <c r="P769" s="827"/>
      <c r="Q769" s="827"/>
      <c r="R769" s="827"/>
      <c r="S769" s="827"/>
      <c r="T769" s="827"/>
      <c r="U769" s="827"/>
      <c r="V769" s="827"/>
      <c r="W769" s="649"/>
      <c r="X769" s="649"/>
      <c r="Y769" s="649"/>
      <c r="Z769" s="649"/>
      <c r="AA769" s="649"/>
      <c r="AB769" s="649"/>
      <c r="AC769" s="649"/>
      <c r="AD769" s="649"/>
      <c r="AE769" s="649"/>
      <c r="AF769" s="649"/>
      <c r="AG769" s="649"/>
      <c r="AH769" s="649"/>
      <c r="AI769" s="649"/>
      <c r="AJ769" s="649"/>
      <c r="AK769" s="649"/>
      <c r="AL769" s="649"/>
      <c r="AM769" s="649"/>
      <c r="AN769" s="649"/>
      <c r="AO769" s="649"/>
      <c r="AP769" s="649"/>
      <c r="AQ769" s="649"/>
      <c r="AR769" s="649"/>
      <c r="AS769" s="649"/>
      <c r="AT769" s="649"/>
    </row>
    <row r="770" spans="2:46" ht="13.5" thickTop="1" x14ac:dyDescent="0.4"/>
    <row r="771" spans="2:46" ht="13.5" x14ac:dyDescent="0.4">
      <c r="B771" s="183" t="s">
        <v>1073</v>
      </c>
    </row>
    <row r="772" spans="2:46" x14ac:dyDescent="0.4">
      <c r="D772" s="828" t="s">
        <v>1074</v>
      </c>
      <c r="E772" s="829">
        <v>2012</v>
      </c>
      <c r="F772" s="829">
        <v>2013</v>
      </c>
      <c r="G772" s="829">
        <v>2014</v>
      </c>
      <c r="H772" s="830">
        <v>2015</v>
      </c>
      <c r="I772" s="831" t="s">
        <v>214</v>
      </c>
      <c r="J772" s="831">
        <v>2016</v>
      </c>
      <c r="K772" s="831" t="s">
        <v>659</v>
      </c>
      <c r="L772" s="831" t="s">
        <v>215</v>
      </c>
      <c r="M772" s="831" t="s">
        <v>1075</v>
      </c>
    </row>
    <row r="773" spans="2:46" x14ac:dyDescent="0.4">
      <c r="D773" s="828" t="s">
        <v>1057</v>
      </c>
      <c r="E773" s="832">
        <v>5369.45</v>
      </c>
      <c r="F773" s="832">
        <v>5896.37</v>
      </c>
      <c r="G773" s="832">
        <v>6588.92</v>
      </c>
      <c r="H773" s="833">
        <v>6976.47</v>
      </c>
      <c r="I773" s="833">
        <v>3576.7</v>
      </c>
      <c r="J773" s="833">
        <v>6758.91</v>
      </c>
      <c r="K773" s="833">
        <v>1895.25</v>
      </c>
      <c r="L773" s="833">
        <v>3621.51</v>
      </c>
      <c r="M773" s="834">
        <v>1.2528308217071737E-2</v>
      </c>
    </row>
    <row r="774" spans="2:46" x14ac:dyDescent="0.4">
      <c r="D774" s="835" t="s">
        <v>1056</v>
      </c>
      <c r="E774" s="836">
        <v>4178.28</v>
      </c>
      <c r="F774" s="836">
        <v>4433.3500000000004</v>
      </c>
      <c r="G774" s="836">
        <v>4935.22</v>
      </c>
      <c r="H774" s="837">
        <v>5078.67</v>
      </c>
      <c r="I774" s="837">
        <v>2342.8000000000002</v>
      </c>
      <c r="J774" s="837">
        <v>4718.46</v>
      </c>
      <c r="K774" s="837">
        <v>1219.7</v>
      </c>
      <c r="L774" s="837">
        <v>2509.2199999999998</v>
      </c>
      <c r="M774" s="838">
        <v>7.1034659381935983E-2</v>
      </c>
    </row>
    <row r="775" spans="2:46" x14ac:dyDescent="0.4">
      <c r="D775" s="835" t="s">
        <v>1076</v>
      </c>
      <c r="E775" s="836">
        <v>1191.17</v>
      </c>
      <c r="F775" s="836">
        <v>1463.0199999999995</v>
      </c>
      <c r="G775" s="836">
        <v>1653.6999999999998</v>
      </c>
      <c r="H775" s="837">
        <v>1897.8000000000002</v>
      </c>
      <c r="I775" s="837">
        <v>1233.8999999999996</v>
      </c>
      <c r="J775" s="837">
        <v>2040.4499999999998</v>
      </c>
      <c r="K775" s="837">
        <v>675.55</v>
      </c>
      <c r="L775" s="837">
        <v>1112.2900000000004</v>
      </c>
      <c r="M775" s="838">
        <v>-9.8557419563983562E-2</v>
      </c>
    </row>
    <row r="776" spans="2:46" x14ac:dyDescent="0.4">
      <c r="D776" s="839" t="s">
        <v>1077</v>
      </c>
      <c r="E776" s="840">
        <v>1060.6400000000001</v>
      </c>
      <c r="F776" s="840">
        <v>1223.26</v>
      </c>
      <c r="G776" s="840">
        <v>1324.97</v>
      </c>
      <c r="H776" s="841">
        <v>1433.91</v>
      </c>
      <c r="I776" s="841">
        <v>817.15</v>
      </c>
      <c r="J776" s="841">
        <v>1449.73</v>
      </c>
      <c r="K776" s="841">
        <v>409.58</v>
      </c>
      <c r="L776" s="841">
        <v>766.7</v>
      </c>
      <c r="M776" s="842">
        <v>-6.1738970813192129E-2</v>
      </c>
    </row>
    <row r="777" spans="2:46" x14ac:dyDescent="0.4">
      <c r="D777" s="750" t="s">
        <v>1078</v>
      </c>
      <c r="E777" s="843">
        <v>1533.36</v>
      </c>
      <c r="F777" s="843">
        <v>1652.8</v>
      </c>
      <c r="G777" s="843">
        <v>1762.61</v>
      </c>
      <c r="H777" s="844">
        <v>1778.23</v>
      </c>
      <c r="I777" s="844">
        <v>769.38</v>
      </c>
      <c r="J777" s="844">
        <v>1751.56</v>
      </c>
      <c r="K777" s="844">
        <v>366.08</v>
      </c>
      <c r="L777" s="844">
        <v>760.91</v>
      </c>
      <c r="M777" s="845">
        <v>-1.1008864280329655E-2</v>
      </c>
    </row>
    <row r="778" spans="2:46" x14ac:dyDescent="0.4">
      <c r="D778" s="750" t="s">
        <v>1060</v>
      </c>
      <c r="E778" s="843">
        <v>2385.3200000000002</v>
      </c>
      <c r="F778" s="843">
        <v>2626.49</v>
      </c>
      <c r="G778" s="843">
        <v>2758.11</v>
      </c>
      <c r="H778" s="844">
        <v>2771.31</v>
      </c>
      <c r="I778" s="844">
        <v>1502.17</v>
      </c>
      <c r="J778" s="844">
        <v>2782.49</v>
      </c>
      <c r="K778" s="844">
        <v>757.86</v>
      </c>
      <c r="L778" s="844">
        <v>1529.95</v>
      </c>
      <c r="M778" s="846">
        <v>1.8493246436821487E-2</v>
      </c>
    </row>
    <row r="779" spans="2:46" x14ac:dyDescent="0.4">
      <c r="D779" s="603"/>
      <c r="E779" s="618"/>
      <c r="F779" s="618"/>
      <c r="G779" s="618"/>
      <c r="H779" s="618"/>
      <c r="I779" s="618"/>
      <c r="J779" s="618"/>
      <c r="K779" s="618"/>
      <c r="L779" s="618"/>
      <c r="M779" s="618"/>
    </row>
    <row r="780" spans="2:46" x14ac:dyDescent="0.4">
      <c r="D780" s="603"/>
      <c r="E780" s="618"/>
      <c r="F780" s="618"/>
      <c r="G780" s="618"/>
      <c r="H780" s="618"/>
      <c r="I780" s="618"/>
      <c r="J780" s="618"/>
      <c r="K780" s="618"/>
      <c r="L780" s="618"/>
      <c r="M780" s="618"/>
    </row>
    <row r="781" spans="2:46" x14ac:dyDescent="0.4">
      <c r="D781" s="750" t="s">
        <v>1079</v>
      </c>
      <c r="E781" s="830">
        <v>2012</v>
      </c>
      <c r="F781" s="830">
        <v>2013</v>
      </c>
      <c r="G781" s="830">
        <v>2014</v>
      </c>
      <c r="H781" s="830">
        <v>2015</v>
      </c>
      <c r="I781" s="830" t="s">
        <v>214</v>
      </c>
      <c r="J781" s="830">
        <v>2016</v>
      </c>
      <c r="K781" s="830" t="s">
        <v>659</v>
      </c>
      <c r="L781" s="830" t="s">
        <v>215</v>
      </c>
      <c r="M781" s="830" t="s">
        <v>1080</v>
      </c>
    </row>
    <row r="782" spans="2:46" x14ac:dyDescent="0.4">
      <c r="D782" s="847" t="s">
        <v>1056</v>
      </c>
      <c r="E782" s="834">
        <v>0.77815791189041705</v>
      </c>
      <c r="F782" s="834">
        <v>0.75187785027059029</v>
      </c>
      <c r="G782" s="834">
        <v>0.74901804848138998</v>
      </c>
      <c r="H782" s="834">
        <v>0.72797130927245435</v>
      </c>
      <c r="I782" s="834">
        <v>0.65501719462073982</v>
      </c>
      <c r="J782" s="834">
        <v>0.6981096064306227</v>
      </c>
      <c r="K782" s="834">
        <v>0.64355625906872449</v>
      </c>
      <c r="L782" s="834">
        <v>0.69286568309903873</v>
      </c>
      <c r="M782" s="834">
        <v>-5.2439233315839662E-3</v>
      </c>
    </row>
    <row r="783" spans="2:46" x14ac:dyDescent="0.4">
      <c r="D783" s="848" t="s">
        <v>1076</v>
      </c>
      <c r="E783" s="838">
        <v>0.22184208810958295</v>
      </c>
      <c r="F783" s="838">
        <v>0.24812214972940971</v>
      </c>
      <c r="G783" s="838">
        <v>0.25098195151861002</v>
      </c>
      <c r="H783" s="838">
        <v>0.27202869072754565</v>
      </c>
      <c r="I783" s="838">
        <v>0.34498280537926018</v>
      </c>
      <c r="J783" s="838">
        <v>0.3018903935693773</v>
      </c>
      <c r="K783" s="838">
        <v>0.35644374093127551</v>
      </c>
      <c r="L783" s="838">
        <v>0.30713431690096127</v>
      </c>
      <c r="M783" s="838">
        <v>5.2439233315839662E-3</v>
      </c>
    </row>
    <row r="784" spans="2:46" x14ac:dyDescent="0.4">
      <c r="D784" s="849" t="s">
        <v>1077</v>
      </c>
      <c r="E784" s="842">
        <v>0.19753233571408621</v>
      </c>
      <c r="F784" s="842">
        <v>0.20745984393788042</v>
      </c>
      <c r="G784" s="842">
        <v>0.20109061879640366</v>
      </c>
      <c r="H784" s="842">
        <v>0.20553517753247702</v>
      </c>
      <c r="I784" s="842">
        <v>0.22846478597589959</v>
      </c>
      <c r="J784" s="842">
        <v>0.21449168578957259</v>
      </c>
      <c r="K784" s="842">
        <v>0.21610869278459305</v>
      </c>
      <c r="L784" s="842">
        <v>0.21170727127634606</v>
      </c>
      <c r="M784" s="838">
        <v>-2.7844145132265297E-3</v>
      </c>
    </row>
    <row r="785" spans="4:13" x14ac:dyDescent="0.4">
      <c r="D785" s="839" t="s">
        <v>1064</v>
      </c>
      <c r="E785" s="842">
        <v>0.28557114788293025</v>
      </c>
      <c r="F785" s="842">
        <v>0.28030805393827052</v>
      </c>
      <c r="G785" s="842">
        <v>0.26751121579864379</v>
      </c>
      <c r="H785" s="842">
        <v>0.25488965049659784</v>
      </c>
      <c r="I785" s="842">
        <v>0.21510889926468532</v>
      </c>
      <c r="J785" s="842">
        <v>0.25914829462147004</v>
      </c>
      <c r="K785" s="842">
        <v>0.19315657564965044</v>
      </c>
      <c r="L785" s="842">
        <v>0.21010849065721202</v>
      </c>
      <c r="M785" s="846">
        <v>-4.9039803964258027E-2</v>
      </c>
    </row>
    <row r="786" spans="4:13" x14ac:dyDescent="0.4">
      <c r="D786" s="603"/>
      <c r="E786" s="618"/>
      <c r="F786" s="618"/>
      <c r="G786" s="618"/>
      <c r="H786" s="618"/>
      <c r="I786" s="618"/>
      <c r="J786" s="618"/>
      <c r="K786" s="618"/>
      <c r="L786" s="618"/>
      <c r="M786" s="618"/>
    </row>
    <row r="787" spans="4:13" x14ac:dyDescent="0.4">
      <c r="D787" s="603"/>
      <c r="E787" s="618"/>
      <c r="F787" s="618"/>
      <c r="G787" s="618"/>
      <c r="H787" s="618"/>
      <c r="I787" s="618"/>
      <c r="J787" s="618"/>
      <c r="K787" s="618"/>
      <c r="L787" s="618"/>
      <c r="M787" s="618"/>
    </row>
    <row r="788" spans="4:13" x14ac:dyDescent="0.4">
      <c r="D788" s="603"/>
      <c r="E788" s="824"/>
      <c r="F788" s="824"/>
      <c r="G788" s="824"/>
      <c r="H788" s="824"/>
      <c r="I788" s="824"/>
      <c r="J788" s="824"/>
      <c r="K788" s="824"/>
      <c r="L788" s="824"/>
      <c r="M788" s="618"/>
    </row>
    <row r="789" spans="4:13" x14ac:dyDescent="0.4">
      <c r="D789" s="828"/>
      <c r="E789" s="774">
        <v>2012</v>
      </c>
      <c r="F789" s="774">
        <v>2013</v>
      </c>
      <c r="G789" s="774">
        <v>2014</v>
      </c>
      <c r="H789" s="774">
        <v>2015</v>
      </c>
      <c r="I789" s="774">
        <v>2016</v>
      </c>
      <c r="J789" s="774" t="s">
        <v>215</v>
      </c>
      <c r="K789" s="603"/>
      <c r="L789" s="826"/>
      <c r="M789" s="618"/>
    </row>
    <row r="790" spans="4:13" x14ac:dyDescent="0.4">
      <c r="D790" s="828" t="s">
        <v>1057</v>
      </c>
      <c r="E790" s="850">
        <v>5369.45</v>
      </c>
      <c r="F790" s="850">
        <v>5896.37</v>
      </c>
      <c r="G790" s="850">
        <v>6588.92</v>
      </c>
      <c r="H790" s="850">
        <v>6976.47</v>
      </c>
      <c r="I790" s="850">
        <v>6758.91</v>
      </c>
      <c r="J790" s="850">
        <v>3621.51</v>
      </c>
      <c r="K790" s="603"/>
      <c r="L790" s="826"/>
      <c r="M790" s="618"/>
    </row>
    <row r="791" spans="4:13" x14ac:dyDescent="0.4">
      <c r="D791" s="839" t="s">
        <v>1060</v>
      </c>
      <c r="E791" s="851">
        <v>2385.3200000000002</v>
      </c>
      <c r="F791" s="851">
        <v>2626.49</v>
      </c>
      <c r="G791" s="851">
        <v>2758.11</v>
      </c>
      <c r="H791" s="851">
        <v>2771.31</v>
      </c>
      <c r="I791" s="851">
        <v>2782.49</v>
      </c>
      <c r="J791" s="851">
        <v>1529.95</v>
      </c>
      <c r="K791" s="603"/>
      <c r="L791" s="603"/>
      <c r="M791" s="618"/>
    </row>
    <row r="792" spans="4:13" x14ac:dyDescent="0.4">
      <c r="D792" s="835" t="s">
        <v>1081</v>
      </c>
      <c r="E792" s="838">
        <v>0.12990000000000002</v>
      </c>
      <c r="F792" s="838">
        <v>9.8100000000000007E-2</v>
      </c>
      <c r="G792" s="838">
        <v>0.11749999999999999</v>
      </c>
      <c r="H792" s="838">
        <v>5.8799999999999998E-2</v>
      </c>
      <c r="I792" s="838">
        <v>-3.1200000000000002E-2</v>
      </c>
      <c r="J792" s="838">
        <v>-0.46418727279990413</v>
      </c>
      <c r="K792" s="603"/>
      <c r="L792" s="603"/>
      <c r="M792" s="603"/>
    </row>
    <row r="793" spans="4:13" x14ac:dyDescent="0.4">
      <c r="D793" s="839" t="s">
        <v>1082</v>
      </c>
      <c r="E793" s="842">
        <v>0.14529999999999998</v>
      </c>
      <c r="F793" s="842">
        <v>0.1011</v>
      </c>
      <c r="G793" s="842">
        <v>5.0099999999999999E-2</v>
      </c>
      <c r="H793" s="842">
        <v>4.7999999999999996E-3</v>
      </c>
      <c r="I793" s="842">
        <v>4.0000000000000001E-3</v>
      </c>
      <c r="J793" s="842">
        <v>-0.99086902594146675</v>
      </c>
      <c r="K793" s="603"/>
      <c r="L793" s="603"/>
      <c r="M793" s="603"/>
    </row>
    <row r="794" spans="4:13" x14ac:dyDescent="0.4">
      <c r="D794" s="847" t="s">
        <v>1083</v>
      </c>
      <c r="E794" s="852">
        <v>0.77815791189041705</v>
      </c>
      <c r="F794" s="852">
        <v>0.75187785027059029</v>
      </c>
      <c r="G794" s="852">
        <v>0.74901804848138998</v>
      </c>
      <c r="H794" s="852">
        <v>0.72797130927245435</v>
      </c>
      <c r="I794" s="852">
        <v>0.6981096064306227</v>
      </c>
      <c r="J794" s="852">
        <v>0.69286568309903873</v>
      </c>
      <c r="K794" s="603"/>
      <c r="L794" s="603"/>
      <c r="M794" s="603"/>
    </row>
    <row r="795" spans="4:13" x14ac:dyDescent="0.4">
      <c r="D795" s="849" t="s">
        <v>1084</v>
      </c>
      <c r="E795" s="853">
        <v>0.22184208810958295</v>
      </c>
      <c r="F795" s="853">
        <v>0.24812214972940971</v>
      </c>
      <c r="G795" s="853">
        <v>0.25098195151861002</v>
      </c>
      <c r="H795" s="853">
        <v>0.27202869072754565</v>
      </c>
      <c r="I795" s="853">
        <v>0.3018903935693773</v>
      </c>
      <c r="J795" s="853">
        <v>0.30713431690096127</v>
      </c>
      <c r="K795" s="603"/>
      <c r="L795" s="603"/>
      <c r="M795" s="603"/>
    </row>
    <row r="796" spans="4:13" x14ac:dyDescent="0.4">
      <c r="D796" s="603"/>
      <c r="E796" s="603"/>
      <c r="F796" s="603"/>
      <c r="G796" s="603"/>
      <c r="H796" s="603"/>
      <c r="I796" s="603"/>
      <c r="J796" s="603"/>
      <c r="K796" s="603"/>
      <c r="L796" s="603"/>
      <c r="M796" s="603"/>
    </row>
    <row r="813" spans="2:46" s="429" customFormat="1" ht="13.5" thickBot="1" x14ac:dyDescent="0.45">
      <c r="D813" s="649"/>
      <c r="E813" s="649"/>
      <c r="F813" s="649"/>
      <c r="G813" s="649"/>
      <c r="H813" s="649"/>
      <c r="I813" s="649"/>
      <c r="J813" s="649"/>
      <c r="K813" s="649"/>
      <c r="L813" s="649"/>
      <c r="M813" s="649"/>
      <c r="N813" s="649"/>
      <c r="O813" s="649"/>
      <c r="P813" s="649"/>
      <c r="Q813" s="649"/>
      <c r="R813" s="649"/>
      <c r="S813" s="649"/>
      <c r="T813" s="649"/>
      <c r="U813" s="649"/>
      <c r="V813" s="649"/>
      <c r="W813" s="649"/>
      <c r="X813" s="649"/>
      <c r="Y813" s="649"/>
      <c r="Z813" s="649"/>
      <c r="AA813" s="649"/>
      <c r="AB813" s="649"/>
      <c r="AC813" s="649"/>
      <c r="AD813" s="649"/>
      <c r="AE813" s="649"/>
      <c r="AF813" s="649"/>
      <c r="AG813" s="649"/>
      <c r="AH813" s="649"/>
      <c r="AI813" s="649"/>
      <c r="AJ813" s="649"/>
      <c r="AK813" s="649"/>
      <c r="AL813" s="649"/>
      <c r="AM813" s="649"/>
      <c r="AN813" s="649"/>
      <c r="AO813" s="649"/>
      <c r="AP813" s="649"/>
      <c r="AQ813" s="649"/>
      <c r="AR813" s="649"/>
      <c r="AS813" s="649"/>
      <c r="AT813" s="649"/>
    </row>
    <row r="814" spans="2:46" ht="13.5" thickTop="1" x14ac:dyDescent="0.4"/>
    <row r="815" spans="2:46" ht="13.5" x14ac:dyDescent="0.4">
      <c r="B815" s="183" t="s">
        <v>1085</v>
      </c>
    </row>
    <row r="817" spans="4:15" x14ac:dyDescent="0.4">
      <c r="D817" s="603" t="s">
        <v>1074</v>
      </c>
      <c r="E817" s="603"/>
      <c r="F817" s="603"/>
      <c r="G817" s="603"/>
      <c r="H817" s="603"/>
      <c r="I817" s="603"/>
      <c r="J817" s="603"/>
      <c r="K817" s="603"/>
      <c r="L817" s="603"/>
      <c r="M817" s="603"/>
      <c r="N817" s="603"/>
      <c r="O817" s="603"/>
    </row>
    <row r="818" spans="4:15" x14ac:dyDescent="0.4">
      <c r="D818" s="750" t="s">
        <v>1086</v>
      </c>
      <c r="E818" s="773">
        <v>2012</v>
      </c>
      <c r="F818" s="773">
        <v>2013</v>
      </c>
      <c r="G818" s="773">
        <v>2014</v>
      </c>
      <c r="H818" s="773">
        <v>2015</v>
      </c>
      <c r="I818" s="773">
        <v>2016</v>
      </c>
      <c r="J818" s="773" t="s">
        <v>659</v>
      </c>
      <c r="K818" s="774" t="s">
        <v>215</v>
      </c>
      <c r="L818" s="745" t="s">
        <v>1087</v>
      </c>
      <c r="M818" s="750" t="s">
        <v>1088</v>
      </c>
      <c r="N818" s="748" t="s">
        <v>1089</v>
      </c>
      <c r="O818" s="749" t="s">
        <v>1090</v>
      </c>
    </row>
    <row r="819" spans="4:15" x14ac:dyDescent="0.4">
      <c r="D819" s="828" t="s">
        <v>1091</v>
      </c>
      <c r="E819" s="776">
        <v>85832.89</v>
      </c>
      <c r="F819" s="776">
        <v>96814.15</v>
      </c>
      <c r="G819" s="776">
        <v>107687.5</v>
      </c>
      <c r="H819" s="776">
        <v>116528.12</v>
      </c>
      <c r="I819" s="776">
        <v>127673.34</v>
      </c>
      <c r="J819" s="776">
        <v>132677.98000000001</v>
      </c>
      <c r="K819" s="777">
        <v>135493.96</v>
      </c>
      <c r="L819" s="854">
        <v>2815.9799999999814</v>
      </c>
      <c r="M819" s="855">
        <v>7820.6199999999953</v>
      </c>
      <c r="N819" s="751">
        <v>2.1224169979072505E-2</v>
      </c>
      <c r="O819" s="753">
        <v>6.1254918215502219E-2</v>
      </c>
    </row>
    <row r="820" spans="4:15" x14ac:dyDescent="0.4">
      <c r="D820" s="835" t="s">
        <v>1092</v>
      </c>
      <c r="E820" s="779">
        <v>11810.29</v>
      </c>
      <c r="F820" s="779">
        <v>10498.87</v>
      </c>
      <c r="G820" s="779">
        <v>12512.380000000001</v>
      </c>
      <c r="H820" s="779">
        <v>16801.260000000002</v>
      </c>
      <c r="I820" s="779">
        <v>15531</v>
      </c>
      <c r="J820" s="779">
        <v>15545.11</v>
      </c>
      <c r="K820" s="780">
        <v>17978.97</v>
      </c>
      <c r="L820" s="856">
        <v>2433.8600000000006</v>
      </c>
      <c r="M820" s="786">
        <v>2447.9700000000012</v>
      </c>
      <c r="N820" s="756">
        <v>0.15656756369044666</v>
      </c>
      <c r="O820" s="757">
        <v>0.15761831176356966</v>
      </c>
    </row>
    <row r="821" spans="4:15" x14ac:dyDescent="0.4">
      <c r="D821" s="835" t="s">
        <v>1093</v>
      </c>
      <c r="E821" s="779">
        <v>37191.72</v>
      </c>
      <c r="F821" s="779">
        <v>39977.56</v>
      </c>
      <c r="G821" s="779">
        <v>41015.06</v>
      </c>
      <c r="H821" s="779">
        <v>46578.2</v>
      </c>
      <c r="I821" s="779">
        <v>51898.039999999994</v>
      </c>
      <c r="J821" s="779">
        <v>52553.39</v>
      </c>
      <c r="K821" s="780">
        <v>52261.71</v>
      </c>
      <c r="L821" s="856">
        <v>-291.68000000000029</v>
      </c>
      <c r="M821" s="786">
        <v>363.67000000000553</v>
      </c>
      <c r="N821" s="756">
        <v>-5.5501652700234994E-3</v>
      </c>
      <c r="O821" s="757">
        <v>7.0073937281640575E-3</v>
      </c>
    </row>
    <row r="822" spans="4:15" x14ac:dyDescent="0.4">
      <c r="D822" s="839" t="s">
        <v>1094</v>
      </c>
      <c r="E822" s="782">
        <v>3647.15</v>
      </c>
      <c r="F822" s="782">
        <v>3244.88</v>
      </c>
      <c r="G822" s="782">
        <v>3317.31</v>
      </c>
      <c r="H822" s="782">
        <v>3521.43</v>
      </c>
      <c r="I822" s="782">
        <v>2913.7</v>
      </c>
      <c r="J822" s="782">
        <v>4096.3500000000004</v>
      </c>
      <c r="K822" s="783">
        <v>3438.22</v>
      </c>
      <c r="L822" s="856">
        <v>-658.13000000000056</v>
      </c>
      <c r="M822" s="786">
        <v>524.52</v>
      </c>
      <c r="N822" s="755">
        <v>-0.16066254104263566</v>
      </c>
      <c r="O822" s="757">
        <v>0.1800185331365618</v>
      </c>
    </row>
    <row r="823" spans="4:15" x14ac:dyDescent="0.4">
      <c r="D823" s="750" t="s">
        <v>1095</v>
      </c>
      <c r="E823" s="785">
        <v>40838.870000000003</v>
      </c>
      <c r="F823" s="785">
        <v>43222.439999999995</v>
      </c>
      <c r="G823" s="785">
        <v>44332.369999999995</v>
      </c>
      <c r="H823" s="785">
        <v>50099.63</v>
      </c>
      <c r="I823" s="785">
        <v>54811.739999999991</v>
      </c>
      <c r="J823" s="785">
        <v>56649.74</v>
      </c>
      <c r="K823" s="786">
        <v>55699.93</v>
      </c>
      <c r="L823" s="790">
        <v>-949.80999999999767</v>
      </c>
      <c r="M823" s="857">
        <v>888.1900000000096</v>
      </c>
      <c r="N823" s="760">
        <v>-1.6766361151878129E-2</v>
      </c>
      <c r="O823" s="762">
        <v>1.6204375194073473E-2</v>
      </c>
    </row>
    <row r="824" spans="4:15" x14ac:dyDescent="0.4">
      <c r="D824" s="847" t="s">
        <v>1096</v>
      </c>
      <c r="E824" s="776">
        <v>31749.43</v>
      </c>
      <c r="F824" s="776">
        <v>32940.07</v>
      </c>
      <c r="G824" s="776">
        <v>35236.22</v>
      </c>
      <c r="H824" s="776">
        <v>30596.33</v>
      </c>
      <c r="I824" s="776">
        <v>33507.879999999997</v>
      </c>
      <c r="J824" s="776">
        <v>34378.300000000003</v>
      </c>
      <c r="K824" s="777">
        <v>35427.730000000003</v>
      </c>
      <c r="L824" s="777">
        <v>1049.4300000000003</v>
      </c>
      <c r="M824" s="858">
        <v>1919.8500000000058</v>
      </c>
      <c r="N824" s="756">
        <v>3.0525942236818038E-2</v>
      </c>
      <c r="O824" s="757">
        <v>5.7295477959214525E-2</v>
      </c>
    </row>
    <row r="825" spans="4:15" x14ac:dyDescent="0.4">
      <c r="D825" s="848" t="s">
        <v>623</v>
      </c>
      <c r="E825" s="779">
        <v>5190.6900000000005</v>
      </c>
      <c r="F825" s="779">
        <v>5701.99</v>
      </c>
      <c r="G825" s="779">
        <v>6331.0599999999995</v>
      </c>
      <c r="H825" s="779">
        <v>8072.46</v>
      </c>
      <c r="I825" s="779">
        <v>9848.6899999999987</v>
      </c>
      <c r="J825" s="779">
        <v>9798.23</v>
      </c>
      <c r="K825" s="780">
        <v>10539.869999999999</v>
      </c>
      <c r="L825" s="783">
        <v>741.63999999999942</v>
      </c>
      <c r="M825" s="859">
        <v>691.18000000000029</v>
      </c>
      <c r="N825" s="756">
        <v>7.5691221781893248E-2</v>
      </c>
      <c r="O825" s="757">
        <v>7.0179891945020056E-2</v>
      </c>
    </row>
    <row r="826" spans="4:15" x14ac:dyDescent="0.4">
      <c r="D826" s="750" t="s">
        <v>1052</v>
      </c>
      <c r="E826" s="789">
        <v>175422.16999999998</v>
      </c>
      <c r="F826" s="789">
        <v>189177.52</v>
      </c>
      <c r="G826" s="789">
        <v>206099.53</v>
      </c>
      <c r="H826" s="789">
        <v>222097.80000000002</v>
      </c>
      <c r="I826" s="789">
        <v>241372.65000000002</v>
      </c>
      <c r="J826" s="789">
        <v>249049.36000000007</v>
      </c>
      <c r="K826" s="790">
        <v>255140.46</v>
      </c>
      <c r="L826" s="790">
        <v>6091.0999999999185</v>
      </c>
      <c r="M826" s="857">
        <v>13767.809999999969</v>
      </c>
      <c r="N826" s="761">
        <v>2.4457400733733703E-2</v>
      </c>
      <c r="O826" s="762">
        <v>5.7039643886745095E-2</v>
      </c>
    </row>
    <row r="827" spans="4:15" x14ac:dyDescent="0.4">
      <c r="D827" s="603" t="s">
        <v>717</v>
      </c>
      <c r="E827" s="779">
        <v>175422.17</v>
      </c>
      <c r="F827" s="779">
        <v>189177.52</v>
      </c>
      <c r="G827" s="779">
        <v>206099.53</v>
      </c>
      <c r="H827" s="779">
        <v>222097.8</v>
      </c>
      <c r="I827" s="779">
        <v>241372.65</v>
      </c>
      <c r="J827" s="779">
        <v>249049.36</v>
      </c>
      <c r="K827" s="779">
        <v>255140.46</v>
      </c>
      <c r="L827" s="603"/>
      <c r="M827" s="603"/>
      <c r="N827" s="603"/>
      <c r="O827" s="603"/>
    </row>
    <row r="828" spans="4:15" x14ac:dyDescent="0.4">
      <c r="D828" s="603"/>
      <c r="E828" s="603"/>
      <c r="F828" s="603"/>
      <c r="G828" s="603"/>
      <c r="H828" s="603"/>
      <c r="I828" s="603"/>
      <c r="J828" s="603"/>
      <c r="K828" s="603"/>
      <c r="L828" s="603"/>
      <c r="M828" s="603"/>
      <c r="N828" s="603"/>
      <c r="O828" s="603"/>
    </row>
    <row r="829" spans="4:15" x14ac:dyDescent="0.4">
      <c r="D829" s="750" t="s">
        <v>1097</v>
      </c>
      <c r="E829" s="603"/>
      <c r="F829" s="603"/>
      <c r="G829" s="603"/>
      <c r="H829" s="603"/>
      <c r="I829" s="603"/>
      <c r="J829" s="603"/>
      <c r="K829" s="603"/>
      <c r="L829" s="603"/>
      <c r="M829" s="603"/>
      <c r="N829" s="603"/>
      <c r="O829" s="603"/>
    </row>
    <row r="830" spans="4:15" x14ac:dyDescent="0.4">
      <c r="D830" s="750"/>
      <c r="E830" s="773">
        <v>2012</v>
      </c>
      <c r="F830" s="773">
        <v>2013</v>
      </c>
      <c r="G830" s="773">
        <v>2014</v>
      </c>
      <c r="H830" s="773">
        <v>2015</v>
      </c>
      <c r="I830" s="794">
        <v>2016</v>
      </c>
      <c r="J830" s="794" t="s">
        <v>659</v>
      </c>
      <c r="K830" s="794" t="s">
        <v>215</v>
      </c>
      <c r="L830" s="750" t="s">
        <v>1098</v>
      </c>
      <c r="M830" s="750" t="s">
        <v>1099</v>
      </c>
      <c r="N830" s="603"/>
      <c r="O830" s="603"/>
    </row>
    <row r="831" spans="4:15" x14ac:dyDescent="0.4">
      <c r="D831" s="835" t="s">
        <v>1091</v>
      </c>
      <c r="E831" s="756">
        <v>0.48929328601966338</v>
      </c>
      <c r="F831" s="756">
        <v>0.51176350128704506</v>
      </c>
      <c r="G831" s="756">
        <v>0.52250240454211616</v>
      </c>
      <c r="H831" s="756">
        <v>0.52467030290259509</v>
      </c>
      <c r="I831" s="757">
        <v>0.5289470037305386</v>
      </c>
      <c r="J831" s="756">
        <v>0.53273768701915147</v>
      </c>
      <c r="K831" s="860">
        <v>0.53105634441515082</v>
      </c>
      <c r="L831" s="852">
        <v>-1.6813426040006574E-3</v>
      </c>
      <c r="M831" s="861">
        <v>2.1093406846122154E-3</v>
      </c>
      <c r="N831" s="603"/>
      <c r="O831" s="603"/>
    </row>
    <row r="832" spans="4:15" x14ac:dyDescent="0.4">
      <c r="D832" s="835" t="s">
        <v>1092</v>
      </c>
      <c r="E832" s="756">
        <v>6.7324956703021077E-2</v>
      </c>
      <c r="F832" s="756">
        <v>5.5497450225587067E-2</v>
      </c>
      <c r="G832" s="756">
        <v>6.0710376195423646E-2</v>
      </c>
      <c r="H832" s="756">
        <v>7.5648025329381918E-2</v>
      </c>
      <c r="I832" s="757">
        <v>6.4344489734027441E-2</v>
      </c>
      <c r="J832" s="756">
        <v>6.241778738158571E-2</v>
      </c>
      <c r="K832" s="862">
        <v>7.0466949851858071E-2</v>
      </c>
      <c r="L832" s="863">
        <v>8.0491624702723613E-3</v>
      </c>
      <c r="M832" s="861">
        <v>6.1224601178306304E-3</v>
      </c>
      <c r="N832" s="603"/>
      <c r="O832" s="603"/>
    </row>
    <row r="833" spans="4:15" x14ac:dyDescent="0.4">
      <c r="D833" s="835" t="s">
        <v>1093</v>
      </c>
      <c r="E833" s="756">
        <v>0.21201265495689631</v>
      </c>
      <c r="F833" s="756">
        <v>0.21132299440229474</v>
      </c>
      <c r="G833" s="756">
        <v>0.19900608215846002</v>
      </c>
      <c r="H833" s="756">
        <v>0.20971932184830283</v>
      </c>
      <c r="I833" s="757">
        <v>0.21501209851240391</v>
      </c>
      <c r="J833" s="756">
        <v>0.2110159608520977</v>
      </c>
      <c r="K833" s="862">
        <v>0.20483505438533739</v>
      </c>
      <c r="L833" s="863">
        <v>-6.1809064667603109E-3</v>
      </c>
      <c r="M833" s="861">
        <v>-1.017704412706652E-2</v>
      </c>
      <c r="N833" s="603"/>
      <c r="O833" s="603"/>
    </row>
    <row r="834" spans="4:15" x14ac:dyDescent="0.4">
      <c r="D834" s="839" t="s">
        <v>1094</v>
      </c>
      <c r="E834" s="765">
        <v>2.0790701654186585E-2</v>
      </c>
      <c r="F834" s="765">
        <v>1.7152566541732868E-2</v>
      </c>
      <c r="G834" s="765">
        <v>1.6095669893085151E-2</v>
      </c>
      <c r="H834" s="765">
        <v>1.5855312389406826E-2</v>
      </c>
      <c r="I834" s="766">
        <v>1.207137594089471E-2</v>
      </c>
      <c r="J834" s="765">
        <v>1.6447944295058615E-2</v>
      </c>
      <c r="K834" s="864">
        <v>1.347579290246635E-2</v>
      </c>
      <c r="L834" s="853">
        <v>-2.9721513925922653E-3</v>
      </c>
      <c r="M834" s="865">
        <v>1.4044169615716404E-3</v>
      </c>
      <c r="N834" s="603"/>
      <c r="O834" s="603"/>
    </row>
    <row r="835" spans="4:15" x14ac:dyDescent="0.4">
      <c r="D835" s="750" t="s">
        <v>1095</v>
      </c>
      <c r="E835" s="866">
        <v>0.2328033566110829</v>
      </c>
      <c r="F835" s="866">
        <v>0.2284755609440276</v>
      </c>
      <c r="G835" s="866">
        <v>0.21510175205154516</v>
      </c>
      <c r="H835" s="866">
        <v>0.22557463423770965</v>
      </c>
      <c r="I835" s="867">
        <v>0.22708347445329863</v>
      </c>
      <c r="J835" s="868">
        <v>0.22746390514715631</v>
      </c>
      <c r="K835" s="869">
        <v>0.21831084728780373</v>
      </c>
      <c r="L835" s="853">
        <v>-9.1530578593525813E-3</v>
      </c>
      <c r="M835" s="865">
        <v>-8.7726271654949006E-3</v>
      </c>
      <c r="N835" s="603"/>
      <c r="O835" s="603"/>
    </row>
    <row r="836" spans="4:15" x14ac:dyDescent="0.4">
      <c r="D836" s="847" t="s">
        <v>1096</v>
      </c>
      <c r="E836" s="870">
        <v>0.18098869715270313</v>
      </c>
      <c r="F836" s="870">
        <v>0.17412253844960016</v>
      </c>
      <c r="G836" s="870">
        <v>0.17096700802762627</v>
      </c>
      <c r="H836" s="870">
        <v>0.13776061716955323</v>
      </c>
      <c r="I836" s="871">
        <v>0.13882219050087072</v>
      </c>
      <c r="J836" s="872">
        <v>0.13803809815050314</v>
      </c>
      <c r="K836" s="873">
        <v>0.13885578947376673</v>
      </c>
      <c r="L836" s="852">
        <v>8.1769132326359184E-4</v>
      </c>
      <c r="M836" s="874">
        <v>3.3598972896009549E-5</v>
      </c>
      <c r="N836" s="603"/>
      <c r="O836" s="603"/>
    </row>
    <row r="837" spans="4:15" x14ac:dyDescent="0.4">
      <c r="D837" s="849" t="s">
        <v>623</v>
      </c>
      <c r="E837" s="875">
        <v>2.9589703513529683E-2</v>
      </c>
      <c r="F837" s="875">
        <v>3.0140949093740103E-2</v>
      </c>
      <c r="G837" s="875">
        <v>3.071845918328877E-2</v>
      </c>
      <c r="H837" s="875">
        <v>3.6346420360759989E-2</v>
      </c>
      <c r="I837" s="876">
        <v>4.080284158126448E-2</v>
      </c>
      <c r="J837" s="877">
        <v>3.9342522301603171E-2</v>
      </c>
      <c r="K837" s="878">
        <v>4.1310068971420678E-2</v>
      </c>
      <c r="L837" s="853">
        <v>1.9675466698175076E-3</v>
      </c>
      <c r="M837" s="865">
        <v>5.07227390156198E-4</v>
      </c>
      <c r="N837" s="603"/>
      <c r="O837" s="603"/>
    </row>
    <row r="838" spans="4:15" x14ac:dyDescent="0.4">
      <c r="D838" s="603" t="s">
        <v>717</v>
      </c>
      <c r="E838" s="822">
        <v>1.0000000000000002</v>
      </c>
      <c r="F838" s="822">
        <v>1</v>
      </c>
      <c r="G838" s="822">
        <v>1</v>
      </c>
      <c r="H838" s="822">
        <v>1</v>
      </c>
      <c r="I838" s="822">
        <v>0.99999999999999978</v>
      </c>
      <c r="J838" s="822">
        <v>0.99999999999999989</v>
      </c>
      <c r="K838" s="822">
        <v>1</v>
      </c>
      <c r="L838" s="603"/>
      <c r="M838" s="603"/>
      <c r="N838" s="603"/>
      <c r="O838" s="603"/>
    </row>
    <row r="839" spans="4:15" x14ac:dyDescent="0.4">
      <c r="D839" s="603"/>
      <c r="E839" s="603"/>
      <c r="F839" s="603"/>
      <c r="G839" s="603"/>
      <c r="H839" s="603"/>
      <c r="I839" s="603"/>
      <c r="J839" s="603"/>
      <c r="K839" s="603"/>
      <c r="L839" s="603"/>
      <c r="M839" s="603"/>
      <c r="N839" s="603"/>
      <c r="O839" s="603"/>
    </row>
    <row r="840" spans="4:15" x14ac:dyDescent="0.4">
      <c r="D840" s="603"/>
      <c r="E840" s="603"/>
      <c r="F840" s="603"/>
      <c r="G840" s="603"/>
      <c r="H840" s="603"/>
      <c r="I840" s="603"/>
      <c r="J840" s="603"/>
      <c r="K840" s="603"/>
      <c r="L840" s="603"/>
      <c r="M840" s="603"/>
      <c r="N840" s="603"/>
      <c r="O840" s="603"/>
    </row>
    <row r="841" spans="4:15" x14ac:dyDescent="0.4">
      <c r="D841" s="603"/>
      <c r="E841" s="603"/>
      <c r="F841" s="603"/>
      <c r="G841" s="603"/>
      <c r="H841" s="603"/>
      <c r="I841" s="603"/>
      <c r="J841" s="603"/>
      <c r="K841" s="603"/>
      <c r="L841" s="603"/>
      <c r="M841" s="603"/>
      <c r="N841" s="603"/>
      <c r="O841" s="603"/>
    </row>
    <row r="842" spans="4:15" x14ac:dyDescent="0.4">
      <c r="D842" s="743" t="s">
        <v>1100</v>
      </c>
      <c r="E842" s="879">
        <v>2012</v>
      </c>
      <c r="F842" s="773">
        <v>2013</v>
      </c>
      <c r="G842" s="773">
        <v>2014</v>
      </c>
      <c r="H842" s="773">
        <v>2015</v>
      </c>
      <c r="I842" s="773">
        <v>2016</v>
      </c>
      <c r="J842" s="773" t="s">
        <v>659</v>
      </c>
      <c r="K842" s="774" t="s">
        <v>215</v>
      </c>
      <c r="L842" s="774" t="s">
        <v>1101</v>
      </c>
      <c r="M842" s="774" t="s">
        <v>1102</v>
      </c>
      <c r="N842" s="745" t="s">
        <v>1103</v>
      </c>
      <c r="O842" s="750" t="s">
        <v>1104</v>
      </c>
    </row>
    <row r="843" spans="4:15" x14ac:dyDescent="0.4">
      <c r="D843" s="848" t="s">
        <v>1105</v>
      </c>
      <c r="E843" s="880">
        <v>136429.1</v>
      </c>
      <c r="F843" s="776">
        <v>146208.25</v>
      </c>
      <c r="G843" s="776">
        <v>155566.01</v>
      </c>
      <c r="H843" s="776">
        <v>162819.39000000001</v>
      </c>
      <c r="I843" s="776">
        <v>178253.02</v>
      </c>
      <c r="J843" s="776">
        <v>185650.09</v>
      </c>
      <c r="K843" s="777">
        <v>190211.71</v>
      </c>
      <c r="L843" s="780">
        <v>4561.6199999999953</v>
      </c>
      <c r="M843" s="881">
        <v>11958.690000000002</v>
      </c>
      <c r="N843" s="757">
        <v>2.4571062691108869E-2</v>
      </c>
      <c r="O843" s="862">
        <v>6.7088288321847322E-2</v>
      </c>
    </row>
    <row r="844" spans="4:15" x14ac:dyDescent="0.4">
      <c r="D844" s="848" t="s">
        <v>1106</v>
      </c>
      <c r="E844" s="882">
        <v>17245.689999999999</v>
      </c>
      <c r="F844" s="779">
        <v>15685.59</v>
      </c>
      <c r="G844" s="779">
        <v>19201.96</v>
      </c>
      <c r="H844" s="779">
        <v>26030.51</v>
      </c>
      <c r="I844" s="779">
        <v>26061.05</v>
      </c>
      <c r="J844" s="779">
        <v>25451.5</v>
      </c>
      <c r="K844" s="780">
        <v>24969.7</v>
      </c>
      <c r="L844" s="780">
        <v>-481.79999999999927</v>
      </c>
      <c r="M844" s="881">
        <v>-1091.3499999999985</v>
      </c>
      <c r="N844" s="757">
        <v>-1.8930121996738825E-2</v>
      </c>
      <c r="O844" s="862">
        <v>-4.1876670356720047E-2</v>
      </c>
    </row>
    <row r="845" spans="4:15" x14ac:dyDescent="0.4">
      <c r="D845" s="848" t="s">
        <v>1107</v>
      </c>
      <c r="E845" s="882">
        <v>2321.86</v>
      </c>
      <c r="F845" s="779">
        <v>2530.1799999999998</v>
      </c>
      <c r="G845" s="779">
        <v>2795.9</v>
      </c>
      <c r="H845" s="779">
        <v>3066.22</v>
      </c>
      <c r="I845" s="779">
        <v>3579.37</v>
      </c>
      <c r="J845" s="779">
        <v>3745.69</v>
      </c>
      <c r="K845" s="780">
        <v>4130.16</v>
      </c>
      <c r="L845" s="780">
        <v>384.4699999999998</v>
      </c>
      <c r="M845" s="881">
        <v>550.79</v>
      </c>
      <c r="N845" s="757">
        <v>0.10264330470487404</v>
      </c>
      <c r="O845" s="862">
        <v>0.15387903457871088</v>
      </c>
    </row>
    <row r="846" spans="4:15" x14ac:dyDescent="0.4">
      <c r="D846" s="848" t="s">
        <v>1108</v>
      </c>
      <c r="E846" s="882">
        <v>11.33</v>
      </c>
      <c r="F846" s="779">
        <v>7.24</v>
      </c>
      <c r="G846" s="779">
        <v>6.31</v>
      </c>
      <c r="H846" s="779">
        <v>2.1</v>
      </c>
      <c r="I846" s="779">
        <v>5.45</v>
      </c>
      <c r="J846" s="779">
        <v>5.34</v>
      </c>
      <c r="K846" s="780">
        <v>5.1100000000000003</v>
      </c>
      <c r="L846" s="780">
        <v>-0.22999999999999954</v>
      </c>
      <c r="M846" s="881">
        <v>-0.33999999999999986</v>
      </c>
      <c r="N846" s="757">
        <v>-4.3071161048689022E-2</v>
      </c>
      <c r="O846" s="862">
        <v>-6.2385321100917435E-2</v>
      </c>
    </row>
    <row r="847" spans="4:15" x14ac:dyDescent="0.4">
      <c r="D847" s="848" t="s">
        <v>623</v>
      </c>
      <c r="E847" s="882">
        <v>8129.6</v>
      </c>
      <c r="F847" s="779">
        <v>11961.63</v>
      </c>
      <c r="G847" s="779">
        <v>13156.310000000001</v>
      </c>
      <c r="H847" s="779">
        <v>12174.390000000001</v>
      </c>
      <c r="I847" s="779">
        <v>13662.130000000001</v>
      </c>
      <c r="J847" s="779">
        <v>13747.03</v>
      </c>
      <c r="K847" s="780">
        <v>15517.44</v>
      </c>
      <c r="L847" s="780">
        <v>1770.4099999999999</v>
      </c>
      <c r="M847" s="881">
        <v>1855.3099999999995</v>
      </c>
      <c r="N847" s="757">
        <v>0.128784908449316</v>
      </c>
      <c r="O847" s="862">
        <v>0.13579946904326046</v>
      </c>
    </row>
    <row r="848" spans="4:15" x14ac:dyDescent="0.4">
      <c r="D848" s="848" t="s">
        <v>1109</v>
      </c>
      <c r="E848" s="882">
        <v>164137.57999999999</v>
      </c>
      <c r="F848" s="779">
        <v>176392.88999999998</v>
      </c>
      <c r="G848" s="779">
        <v>190726.49</v>
      </c>
      <c r="H848" s="779">
        <v>204092.61000000004</v>
      </c>
      <c r="I848" s="779">
        <v>221561.02</v>
      </c>
      <c r="J848" s="779">
        <v>228599.65</v>
      </c>
      <c r="K848" s="780">
        <v>234834.12</v>
      </c>
      <c r="L848" s="780">
        <v>6234.4700000000012</v>
      </c>
      <c r="M848" s="881">
        <v>13273.100000000006</v>
      </c>
      <c r="N848" s="757">
        <v>2.727243895605258E-2</v>
      </c>
      <c r="O848" s="862">
        <v>5.9907198477421764E-2</v>
      </c>
    </row>
    <row r="849" spans="4:15" x14ac:dyDescent="0.4">
      <c r="D849" s="849" t="s">
        <v>717</v>
      </c>
      <c r="E849" s="883">
        <v>164137.57999999999</v>
      </c>
      <c r="F849" s="782">
        <v>176392.89</v>
      </c>
      <c r="G849" s="782">
        <v>190726.49</v>
      </c>
      <c r="H849" s="782">
        <v>204092.61</v>
      </c>
      <c r="I849" s="782">
        <v>221561.02</v>
      </c>
      <c r="J849" s="782">
        <v>228599.65</v>
      </c>
      <c r="K849" s="783">
        <v>234834.12</v>
      </c>
      <c r="L849" s="783">
        <v>6234.4700000000012</v>
      </c>
      <c r="M849" s="859">
        <v>13273.100000000006</v>
      </c>
      <c r="N849" s="766">
        <v>2.727243895605258E-2</v>
      </c>
      <c r="O849" s="864">
        <v>5.9907198477421764E-2</v>
      </c>
    </row>
    <row r="850" spans="4:15" x14ac:dyDescent="0.4">
      <c r="D850" s="603"/>
      <c r="E850" s="603"/>
      <c r="F850" s="603"/>
      <c r="G850" s="603"/>
      <c r="H850" s="603"/>
      <c r="I850" s="603"/>
      <c r="J850" s="603"/>
      <c r="K850" s="603"/>
      <c r="L850" s="603"/>
      <c r="M850" s="603"/>
      <c r="N850" s="603"/>
      <c r="O850" s="603"/>
    </row>
    <row r="851" spans="4:15" x14ac:dyDescent="0.4">
      <c r="D851" s="828" t="s">
        <v>1110</v>
      </c>
      <c r="E851" s="884"/>
      <c r="F851" s="884"/>
      <c r="G851" s="884"/>
      <c r="H851" s="884"/>
      <c r="I851" s="884">
        <v>0</v>
      </c>
      <c r="J851" s="884">
        <v>0</v>
      </c>
      <c r="K851" s="885">
        <v>14</v>
      </c>
      <c r="L851" s="884">
        <v>14</v>
      </c>
      <c r="M851" s="886">
        <v>14</v>
      </c>
      <c r="N851" s="756"/>
      <c r="O851" s="603"/>
    </row>
    <row r="852" spans="4:15" x14ac:dyDescent="0.4">
      <c r="D852" s="750" t="s">
        <v>1111</v>
      </c>
      <c r="E852" s="885"/>
      <c r="F852" s="885"/>
      <c r="G852" s="885"/>
      <c r="H852" s="885"/>
      <c r="I852" s="885">
        <v>26061.05</v>
      </c>
      <c r="J852" s="885">
        <v>25451.5</v>
      </c>
      <c r="K852" s="885">
        <v>24983.7</v>
      </c>
      <c r="L852" s="885">
        <v>-467.79999999999927</v>
      </c>
      <c r="M852" s="886">
        <v>-1077.3499999999985</v>
      </c>
      <c r="N852" s="756"/>
      <c r="O852" s="603"/>
    </row>
    <row r="853" spans="4:15" x14ac:dyDescent="0.4">
      <c r="D853" s="839" t="s">
        <v>1112</v>
      </c>
      <c r="E853" s="782"/>
      <c r="F853" s="782"/>
      <c r="G853" s="782"/>
      <c r="H853" s="782"/>
      <c r="I853" s="782"/>
      <c r="J853" s="782"/>
      <c r="K853" s="887">
        <v>0</v>
      </c>
      <c r="L853" s="782"/>
      <c r="M853" s="888"/>
      <c r="N853" s="756"/>
      <c r="O853" s="603"/>
    </row>
    <row r="854" spans="4:15" x14ac:dyDescent="0.4">
      <c r="D854" s="603"/>
      <c r="E854" s="603"/>
      <c r="F854" s="603"/>
      <c r="G854" s="603"/>
      <c r="H854" s="603"/>
      <c r="I854" s="603"/>
      <c r="J854" s="603"/>
      <c r="K854" s="603"/>
      <c r="L854" s="603"/>
      <c r="M854" s="603"/>
      <c r="N854" s="603"/>
      <c r="O854" s="603"/>
    </row>
    <row r="855" spans="4:15" x14ac:dyDescent="0.4">
      <c r="D855" s="603"/>
      <c r="E855" s="603"/>
      <c r="F855" s="603"/>
      <c r="G855" s="603"/>
      <c r="H855" s="603"/>
      <c r="I855" s="603"/>
      <c r="J855" s="603"/>
      <c r="K855" s="603"/>
      <c r="L855" s="603"/>
      <c r="M855" s="603"/>
      <c r="N855" s="603"/>
      <c r="O855" s="603"/>
    </row>
    <row r="856" spans="4:15" x14ac:dyDescent="0.4">
      <c r="D856" s="750" t="s">
        <v>1113</v>
      </c>
      <c r="E856" s="603"/>
      <c r="F856" s="603"/>
      <c r="G856" s="603"/>
      <c r="H856" s="603"/>
      <c r="I856" s="603"/>
      <c r="J856" s="603"/>
      <c r="K856" s="603"/>
      <c r="L856" s="603"/>
      <c r="M856" s="603"/>
      <c r="N856" s="603"/>
      <c r="O856" s="603"/>
    </row>
    <row r="857" spans="4:15" x14ac:dyDescent="0.4">
      <c r="D857" s="750"/>
      <c r="E857" s="744">
        <v>2012</v>
      </c>
      <c r="F857" s="773">
        <v>2013</v>
      </c>
      <c r="G857" s="773">
        <v>2014</v>
      </c>
      <c r="H857" s="773">
        <v>2015</v>
      </c>
      <c r="I857" s="773">
        <v>2016</v>
      </c>
      <c r="J857" s="774" t="s">
        <v>659</v>
      </c>
      <c r="K857" s="773" t="s">
        <v>215</v>
      </c>
      <c r="L857" s="750" t="s">
        <v>1098</v>
      </c>
      <c r="M857" s="750" t="s">
        <v>1099</v>
      </c>
      <c r="N857" s="889"/>
      <c r="O857" s="603"/>
    </row>
    <row r="858" spans="4:15" x14ac:dyDescent="0.4">
      <c r="D858" s="835" t="s">
        <v>1105</v>
      </c>
      <c r="E858" s="751">
        <v>0.83118747090093581</v>
      </c>
      <c r="F858" s="752">
        <v>0.82887836352134159</v>
      </c>
      <c r="G858" s="752">
        <v>0.81564972962067317</v>
      </c>
      <c r="H858" s="752">
        <v>0.79777209963653251</v>
      </c>
      <c r="I858" s="752">
        <v>0.80453240375946999</v>
      </c>
      <c r="J858" s="860">
        <v>0.81211887244796743</v>
      </c>
      <c r="K858" s="752">
        <v>0.80998327670612769</v>
      </c>
      <c r="L858" s="860">
        <v>-2.1355957418397464E-3</v>
      </c>
      <c r="M858" s="863">
        <v>5.4508729466576922E-3</v>
      </c>
      <c r="N858" s="890"/>
      <c r="O858" s="603"/>
    </row>
    <row r="859" spans="4:15" x14ac:dyDescent="0.4">
      <c r="D859" s="835" t="s">
        <v>1106</v>
      </c>
      <c r="E859" s="755">
        <v>0.10506850411709494</v>
      </c>
      <c r="F859" s="756">
        <v>8.8924162419471681E-2</v>
      </c>
      <c r="G859" s="756">
        <v>0.10067799181959465</v>
      </c>
      <c r="H859" s="756">
        <v>0.12754263860901183</v>
      </c>
      <c r="I859" s="756">
        <v>0.11762470672864749</v>
      </c>
      <c r="J859" s="862">
        <v>0.11133656591337739</v>
      </c>
      <c r="K859" s="756">
        <v>0.10632909732197349</v>
      </c>
      <c r="L859" s="862">
        <v>-5.0074685914038991E-3</v>
      </c>
      <c r="M859" s="863">
        <v>-1.1295609406673998E-2</v>
      </c>
      <c r="N859" s="890"/>
      <c r="O859" s="603"/>
    </row>
    <row r="860" spans="4:15" x14ac:dyDescent="0.4">
      <c r="D860" s="835" t="s">
        <v>1107</v>
      </c>
      <c r="E860" s="755">
        <v>1.4145815967312302E-2</v>
      </c>
      <c r="F860" s="756">
        <v>1.4344002187389753E-2</v>
      </c>
      <c r="G860" s="756">
        <v>1.4659211732990002E-2</v>
      </c>
      <c r="H860" s="756">
        <v>1.5023669891820185E-2</v>
      </c>
      <c r="I860" s="756">
        <v>1.6155233443139051E-2</v>
      </c>
      <c r="J860" s="862">
        <v>1.6385370668765241E-2</v>
      </c>
      <c r="K860" s="756">
        <v>1.7587563510787954E-2</v>
      </c>
      <c r="L860" s="862">
        <v>1.2021928420227132E-3</v>
      </c>
      <c r="M860" s="863">
        <v>1.4323300676489029E-3</v>
      </c>
      <c r="N860" s="890"/>
      <c r="O860" s="603"/>
    </row>
    <row r="861" spans="4:15" x14ac:dyDescent="0.4">
      <c r="D861" s="835" t="s">
        <v>1108</v>
      </c>
      <c r="E861" s="755">
        <v>6.902745855032102E-5</v>
      </c>
      <c r="F861" s="756">
        <v>4.1044738254472734E-5</v>
      </c>
      <c r="G861" s="756">
        <v>3.3084025192305487E-5</v>
      </c>
      <c r="H861" s="756">
        <v>1.0289446540960007E-5</v>
      </c>
      <c r="I861" s="756">
        <v>2.4598189699614131E-5</v>
      </c>
      <c r="J861" s="862">
        <v>2.335961581743454E-5</v>
      </c>
      <c r="K861" s="756">
        <v>2.1760040661893596E-5</v>
      </c>
      <c r="L861" s="862">
        <v>-1.5995751555409437E-6</v>
      </c>
      <c r="M861" s="863">
        <v>-2.8381490377205352E-6</v>
      </c>
      <c r="N861" s="889"/>
      <c r="O861" s="603"/>
    </row>
    <row r="862" spans="4:15" x14ac:dyDescent="0.4">
      <c r="D862" s="839" t="s">
        <v>623</v>
      </c>
      <c r="E862" s="764">
        <v>4.9529181556106777E-2</v>
      </c>
      <c r="F862" s="765">
        <v>6.781242713354263E-2</v>
      </c>
      <c r="G862" s="765">
        <v>6.8979982801550016E-2</v>
      </c>
      <c r="H862" s="765">
        <v>5.9651302416094336E-2</v>
      </c>
      <c r="I862" s="765">
        <v>6.1663057879043894E-2</v>
      </c>
      <c r="J862" s="864">
        <v>6.0135831354072508E-2</v>
      </c>
      <c r="K862" s="765">
        <v>6.6078302420448959E-2</v>
      </c>
      <c r="L862" s="864">
        <v>5.9424710663764507E-3</v>
      </c>
      <c r="M862" s="853">
        <v>4.4152445414050653E-3</v>
      </c>
      <c r="N862" s="889"/>
      <c r="O862" s="603"/>
    </row>
    <row r="863" spans="4:15" x14ac:dyDescent="0.4">
      <c r="D863" s="603" t="s">
        <v>717</v>
      </c>
      <c r="E863" s="822">
        <v>1.0000000000000002</v>
      </c>
      <c r="F863" s="822">
        <v>1</v>
      </c>
      <c r="G863" s="822">
        <v>1.0000000000000002</v>
      </c>
      <c r="H863" s="822">
        <v>0.99999999999999967</v>
      </c>
      <c r="I863" s="822">
        <v>1</v>
      </c>
      <c r="J863" s="822">
        <v>1</v>
      </c>
      <c r="K863" s="822">
        <v>1</v>
      </c>
      <c r="L863" s="603"/>
      <c r="M863" s="745"/>
      <c r="N863" s="889"/>
      <c r="O863" s="603"/>
    </row>
    <row r="864" spans="4:15" x14ac:dyDescent="0.4">
      <c r="D864" s="743" t="s">
        <v>1114</v>
      </c>
      <c r="E864" s="744"/>
      <c r="F864" s="744"/>
      <c r="G864" s="744"/>
      <c r="H864" s="744"/>
      <c r="I864" s="866">
        <v>0.11762470672864749</v>
      </c>
      <c r="J864" s="866">
        <v>0.11133656591337739</v>
      </c>
      <c r="K864" s="866">
        <v>0.1063887138717321</v>
      </c>
      <c r="L864" s="744"/>
      <c r="M864" s="745"/>
      <c r="N864" s="603"/>
      <c r="O864" s="603"/>
    </row>
    <row r="865" spans="4:15" x14ac:dyDescent="0.4">
      <c r="D865" s="603"/>
      <c r="E865" s="603"/>
      <c r="F865" s="603"/>
      <c r="G865" s="603"/>
      <c r="H865" s="603"/>
      <c r="I865" s="603"/>
      <c r="J865" s="603"/>
      <c r="K865" s="603"/>
      <c r="L865" s="603"/>
      <c r="M865" s="603"/>
      <c r="N865" s="603"/>
      <c r="O865" s="603"/>
    </row>
    <row r="866" spans="4:15" x14ac:dyDescent="0.4">
      <c r="D866" s="603"/>
      <c r="E866" s="603"/>
      <c r="F866" s="603"/>
      <c r="G866" s="603"/>
      <c r="H866" s="603"/>
      <c r="I866" s="603"/>
      <c r="J866" s="603"/>
      <c r="K866" s="603"/>
      <c r="L866" s="603"/>
      <c r="M866" s="603"/>
      <c r="N866" s="603"/>
      <c r="O866" s="603"/>
    </row>
    <row r="867" spans="4:15" x14ac:dyDescent="0.4">
      <c r="D867" s="603"/>
      <c r="E867" s="603"/>
      <c r="F867" s="603"/>
      <c r="G867" s="603"/>
      <c r="H867" s="603"/>
      <c r="I867" s="603"/>
      <c r="J867" s="603"/>
      <c r="K867" s="603"/>
      <c r="L867" s="603"/>
      <c r="M867" s="603"/>
      <c r="N867" s="603"/>
      <c r="O867" s="603"/>
    </row>
    <row r="868" spans="4:15" x14ac:dyDescent="0.4">
      <c r="D868" s="603"/>
      <c r="E868" s="603"/>
      <c r="F868" s="603"/>
      <c r="G868" s="603"/>
      <c r="H868" s="603"/>
      <c r="I868" s="603"/>
      <c r="J868" s="891"/>
      <c r="K868" s="603"/>
      <c r="L868" s="603"/>
      <c r="M868" s="603"/>
      <c r="N868" s="603"/>
      <c r="O868" s="603"/>
    </row>
    <row r="886" spans="2:46" s="429" customFormat="1" ht="13.5" thickBot="1" x14ac:dyDescent="0.45">
      <c r="D886" s="649"/>
      <c r="E886" s="649"/>
      <c r="F886" s="649"/>
      <c r="G886" s="649"/>
      <c r="H886" s="649"/>
      <c r="I886" s="649"/>
      <c r="J886" s="649"/>
      <c r="K886" s="649"/>
      <c r="L886" s="649"/>
      <c r="M886" s="649"/>
      <c r="N886" s="649"/>
      <c r="O886" s="649"/>
      <c r="P886" s="649"/>
      <c r="Q886" s="649"/>
      <c r="R886" s="649"/>
      <c r="S886" s="649"/>
      <c r="T886" s="649"/>
      <c r="U886" s="649"/>
      <c r="V886" s="649"/>
      <c r="W886" s="649"/>
      <c r="X886" s="649"/>
      <c r="Y886" s="649"/>
      <c r="Z886" s="649"/>
      <c r="AA886" s="649"/>
      <c r="AB886" s="649"/>
      <c r="AC886" s="649"/>
      <c r="AD886" s="649"/>
      <c r="AE886" s="649"/>
      <c r="AF886" s="649"/>
      <c r="AG886" s="649"/>
      <c r="AH886" s="649"/>
      <c r="AI886" s="649"/>
      <c r="AJ886" s="649"/>
      <c r="AK886" s="649"/>
      <c r="AL886" s="649"/>
      <c r="AM886" s="649"/>
      <c r="AN886" s="649"/>
      <c r="AO886" s="649"/>
      <c r="AP886" s="649"/>
      <c r="AQ886" s="649"/>
      <c r="AR886" s="649"/>
      <c r="AS886" s="649"/>
      <c r="AT886" s="649"/>
    </row>
    <row r="887" spans="2:46" ht="13.5" thickTop="1" x14ac:dyDescent="0.4"/>
    <row r="888" spans="2:46" ht="13.5" x14ac:dyDescent="0.4">
      <c r="B888" s="183" t="s">
        <v>1115</v>
      </c>
    </row>
    <row r="889" spans="2:46" x14ac:dyDescent="0.4">
      <c r="D889" s="750" t="s">
        <v>1116</v>
      </c>
      <c r="E889" s="603"/>
      <c r="F889" s="603"/>
      <c r="G889" s="603"/>
      <c r="H889" s="603"/>
      <c r="I889" s="603"/>
      <c r="J889" s="603"/>
      <c r="K889" s="603"/>
    </row>
    <row r="890" spans="2:46" x14ac:dyDescent="0.4">
      <c r="D890" s="743"/>
      <c r="E890" s="892">
        <v>41274</v>
      </c>
      <c r="F890" s="892">
        <v>41639</v>
      </c>
      <c r="G890" s="892">
        <v>42004</v>
      </c>
      <c r="H890" s="892">
        <v>42369</v>
      </c>
      <c r="I890" s="893">
        <v>42735</v>
      </c>
      <c r="J890" s="774" t="s">
        <v>215</v>
      </c>
      <c r="K890" s="774" t="s">
        <v>1117</v>
      </c>
    </row>
    <row r="891" spans="2:46" x14ac:dyDescent="0.4">
      <c r="D891" s="835" t="s">
        <v>1067</v>
      </c>
      <c r="E891" s="756">
        <v>8.4708778998629219E-3</v>
      </c>
      <c r="F891" s="756">
        <v>9.4421959905966052E-3</v>
      </c>
      <c r="G891" s="756">
        <v>1.1290881799213176E-2</v>
      </c>
      <c r="H891" s="756">
        <v>1.5043240580733209E-2</v>
      </c>
      <c r="I891" s="757">
        <v>1.6221451949421782E-2</v>
      </c>
      <c r="J891" s="757">
        <v>1.5655086154106448E-2</v>
      </c>
      <c r="K891" s="861">
        <v>-5.6636579531533365E-4</v>
      </c>
    </row>
    <row r="892" spans="2:46" x14ac:dyDescent="0.4">
      <c r="D892" s="835" t="s">
        <v>1118</v>
      </c>
      <c r="E892" s="756">
        <v>2.5847224096435906E-2</v>
      </c>
      <c r="F892" s="756">
        <v>1.9769663993717629E-2</v>
      </c>
      <c r="G892" s="756">
        <v>2.9001850207471553E-2</v>
      </c>
      <c r="H892" s="756">
        <v>4.3616163149918057E-2</v>
      </c>
      <c r="I892" s="757">
        <v>4.4728336383840321E-2</v>
      </c>
      <c r="J892" s="757">
        <v>3.9027228579100008E-2</v>
      </c>
      <c r="K892" s="861">
        <v>-5.701107804740313E-3</v>
      </c>
    </row>
    <row r="893" spans="2:46" x14ac:dyDescent="0.4">
      <c r="D893" s="835" t="s">
        <v>1068</v>
      </c>
      <c r="E893" s="756">
        <v>1.4273784225981552E-2</v>
      </c>
      <c r="F893" s="756">
        <v>1.3467643932792695E-2</v>
      </c>
      <c r="G893" s="756">
        <v>1.9097739764931784E-2</v>
      </c>
      <c r="H893" s="756">
        <v>2.7879410726104219E-2</v>
      </c>
      <c r="I893" s="757">
        <v>2.6509235078670604E-2</v>
      </c>
      <c r="J893" s="757">
        <v>2.2257177657808082E-2</v>
      </c>
      <c r="K893" s="861">
        <v>-4.252057420862522E-3</v>
      </c>
    </row>
    <row r="894" spans="2:46" x14ac:dyDescent="0.4">
      <c r="D894" s="835" t="s">
        <v>1119</v>
      </c>
      <c r="E894" s="756">
        <v>7.0532908238952483E-3</v>
      </c>
      <c r="F894" s="756">
        <v>8.0387012221067259E-3</v>
      </c>
      <c r="G894" s="756">
        <v>1.0444816140563893E-2</v>
      </c>
      <c r="H894" s="756">
        <v>1.3641971242889534E-2</v>
      </c>
      <c r="I894" s="757">
        <v>1.4935613087571071E-2</v>
      </c>
      <c r="J894" s="757">
        <v>1.4161783407059716E-2</v>
      </c>
      <c r="K894" s="861">
        <v>-7.7382968051135405E-4</v>
      </c>
    </row>
    <row r="895" spans="2:46" x14ac:dyDescent="0.4">
      <c r="D895" s="835" t="s">
        <v>1120</v>
      </c>
      <c r="E895" s="756">
        <v>0.59345705145549177</v>
      </c>
      <c r="F895" s="756">
        <v>0.70110228913949613</v>
      </c>
      <c r="G895" s="756">
        <v>0.5912156065685874</v>
      </c>
      <c r="H895" s="756">
        <v>0.53958244413852807</v>
      </c>
      <c r="I895" s="757">
        <v>0.61191701311946201</v>
      </c>
      <c r="J895" s="757">
        <v>0.70337247582756557</v>
      </c>
      <c r="K895" s="861">
        <v>9.1455462708103563E-2</v>
      </c>
    </row>
    <row r="896" spans="2:46" x14ac:dyDescent="0.4">
      <c r="D896" s="835" t="s">
        <v>1121</v>
      </c>
      <c r="E896" s="756">
        <v>1.2009823657299299</v>
      </c>
      <c r="F896" s="756">
        <v>1.1745922294798341</v>
      </c>
      <c r="G896" s="756">
        <v>1.0810034037232563</v>
      </c>
      <c r="H896" s="756">
        <v>1.1027175114867687</v>
      </c>
      <c r="I896" s="757">
        <v>1.0860921379197179</v>
      </c>
      <c r="J896" s="757">
        <v>1.1054459529653811</v>
      </c>
      <c r="K896" s="861">
        <v>1.9353815045663136E-2</v>
      </c>
    </row>
    <row r="897" spans="4:11" x14ac:dyDescent="0.4">
      <c r="D897" s="894" t="s">
        <v>1069</v>
      </c>
      <c r="E897" s="895">
        <v>2.9554999999999998</v>
      </c>
      <c r="F897" s="896">
        <v>2.5718999999999999</v>
      </c>
      <c r="G897" s="896">
        <v>2.069</v>
      </c>
      <c r="H897" s="896">
        <v>1.5633999999999999</v>
      </c>
      <c r="I897" s="897">
        <v>1.3669</v>
      </c>
      <c r="J897" s="898">
        <v>1.4581</v>
      </c>
      <c r="K897" s="898">
        <v>9.1199999999999948E-2</v>
      </c>
    </row>
    <row r="898" spans="4:11" x14ac:dyDescent="0.4">
      <c r="D898" s="603"/>
      <c r="E898" s="899"/>
      <c r="F898" s="899"/>
      <c r="G898" s="899"/>
      <c r="H898" s="899"/>
      <c r="I898" s="899"/>
      <c r="J898" s="603"/>
      <c r="K898" s="603"/>
    </row>
    <row r="899" spans="4:11" x14ac:dyDescent="0.4">
      <c r="D899" s="603"/>
      <c r="E899" s="603"/>
      <c r="F899" s="603"/>
      <c r="G899" s="603"/>
      <c r="H899" s="603"/>
      <c r="I899" s="603"/>
      <c r="J899" s="603"/>
      <c r="K899" s="603"/>
    </row>
    <row r="900" spans="4:11" x14ac:dyDescent="0.4">
      <c r="D900" s="603"/>
      <c r="E900" s="603"/>
      <c r="F900" s="603"/>
      <c r="G900" s="603"/>
      <c r="H900" s="603"/>
      <c r="I900" s="603"/>
      <c r="J900" s="603"/>
      <c r="K900" s="603"/>
    </row>
    <row r="901" spans="4:11" x14ac:dyDescent="0.4">
      <c r="D901" s="900" t="s">
        <v>1122</v>
      </c>
      <c r="E901" s="773">
        <v>2012</v>
      </c>
      <c r="F901" s="773">
        <v>2013</v>
      </c>
      <c r="G901" s="773">
        <v>2014</v>
      </c>
      <c r="H901" s="773">
        <v>2015</v>
      </c>
      <c r="I901" s="794">
        <v>2016</v>
      </c>
      <c r="J901" s="794" t="s">
        <v>215</v>
      </c>
      <c r="K901" s="603"/>
    </row>
    <row r="902" spans="4:11" x14ac:dyDescent="0.4">
      <c r="D902" s="835" t="s">
        <v>1123</v>
      </c>
      <c r="E902" s="795">
        <v>0.71930935339400792</v>
      </c>
      <c r="F902" s="795">
        <v>0.71016422078022856</v>
      </c>
      <c r="G902" s="795">
        <v>0.69040118603368605</v>
      </c>
      <c r="H902" s="795">
        <v>0.65945233346288501</v>
      </c>
      <c r="I902" s="796">
        <v>0.62348012682388987</v>
      </c>
      <c r="J902" s="796">
        <v>0.64385472311984737</v>
      </c>
      <c r="K902" s="822">
        <v>2.0374596295957503E-2</v>
      </c>
    </row>
    <row r="903" spans="4:11" x14ac:dyDescent="0.4">
      <c r="D903" s="835" t="s">
        <v>1124</v>
      </c>
      <c r="E903" s="795">
        <v>0.25978907485632163</v>
      </c>
      <c r="F903" s="795">
        <v>0.2748939921030995</v>
      </c>
      <c r="G903" s="795">
        <v>0.27783176470940335</v>
      </c>
      <c r="H903" s="795">
        <v>0.29680077858352305</v>
      </c>
      <c r="I903" s="796">
        <v>0.32137692364603215</v>
      </c>
      <c r="J903" s="796">
        <v>0.32995968746080767</v>
      </c>
      <c r="K903" s="822">
        <v>8.5827638147755181E-3</v>
      </c>
    </row>
    <row r="904" spans="4:11" x14ac:dyDescent="0.4">
      <c r="D904" s="839" t="s">
        <v>1125</v>
      </c>
      <c r="E904" s="797">
        <v>2.0901571749670479E-2</v>
      </c>
      <c r="F904" s="797">
        <v>1.4941787116671875E-2</v>
      </c>
      <c r="G904" s="797">
        <v>3.1767049256910568E-2</v>
      </c>
      <c r="H904" s="797">
        <v>4.374688795359203E-2</v>
      </c>
      <c r="I904" s="798">
        <v>5.5142949530077937E-2</v>
      </c>
      <c r="J904" s="798">
        <v>2.6185589419344957E-2</v>
      </c>
      <c r="K904" s="603"/>
    </row>
    <row r="905" spans="4:11" x14ac:dyDescent="0.4">
      <c r="D905" s="603"/>
      <c r="E905" s="795">
        <v>1</v>
      </c>
      <c r="F905" s="795">
        <v>0.99999999999999989</v>
      </c>
      <c r="G905" s="795">
        <v>0.99999999999999989</v>
      </c>
      <c r="H905" s="795">
        <v>1</v>
      </c>
      <c r="I905" s="795">
        <v>1</v>
      </c>
      <c r="J905" s="795">
        <v>1</v>
      </c>
      <c r="K905" s="603"/>
    </row>
    <row r="906" spans="4:11" x14ac:dyDescent="0.4">
      <c r="D906" s="603"/>
      <c r="E906" s="795"/>
      <c r="F906" s="795"/>
      <c r="G906" s="795"/>
      <c r="H906" s="795"/>
      <c r="I906" s="795"/>
      <c r="J906" s="603"/>
      <c r="K906" s="603"/>
    </row>
    <row r="907" spans="4:11" x14ac:dyDescent="0.4">
      <c r="D907" s="901" t="s">
        <v>1126</v>
      </c>
      <c r="E907" s="902"/>
      <c r="F907" s="903" t="s">
        <v>1127</v>
      </c>
      <c r="G907" s="904"/>
      <c r="H907" s="905"/>
      <c r="I907" s="905"/>
      <c r="J907" s="905"/>
      <c r="K907" s="905"/>
    </row>
    <row r="908" spans="4:11" x14ac:dyDescent="0.4">
      <c r="D908" s="906" t="s">
        <v>1128</v>
      </c>
      <c r="E908" s="907"/>
      <c r="F908" s="908">
        <v>1273.9300000000003</v>
      </c>
      <c r="G908" s="905"/>
      <c r="H908" s="905"/>
      <c r="I908" s="905"/>
      <c r="J908" s="905"/>
      <c r="K908" s="905"/>
    </row>
    <row r="909" spans="4:11" x14ac:dyDescent="0.4">
      <c r="D909" s="909" t="s">
        <v>1129</v>
      </c>
      <c r="E909" s="905"/>
      <c r="F909" s="910">
        <v>561.43000000000029</v>
      </c>
      <c r="G909" s="905"/>
      <c r="H909" s="905"/>
      <c r="I909" s="905"/>
      <c r="J909" s="905"/>
      <c r="K909" s="905"/>
    </row>
    <row r="910" spans="4:11" x14ac:dyDescent="0.4">
      <c r="D910" s="909" t="s">
        <v>1130</v>
      </c>
      <c r="E910" s="905"/>
      <c r="F910" s="910">
        <v>687.3700000000008</v>
      </c>
      <c r="G910" s="905"/>
      <c r="H910" s="905"/>
      <c r="I910" s="905"/>
      <c r="J910" s="905"/>
      <c r="K910" s="905"/>
    </row>
    <row r="911" spans="4:11" x14ac:dyDescent="0.4">
      <c r="D911" s="909" t="s">
        <v>1131</v>
      </c>
      <c r="E911" s="905"/>
      <c r="F911" s="910">
        <v>1273.0199999999995</v>
      </c>
      <c r="G911" s="905"/>
      <c r="H911" s="905"/>
      <c r="I911" s="905"/>
      <c r="J911" s="905"/>
      <c r="K911" s="905"/>
    </row>
    <row r="912" spans="4:11" x14ac:dyDescent="0.4">
      <c r="D912" s="909" t="s">
        <v>1132</v>
      </c>
      <c r="E912" s="905"/>
      <c r="F912" s="910">
        <v>1269.04</v>
      </c>
      <c r="G912" s="905"/>
      <c r="H912" s="905"/>
      <c r="I912" s="905"/>
      <c r="J912" s="905"/>
      <c r="K912" s="905"/>
    </row>
    <row r="913" spans="4:11" x14ac:dyDescent="0.4">
      <c r="D913" s="909" t="s">
        <v>1133</v>
      </c>
      <c r="E913" s="905"/>
      <c r="F913" s="910">
        <v>42.680000000000291</v>
      </c>
      <c r="G913" s="905"/>
      <c r="H913" s="905"/>
      <c r="I913" s="905"/>
      <c r="J913" s="905"/>
      <c r="K913" s="905"/>
    </row>
    <row r="914" spans="4:11" x14ac:dyDescent="0.4">
      <c r="D914" s="909" t="s">
        <v>1134</v>
      </c>
      <c r="E914" s="905"/>
      <c r="F914" s="910">
        <v>593.42000000000007</v>
      </c>
      <c r="G914" s="905"/>
      <c r="H914" s="905"/>
      <c r="I914" s="905"/>
      <c r="J914" s="905"/>
      <c r="K914" s="905"/>
    </row>
    <row r="915" spans="4:11" x14ac:dyDescent="0.4">
      <c r="D915" s="909" t="s">
        <v>1135</v>
      </c>
      <c r="E915" s="905"/>
      <c r="F915" s="910">
        <v>11.789999999999964</v>
      </c>
      <c r="G915" s="905"/>
      <c r="H915" s="905"/>
      <c r="I915" s="905"/>
      <c r="J915" s="905"/>
      <c r="K915" s="905"/>
    </row>
    <row r="916" spans="4:11" x14ac:dyDescent="0.4">
      <c r="D916" s="909" t="s">
        <v>1136</v>
      </c>
      <c r="E916" s="905"/>
      <c r="F916" s="910">
        <v>262.67000000000007</v>
      </c>
      <c r="G916" s="905"/>
      <c r="H916" s="905"/>
      <c r="I916" s="905"/>
      <c r="J916" s="905"/>
      <c r="K916" s="905"/>
    </row>
    <row r="917" spans="4:11" x14ac:dyDescent="0.4">
      <c r="D917" s="909" t="s">
        <v>1137</v>
      </c>
      <c r="E917" s="905"/>
      <c r="F917" s="910">
        <v>18.049999999999955</v>
      </c>
      <c r="G917" s="905"/>
      <c r="H917" s="905"/>
      <c r="I917" s="905"/>
      <c r="J917" s="905"/>
      <c r="K917" s="905"/>
    </row>
    <row r="918" spans="4:11" x14ac:dyDescent="0.4">
      <c r="D918" s="909" t="s">
        <v>1138</v>
      </c>
      <c r="E918" s="905"/>
      <c r="F918" s="910">
        <v>-84.320000000000164</v>
      </c>
      <c r="G918" s="905"/>
      <c r="H918" s="905"/>
      <c r="I918" s="905"/>
      <c r="J918" s="905"/>
      <c r="K918" s="905"/>
    </row>
    <row r="919" spans="4:11" x14ac:dyDescent="0.4">
      <c r="D919" s="909" t="s">
        <v>1139</v>
      </c>
      <c r="E919" s="905"/>
      <c r="F919" s="910">
        <v>106.01999999999998</v>
      </c>
      <c r="G919" s="905"/>
      <c r="H919" s="905"/>
      <c r="I919" s="905"/>
      <c r="J919" s="905"/>
      <c r="K919" s="905"/>
    </row>
    <row r="920" spans="4:11" x14ac:dyDescent="0.4">
      <c r="D920" s="909"/>
      <c r="E920" s="905"/>
      <c r="F920" s="910"/>
      <c r="G920" s="905"/>
      <c r="H920" s="905"/>
      <c r="I920" s="905"/>
      <c r="J920" s="905"/>
      <c r="K920" s="905"/>
    </row>
    <row r="921" spans="4:11" x14ac:dyDescent="0.4">
      <c r="D921" s="909"/>
      <c r="E921" s="905"/>
      <c r="F921" s="910"/>
      <c r="G921" s="905"/>
      <c r="H921" s="905"/>
      <c r="I921" s="905"/>
      <c r="J921" s="905"/>
      <c r="K921" s="905"/>
    </row>
    <row r="922" spans="4:11" x14ac:dyDescent="0.4">
      <c r="D922" s="909"/>
      <c r="E922" s="905"/>
      <c r="F922" s="910"/>
      <c r="G922" s="905"/>
      <c r="H922" s="905" t="s">
        <v>718</v>
      </c>
      <c r="I922" s="905"/>
      <c r="J922" s="905"/>
      <c r="K922" s="905"/>
    </row>
    <row r="923" spans="4:11" x14ac:dyDescent="0.4">
      <c r="D923" s="909"/>
      <c r="E923" s="905"/>
      <c r="F923" s="910"/>
      <c r="G923" s="905"/>
      <c r="H923" s="905" t="s">
        <v>718</v>
      </c>
      <c r="I923" s="905"/>
      <c r="J923" s="905"/>
      <c r="K923" s="905"/>
    </row>
    <row r="924" spans="4:11" x14ac:dyDescent="0.4">
      <c r="D924" s="909"/>
      <c r="E924" s="905"/>
      <c r="F924" s="910"/>
      <c r="G924" s="905"/>
      <c r="H924" s="905" t="s">
        <v>718</v>
      </c>
      <c r="I924" s="905"/>
      <c r="J924" s="905"/>
      <c r="K924" s="905"/>
    </row>
    <row r="925" spans="4:11" x14ac:dyDescent="0.4">
      <c r="D925" s="909"/>
      <c r="E925" s="905"/>
      <c r="F925" s="910"/>
      <c r="G925" s="905"/>
      <c r="H925" s="905" t="s">
        <v>718</v>
      </c>
      <c r="I925" s="905"/>
      <c r="J925" s="905"/>
      <c r="K925" s="905"/>
    </row>
    <row r="926" spans="4:11" x14ac:dyDescent="0.4">
      <c r="D926" s="911"/>
      <c r="E926" s="912"/>
      <c r="F926" s="913"/>
      <c r="G926" s="905"/>
      <c r="H926" s="905" t="s">
        <v>718</v>
      </c>
      <c r="I926" s="905"/>
      <c r="J926" s="905"/>
      <c r="K926" s="905"/>
    </row>
    <row r="927" spans="4:11" x14ac:dyDescent="0.4">
      <c r="D927" s="601"/>
      <c r="E927" s="905"/>
      <c r="F927" s="914"/>
      <c r="G927" s="905"/>
      <c r="H927" s="905"/>
      <c r="I927" s="905"/>
      <c r="J927" s="905"/>
      <c r="K927" s="905"/>
    </row>
    <row r="928" spans="4:11" x14ac:dyDescent="0.4">
      <c r="D928" s="601"/>
      <c r="E928" s="905"/>
      <c r="F928" s="914"/>
      <c r="G928" s="905"/>
      <c r="H928" s="905"/>
      <c r="I928" s="905"/>
      <c r="J928" s="905"/>
      <c r="K928" s="905"/>
    </row>
    <row r="929" spans="4:11" x14ac:dyDescent="0.4">
      <c r="D929" s="743" t="s">
        <v>1140</v>
      </c>
      <c r="E929" s="799">
        <v>2012</v>
      </c>
      <c r="F929" s="799">
        <v>2013</v>
      </c>
      <c r="G929" s="799">
        <v>2014</v>
      </c>
      <c r="H929" s="799">
        <v>2015</v>
      </c>
      <c r="I929" s="799" t="s">
        <v>214</v>
      </c>
      <c r="J929" s="799">
        <v>2016</v>
      </c>
      <c r="K929" s="800" t="s">
        <v>215</v>
      </c>
    </row>
    <row r="930" spans="4:11" x14ac:dyDescent="0.4">
      <c r="D930" s="915" t="s">
        <v>1141</v>
      </c>
      <c r="E930" s="905">
        <v>22871.03</v>
      </c>
      <c r="F930" s="905">
        <v>27276.01</v>
      </c>
      <c r="G930" s="905">
        <v>30634.65</v>
      </c>
      <c r="H930" s="905">
        <v>35418.620000000003</v>
      </c>
      <c r="I930" s="905">
        <v>38716.26</v>
      </c>
      <c r="J930" s="905">
        <v>41961.69</v>
      </c>
      <c r="K930" s="916">
        <v>45751.91</v>
      </c>
    </row>
    <row r="931" spans="4:11" x14ac:dyDescent="0.4">
      <c r="D931" s="848" t="s">
        <v>1142</v>
      </c>
      <c r="E931" s="905">
        <v>13408.91</v>
      </c>
      <c r="F931" s="905">
        <v>17205.349999999999</v>
      </c>
      <c r="G931" s="905">
        <v>20703.66</v>
      </c>
      <c r="H931" s="905">
        <v>25161.96</v>
      </c>
      <c r="I931" s="905">
        <v>28615.59</v>
      </c>
      <c r="J931" s="905">
        <v>32408.38</v>
      </c>
      <c r="K931" s="916">
        <v>36155.279999999999</v>
      </c>
    </row>
    <row r="932" spans="4:11" x14ac:dyDescent="0.4">
      <c r="D932" s="848" t="s">
        <v>1143</v>
      </c>
      <c r="E932" s="905">
        <v>0</v>
      </c>
      <c r="F932" s="905">
        <v>0</v>
      </c>
      <c r="G932" s="905">
        <v>3098.89</v>
      </c>
      <c r="H932" s="905">
        <v>3110.75</v>
      </c>
      <c r="I932" s="905">
        <v>2948.9</v>
      </c>
      <c r="J932" s="905">
        <v>2470.1999999999998</v>
      </c>
      <c r="K932" s="916">
        <v>2600.48</v>
      </c>
    </row>
    <row r="933" spans="4:11" x14ac:dyDescent="0.4">
      <c r="D933" s="848" t="s">
        <v>1144</v>
      </c>
      <c r="E933" s="905">
        <v>0</v>
      </c>
      <c r="F933" s="905">
        <v>0</v>
      </c>
      <c r="G933" s="905">
        <v>3169.65</v>
      </c>
      <c r="H933" s="905">
        <v>2950.91</v>
      </c>
      <c r="I933" s="905">
        <v>2823.47</v>
      </c>
      <c r="J933" s="905">
        <v>2562.7199999999998</v>
      </c>
      <c r="K933" s="916">
        <v>2298.81</v>
      </c>
    </row>
    <row r="934" spans="4:11" x14ac:dyDescent="0.4">
      <c r="D934" s="848" t="s">
        <v>1145</v>
      </c>
      <c r="E934" s="905">
        <v>7013.2</v>
      </c>
      <c r="F934" s="905">
        <v>6999.31</v>
      </c>
      <c r="G934" s="905">
        <v>0</v>
      </c>
      <c r="H934" s="905">
        <v>0</v>
      </c>
      <c r="I934" s="905">
        <v>0</v>
      </c>
      <c r="J934" s="905">
        <v>4520.3900000000003</v>
      </c>
      <c r="K934" s="916">
        <v>4697.34</v>
      </c>
    </row>
    <row r="935" spans="4:11" x14ac:dyDescent="0.4">
      <c r="D935" s="849" t="s">
        <v>1146</v>
      </c>
      <c r="E935" s="912">
        <v>2448.92</v>
      </c>
      <c r="F935" s="912">
        <v>3071.35</v>
      </c>
      <c r="G935" s="912">
        <v>3662.45</v>
      </c>
      <c r="H935" s="912">
        <v>4194.99</v>
      </c>
      <c r="I935" s="912">
        <v>4328.3</v>
      </c>
      <c r="J935" s="912">
        <v>4520.3900000000003</v>
      </c>
      <c r="K935" s="917">
        <v>4697.34</v>
      </c>
    </row>
    <row r="936" spans="4:11" x14ac:dyDescent="0.4">
      <c r="D936" s="603"/>
      <c r="E936" s="603"/>
      <c r="F936" s="603"/>
      <c r="G936" s="603"/>
      <c r="H936" s="603"/>
      <c r="I936" s="603"/>
      <c r="J936" s="603"/>
      <c r="K936" s="603"/>
    </row>
    <row r="937" spans="4:11" x14ac:dyDescent="0.4">
      <c r="D937" s="603"/>
      <c r="E937" s="603"/>
      <c r="F937" s="603"/>
      <c r="G937" s="603"/>
      <c r="H937" s="603"/>
      <c r="I937" s="603"/>
      <c r="J937" s="603"/>
      <c r="K937" s="603"/>
    </row>
    <row r="938" spans="4:11" x14ac:dyDescent="0.4">
      <c r="D938" s="743" t="s">
        <v>1124</v>
      </c>
      <c r="E938" s="799">
        <v>2012</v>
      </c>
      <c r="F938" s="799">
        <v>2013</v>
      </c>
      <c r="G938" s="799">
        <v>2014</v>
      </c>
      <c r="H938" s="799">
        <v>2015</v>
      </c>
      <c r="I938" s="799" t="s">
        <v>214</v>
      </c>
      <c r="J938" s="799">
        <v>2016</v>
      </c>
      <c r="K938" s="800" t="s">
        <v>215</v>
      </c>
    </row>
    <row r="939" spans="4:11" x14ac:dyDescent="0.4">
      <c r="D939" s="848" t="s">
        <v>1142</v>
      </c>
      <c r="E939" s="801">
        <v>0.58628360856507122</v>
      </c>
      <c r="F939" s="801">
        <v>0.63078690761588663</v>
      </c>
      <c r="G939" s="801">
        <v>0.67582492373831593</v>
      </c>
      <c r="H939" s="801">
        <v>0.71041615963580729</v>
      </c>
      <c r="I939" s="801">
        <v>0.73911038927830319</v>
      </c>
      <c r="J939" s="801">
        <v>0.77233257287778445</v>
      </c>
      <c r="K939" s="802">
        <v>0.79024635255664732</v>
      </c>
    </row>
    <row r="940" spans="4:11" x14ac:dyDescent="0.4">
      <c r="D940" s="848" t="s">
        <v>1143</v>
      </c>
      <c r="E940" s="801">
        <v>0</v>
      </c>
      <c r="F940" s="801">
        <v>0</v>
      </c>
      <c r="G940" s="801">
        <v>0.10115637031923001</v>
      </c>
      <c r="H940" s="801">
        <v>8.782809719859215E-2</v>
      </c>
      <c r="I940" s="801">
        <v>7.6166964474357807E-2</v>
      </c>
      <c r="J940" s="801">
        <v>5.8867981723329056E-2</v>
      </c>
      <c r="K940" s="802">
        <v>5.6838719957265166E-2</v>
      </c>
    </row>
    <row r="941" spans="4:11" x14ac:dyDescent="0.4">
      <c r="D941" s="848" t="s">
        <v>1144</v>
      </c>
      <c r="E941" s="801">
        <v>0</v>
      </c>
      <c r="F941" s="801">
        <v>0</v>
      </c>
      <c r="G941" s="801">
        <v>0.10346617310790232</v>
      </c>
      <c r="H941" s="801">
        <v>8.3315216685460908E-2</v>
      </c>
      <c r="I941" s="801">
        <v>7.292724038943843E-2</v>
      </c>
      <c r="J941" s="801">
        <v>6.1072850021054913E-2</v>
      </c>
      <c r="K941" s="802">
        <v>5.0245115449824934E-2</v>
      </c>
    </row>
    <row r="942" spans="4:11" x14ac:dyDescent="0.4">
      <c r="D942" s="848" t="s">
        <v>1145</v>
      </c>
      <c r="E942" s="801">
        <v>0.30664119630816805</v>
      </c>
      <c r="F942" s="801">
        <v>0.2566104793186394</v>
      </c>
      <c r="G942" s="801">
        <v>0</v>
      </c>
      <c r="H942" s="801">
        <v>0</v>
      </c>
      <c r="I942" s="801">
        <v>0</v>
      </c>
      <c r="J942" s="801">
        <v>0.10772659537783154</v>
      </c>
      <c r="K942" s="802">
        <v>0.10266981203626252</v>
      </c>
    </row>
    <row r="943" spans="4:11" x14ac:dyDescent="0.4">
      <c r="D943" s="849" t="s">
        <v>1146</v>
      </c>
      <c r="E943" s="803">
        <v>0.10707519512676081</v>
      </c>
      <c r="F943" s="803">
        <v>0.11260261306547402</v>
      </c>
      <c r="G943" s="803">
        <v>0.11955253283455171</v>
      </c>
      <c r="H943" s="803">
        <v>0.11844024414277009</v>
      </c>
      <c r="I943" s="803">
        <v>0.11179540585790053</v>
      </c>
      <c r="J943" s="803">
        <v>0.10772659537783154</v>
      </c>
      <c r="K943" s="804">
        <v>0.10266981203626252</v>
      </c>
    </row>
    <row r="945" spans="2:46" s="429" customFormat="1" ht="13.5" thickBot="1" x14ac:dyDescent="0.45">
      <c r="D945" s="649"/>
      <c r="E945" s="649"/>
      <c r="F945" s="649"/>
      <c r="G945" s="649"/>
      <c r="H945" s="649"/>
      <c r="I945" s="649"/>
      <c r="J945" s="649"/>
      <c r="K945" s="649"/>
      <c r="L945" s="649"/>
      <c r="M945" s="649"/>
      <c r="N945" s="649"/>
      <c r="O945" s="649"/>
      <c r="P945" s="649"/>
      <c r="Q945" s="649"/>
      <c r="R945" s="649"/>
      <c r="S945" s="649"/>
      <c r="T945" s="649"/>
      <c r="U945" s="649"/>
      <c r="V945" s="649"/>
      <c r="W945" s="649"/>
      <c r="X945" s="649"/>
      <c r="Y945" s="649"/>
      <c r="Z945" s="649"/>
      <c r="AA945" s="649"/>
      <c r="AB945" s="649"/>
      <c r="AC945" s="649"/>
      <c r="AD945" s="649"/>
      <c r="AE945" s="649"/>
      <c r="AF945" s="649"/>
      <c r="AG945" s="649"/>
      <c r="AH945" s="649"/>
      <c r="AI945" s="649"/>
      <c r="AJ945" s="649"/>
      <c r="AK945" s="649"/>
      <c r="AL945" s="649"/>
      <c r="AM945" s="649"/>
      <c r="AN945" s="649"/>
      <c r="AO945" s="649"/>
      <c r="AP945" s="649"/>
      <c r="AQ945" s="649"/>
      <c r="AR945" s="649"/>
      <c r="AS945" s="649"/>
      <c r="AT945" s="649"/>
    </row>
    <row r="946" spans="2:46" ht="13.5" thickTop="1" x14ac:dyDescent="0.4"/>
    <row r="947" spans="2:46" ht="13.5" x14ac:dyDescent="0.4">
      <c r="B947" s="183" t="s">
        <v>1147</v>
      </c>
    </row>
    <row r="949" spans="2:46" ht="13.5" x14ac:dyDescent="0.4">
      <c r="D949" s="626" t="s">
        <v>1148</v>
      </c>
    </row>
    <row r="950" spans="2:46" x14ac:dyDescent="0.4">
      <c r="D950" s="918">
        <v>2014</v>
      </c>
      <c r="E950" s="918" t="s">
        <v>645</v>
      </c>
      <c r="F950" s="918">
        <v>2015</v>
      </c>
      <c r="G950" s="918" t="s">
        <v>214</v>
      </c>
      <c r="H950" s="918">
        <v>2016</v>
      </c>
      <c r="I950" s="918" t="s">
        <v>659</v>
      </c>
      <c r="J950" s="918" t="s">
        <v>215</v>
      </c>
      <c r="K950" s="919"/>
      <c r="L950" s="919"/>
      <c r="M950" s="919"/>
      <c r="N950" s="919"/>
    </row>
    <row r="951" spans="2:46" x14ac:dyDescent="0.4">
      <c r="D951" s="920">
        <v>2.6599999999999999E-2</v>
      </c>
      <c r="E951" s="920">
        <v>2.53E-2</v>
      </c>
      <c r="F951" s="920">
        <v>2.47E-2</v>
      </c>
      <c r="G951" s="921">
        <v>2.2100000000000002E-2</v>
      </c>
      <c r="H951" s="921">
        <v>2.1600000000000001E-2</v>
      </c>
      <c r="I951" s="921">
        <v>2.12E-2</v>
      </c>
      <c r="J951" s="922">
        <v>2.1600000000000001E-2</v>
      </c>
      <c r="K951" s="919"/>
      <c r="L951" s="919"/>
      <c r="M951" s="919"/>
      <c r="N951" s="919"/>
    </row>
    <row r="952" spans="2:46" x14ac:dyDescent="0.4">
      <c r="D952" s="919"/>
      <c r="E952" s="919"/>
      <c r="F952" s="919"/>
      <c r="G952" s="919"/>
      <c r="H952" s="919"/>
      <c r="I952" s="919"/>
      <c r="J952" s="919"/>
      <c r="K952" s="919"/>
      <c r="L952" s="919"/>
      <c r="M952" s="919"/>
      <c r="N952" s="919"/>
    </row>
    <row r="953" spans="2:46" x14ac:dyDescent="0.4">
      <c r="D953" s="919"/>
      <c r="E953" s="919"/>
      <c r="F953" s="919"/>
      <c r="G953" s="919"/>
      <c r="H953" s="919"/>
      <c r="I953" s="919"/>
      <c r="J953" s="919"/>
      <c r="K953" s="919"/>
      <c r="L953" s="919"/>
      <c r="M953" s="919"/>
      <c r="N953" s="919"/>
    </row>
    <row r="954" spans="2:46" x14ac:dyDescent="0.4">
      <c r="D954" s="919"/>
      <c r="E954" s="919"/>
      <c r="F954" s="919"/>
      <c r="G954" s="919"/>
      <c r="H954" s="919"/>
      <c r="I954" s="919"/>
      <c r="J954" s="919"/>
      <c r="K954" s="919"/>
      <c r="L954" s="919"/>
      <c r="M954" s="919"/>
      <c r="N954" s="919"/>
    </row>
    <row r="955" spans="2:46" x14ac:dyDescent="0.4">
      <c r="D955" s="919"/>
      <c r="E955" s="923" t="s">
        <v>645</v>
      </c>
      <c r="F955" s="923"/>
      <c r="G955" s="923" t="s">
        <v>646</v>
      </c>
      <c r="H955" s="919"/>
      <c r="I955" s="923" t="s">
        <v>214</v>
      </c>
      <c r="J955" s="919"/>
      <c r="K955" s="923" t="s">
        <v>647</v>
      </c>
      <c r="L955" s="923"/>
      <c r="M955" s="923" t="s">
        <v>215</v>
      </c>
      <c r="N955" s="923"/>
    </row>
    <row r="956" spans="2:46" ht="13.5" x14ac:dyDescent="0.4">
      <c r="D956" s="919" t="s">
        <v>1149</v>
      </c>
      <c r="E956" s="924" t="s">
        <v>1150</v>
      </c>
      <c r="F956" s="924" t="s">
        <v>1151</v>
      </c>
      <c r="G956" s="924" t="s">
        <v>1150</v>
      </c>
      <c r="H956" s="924" t="s">
        <v>1151</v>
      </c>
      <c r="I956" s="925" t="s">
        <v>1150</v>
      </c>
      <c r="J956" s="925" t="s">
        <v>1151</v>
      </c>
      <c r="K956" s="925" t="s">
        <v>1150</v>
      </c>
      <c r="L956" s="925" t="s">
        <v>1151</v>
      </c>
      <c r="M956" s="925" t="s">
        <v>1150</v>
      </c>
      <c r="N956" s="925" t="s">
        <v>1151</v>
      </c>
    </row>
    <row r="957" spans="2:46" ht="13.5" x14ac:dyDescent="0.4">
      <c r="D957" s="925" t="s">
        <v>1152</v>
      </c>
      <c r="E957" s="924">
        <v>201224.88</v>
      </c>
      <c r="F957" s="926">
        <v>4.3799999999999999E-2</v>
      </c>
      <c r="G957" s="924">
        <v>205504.89</v>
      </c>
      <c r="H957" s="926">
        <v>4.24E-2</v>
      </c>
      <c r="I957" s="927">
        <v>212827.49</v>
      </c>
      <c r="J957" s="926">
        <v>3.73E-2</v>
      </c>
      <c r="K957" s="924">
        <v>218415.27</v>
      </c>
      <c r="L957" s="926">
        <v>3.6200000000000003E-2</v>
      </c>
      <c r="M957" s="924">
        <v>233972.5</v>
      </c>
      <c r="N957" s="928">
        <v>3.61E-2</v>
      </c>
    </row>
    <row r="958" spans="2:46" ht="13.5" x14ac:dyDescent="0.4">
      <c r="D958" s="925" t="s">
        <v>1153</v>
      </c>
      <c r="E958" s="925">
        <v>113346.92</v>
      </c>
      <c r="F958" s="929">
        <v>5.5500000000000001E-2</v>
      </c>
      <c r="G958" s="925">
        <v>116073.27</v>
      </c>
      <c r="H958" s="929">
        <v>5.3100000000000001E-2</v>
      </c>
      <c r="I958" s="930">
        <v>122860.73</v>
      </c>
      <c r="J958" s="929">
        <v>4.4299999999999999E-2</v>
      </c>
      <c r="K958" s="931">
        <v>126586.86</v>
      </c>
      <c r="L958" s="926">
        <v>4.2500000000000003E-2</v>
      </c>
      <c r="M958" s="924">
        <v>135855.51999999999</v>
      </c>
      <c r="N958" s="928">
        <v>4.1299999999999996E-2</v>
      </c>
    </row>
    <row r="959" spans="2:46" ht="13.5" x14ac:dyDescent="0.4">
      <c r="D959" s="932" t="s">
        <v>1154</v>
      </c>
      <c r="E959" s="925">
        <v>70299.13</v>
      </c>
      <c r="F959" s="929">
        <v>5.8700000000000002E-2</v>
      </c>
      <c r="G959" s="925">
        <v>70604.95</v>
      </c>
      <c r="H959" s="929">
        <v>5.5800000000000002E-2</v>
      </c>
      <c r="I959" s="930">
        <v>71497.59</v>
      </c>
      <c r="J959" s="929">
        <v>4.7199999999999999E-2</v>
      </c>
      <c r="K959" s="931">
        <v>70770.09</v>
      </c>
      <c r="L959" s="926">
        <v>4.58E-2</v>
      </c>
      <c r="M959" s="924">
        <v>74641.899999999994</v>
      </c>
      <c r="N959" s="928">
        <v>4.36E-2</v>
      </c>
    </row>
    <row r="960" spans="2:46" ht="13.5" x14ac:dyDescent="0.4">
      <c r="D960" s="932" t="s">
        <v>1155</v>
      </c>
      <c r="E960" s="925">
        <v>31130.81</v>
      </c>
      <c r="F960" s="929">
        <v>5.3699999999999998E-2</v>
      </c>
      <c r="G960" s="925">
        <v>32281.24</v>
      </c>
      <c r="H960" s="929">
        <v>5.3199999999999997E-2</v>
      </c>
      <c r="I960" s="930">
        <v>36258.69</v>
      </c>
      <c r="J960" s="929">
        <v>4.2200000000000001E-2</v>
      </c>
      <c r="K960" s="931">
        <v>37864.42</v>
      </c>
      <c r="L960" s="926">
        <v>4.1399999999999999E-2</v>
      </c>
      <c r="M960" s="924">
        <v>43135.98</v>
      </c>
      <c r="N960" s="928">
        <v>4.07E-2</v>
      </c>
    </row>
    <row r="961" spans="4:46" ht="13.5" x14ac:dyDescent="0.4">
      <c r="D961" s="932" t="s">
        <v>1125</v>
      </c>
      <c r="E961" s="925">
        <v>3735.25</v>
      </c>
      <c r="F961" s="929">
        <v>5.1700000000000003E-2</v>
      </c>
      <c r="G961" s="925">
        <v>4321.91</v>
      </c>
      <c r="H961" s="929">
        <v>4.53E-2</v>
      </c>
      <c r="I961" s="930">
        <v>5689.68</v>
      </c>
      <c r="J961" s="929">
        <v>3.5700000000000003E-2</v>
      </c>
      <c r="K961" s="931">
        <v>6780.19</v>
      </c>
      <c r="L961" s="926">
        <v>3.2599999999999997E-2</v>
      </c>
      <c r="M961" s="924">
        <v>5007.29</v>
      </c>
      <c r="N961" s="928">
        <v>3.5299999999999998E-2</v>
      </c>
    </row>
    <row r="962" spans="4:46" ht="13.5" x14ac:dyDescent="0.4">
      <c r="D962" s="932" t="s">
        <v>1156</v>
      </c>
      <c r="E962" s="925">
        <v>8181.73</v>
      </c>
      <c r="F962" s="929">
        <v>3.6299999999999999E-2</v>
      </c>
      <c r="G962" s="925">
        <v>8865.17</v>
      </c>
      <c r="H962" s="929">
        <v>3.4700000000000002E-2</v>
      </c>
      <c r="I962" s="930">
        <v>9414.77</v>
      </c>
      <c r="J962" s="929">
        <v>3.5299999999999998E-2</v>
      </c>
      <c r="K962" s="931">
        <v>11172.16</v>
      </c>
      <c r="L962" s="926">
        <v>3.1800000000000002E-2</v>
      </c>
      <c r="M962" s="924">
        <v>13070.35</v>
      </c>
      <c r="N962" s="928">
        <v>3.2099999999999997E-2</v>
      </c>
    </row>
    <row r="963" spans="4:46" ht="13.5" x14ac:dyDescent="0.4">
      <c r="D963" s="925" t="s">
        <v>1157</v>
      </c>
      <c r="E963" s="925">
        <v>41693.49</v>
      </c>
      <c r="F963" s="929">
        <v>0.04</v>
      </c>
      <c r="G963" s="925">
        <v>43332.02</v>
      </c>
      <c r="H963" s="929">
        <v>3.9399999999999998E-2</v>
      </c>
      <c r="I963" s="930">
        <v>47819.23</v>
      </c>
      <c r="J963" s="929">
        <v>3.6900000000000002E-2</v>
      </c>
      <c r="K963" s="931">
        <v>48555.83</v>
      </c>
      <c r="L963" s="926">
        <v>3.6499999999999998E-2</v>
      </c>
      <c r="M963" s="924">
        <v>51138.07</v>
      </c>
      <c r="N963" s="928">
        <v>3.5900000000000001E-2</v>
      </c>
    </row>
    <row r="964" spans="4:46" ht="13.5" x14ac:dyDescent="0.4">
      <c r="D964" s="925" t="s">
        <v>1096</v>
      </c>
      <c r="E964" s="925">
        <v>33021.24</v>
      </c>
      <c r="F964" s="929">
        <v>1.4999999999999999E-2</v>
      </c>
      <c r="G964" s="925">
        <v>31615.62</v>
      </c>
      <c r="H964" s="929">
        <v>1.5100000000000001E-2</v>
      </c>
      <c r="I964" s="930">
        <v>28318.48</v>
      </c>
      <c r="J964" s="929">
        <v>1.54E-2</v>
      </c>
      <c r="K964" s="931">
        <v>29150.05</v>
      </c>
      <c r="L964" s="926">
        <v>1.5299999999999999E-2</v>
      </c>
      <c r="M964" s="924">
        <v>30498.09</v>
      </c>
      <c r="N964" s="928">
        <v>1.52E-2</v>
      </c>
    </row>
    <row r="965" spans="4:46" ht="13.5" x14ac:dyDescent="0.4">
      <c r="D965" s="925" t="s">
        <v>1158</v>
      </c>
      <c r="E965" s="925">
        <v>13163.23</v>
      </c>
      <c r="F965" s="929">
        <v>2.7900000000000001E-2</v>
      </c>
      <c r="G965" s="925">
        <v>14483.98</v>
      </c>
      <c r="H965" s="929">
        <v>2.52E-2</v>
      </c>
      <c r="I965" s="930">
        <v>13829.05</v>
      </c>
      <c r="J965" s="929">
        <v>2.1899999999999999E-2</v>
      </c>
      <c r="K965" s="931">
        <v>14122.53</v>
      </c>
      <c r="L965" s="926">
        <v>2.2200000000000001E-2</v>
      </c>
      <c r="M965" s="924">
        <v>16480.82</v>
      </c>
      <c r="N965" s="928">
        <v>3.2300000000000002E-2</v>
      </c>
    </row>
    <row r="966" spans="4:46" ht="13.5" x14ac:dyDescent="0.4">
      <c r="D966" s="933" t="s">
        <v>1159</v>
      </c>
      <c r="E966" s="925">
        <v>182775.3</v>
      </c>
      <c r="F966" s="929">
        <v>2.0400000000000001E-2</v>
      </c>
      <c r="G966" s="925">
        <v>187590.7</v>
      </c>
      <c r="H966" s="929">
        <v>1.9400000000000001E-2</v>
      </c>
      <c r="I966" s="930">
        <v>195565.19</v>
      </c>
      <c r="J966" s="929">
        <v>1.66E-2</v>
      </c>
      <c r="K966" s="931">
        <v>199962.02</v>
      </c>
      <c r="L966" s="934">
        <v>1.6E-2</v>
      </c>
      <c r="M966" s="924">
        <v>213179.29</v>
      </c>
      <c r="N966" s="928">
        <v>1.5800000000000002E-2</v>
      </c>
    </row>
    <row r="967" spans="4:46" ht="13.5" x14ac:dyDescent="0.4">
      <c r="D967" s="925" t="s">
        <v>1160</v>
      </c>
      <c r="E967" s="925">
        <v>152016.35999999999</v>
      </c>
      <c r="F967" s="929">
        <v>2.0199999999999999E-2</v>
      </c>
      <c r="G967" s="925">
        <v>155792.71</v>
      </c>
      <c r="H967" s="929">
        <v>1.9099999999999999E-2</v>
      </c>
      <c r="I967" s="930">
        <v>163735.24</v>
      </c>
      <c r="J967" s="929">
        <v>1.6E-2</v>
      </c>
      <c r="K967" s="931">
        <v>168785.31</v>
      </c>
      <c r="L967" s="926">
        <v>1.5299999999999999E-2</v>
      </c>
      <c r="M967" s="924">
        <v>179522.42</v>
      </c>
      <c r="N967" s="928">
        <v>1.43E-2</v>
      </c>
    </row>
    <row r="968" spans="4:46" ht="13.5" x14ac:dyDescent="0.4">
      <c r="D968" s="932" t="s">
        <v>1161</v>
      </c>
      <c r="E968" s="925">
        <v>36155.1</v>
      </c>
      <c r="F968" s="929">
        <v>3.3000000000000002E-2</v>
      </c>
      <c r="G968" s="925">
        <v>36550.43</v>
      </c>
      <c r="H968" s="929">
        <v>3.1600000000000003E-2</v>
      </c>
      <c r="I968" s="930">
        <v>36539.599999999999</v>
      </c>
      <c r="J968" s="929">
        <v>2.5899999999999999E-2</v>
      </c>
      <c r="K968" s="931">
        <v>36740.17</v>
      </c>
      <c r="L968" s="926">
        <v>2.4799999999999999E-2</v>
      </c>
      <c r="M968" s="924">
        <v>39488.89</v>
      </c>
      <c r="N968" s="928">
        <v>2.2700000000000001E-2</v>
      </c>
    </row>
    <row r="969" spans="4:46" ht="13.5" x14ac:dyDescent="0.4">
      <c r="D969" s="932" t="s">
        <v>1162</v>
      </c>
      <c r="E969" s="925">
        <v>38823.74</v>
      </c>
      <c r="F969" s="929">
        <v>7.7000000000000002E-3</v>
      </c>
      <c r="G969" s="925">
        <v>41145.68</v>
      </c>
      <c r="H969" s="929">
        <v>7.3000000000000001E-3</v>
      </c>
      <c r="I969" s="930">
        <v>44690.17</v>
      </c>
      <c r="J969" s="929">
        <v>6.4000000000000003E-3</v>
      </c>
      <c r="K969" s="931">
        <v>48076.07</v>
      </c>
      <c r="L969" s="926">
        <v>6.6E-3</v>
      </c>
      <c r="M969" s="924">
        <v>51808.72</v>
      </c>
      <c r="N969" s="928">
        <v>6.6E-3</v>
      </c>
    </row>
    <row r="970" spans="4:46" ht="13.5" x14ac:dyDescent="0.4">
      <c r="D970" s="932" t="s">
        <v>1163</v>
      </c>
      <c r="E970" s="925">
        <v>40437.96</v>
      </c>
      <c r="F970" s="929">
        <v>3.3799999999999997E-2</v>
      </c>
      <c r="G970" s="925">
        <v>40741.96</v>
      </c>
      <c r="H970" s="929">
        <v>3.2599999999999997E-2</v>
      </c>
      <c r="I970" s="930">
        <v>42378.29</v>
      </c>
      <c r="J970" s="929">
        <v>2.7900000000000001E-2</v>
      </c>
      <c r="K970" s="931">
        <v>42632.88</v>
      </c>
      <c r="L970" s="926">
        <v>2.69E-2</v>
      </c>
      <c r="M970" s="924">
        <v>44450.58</v>
      </c>
      <c r="N970" s="928">
        <v>2.4500000000000001E-2</v>
      </c>
    </row>
    <row r="971" spans="4:46" ht="13.5" x14ac:dyDescent="0.4">
      <c r="D971" s="932" t="s">
        <v>1164</v>
      </c>
      <c r="E971" s="925">
        <v>30820.1</v>
      </c>
      <c r="F971" s="929">
        <v>3.5000000000000001E-3</v>
      </c>
      <c r="G971" s="925">
        <v>31314.45</v>
      </c>
      <c r="H971" s="929">
        <v>3.3E-3</v>
      </c>
      <c r="I971" s="930">
        <v>34273.879999999997</v>
      </c>
      <c r="J971" s="929">
        <v>3.0000000000000001E-3</v>
      </c>
      <c r="K971" s="931">
        <v>34405.81</v>
      </c>
      <c r="L971" s="926">
        <v>3.0999999999999999E-3</v>
      </c>
      <c r="M971" s="924">
        <v>36530.19</v>
      </c>
      <c r="N971" s="928">
        <v>3.9000000000000003E-3</v>
      </c>
    </row>
    <row r="972" spans="4:46" ht="13.5" x14ac:dyDescent="0.4">
      <c r="D972" s="932" t="s">
        <v>1156</v>
      </c>
      <c r="E972" s="925">
        <v>5779.46</v>
      </c>
      <c r="F972" s="929">
        <v>1.67E-2</v>
      </c>
      <c r="G972" s="925">
        <v>6040.19</v>
      </c>
      <c r="H972" s="929">
        <v>1.4999999999999999E-2</v>
      </c>
      <c r="I972" s="930">
        <v>5853.3</v>
      </c>
      <c r="J972" s="929">
        <v>1.5900000000000001E-2</v>
      </c>
      <c r="K972" s="931">
        <v>6930.38</v>
      </c>
      <c r="L972" s="926">
        <v>1.4E-2</v>
      </c>
      <c r="M972" s="924">
        <v>7244.04</v>
      </c>
      <c r="N972" s="928">
        <v>1.4499999999999999E-2</v>
      </c>
    </row>
    <row r="973" spans="4:46" ht="13.5" x14ac:dyDescent="0.4">
      <c r="D973" s="925" t="s">
        <v>1165</v>
      </c>
      <c r="E973" s="925">
        <v>26570.16</v>
      </c>
      <c r="F973" s="929">
        <v>1.9299999999999998E-2</v>
      </c>
      <c r="G973" s="925">
        <v>27443.39</v>
      </c>
      <c r="H973" s="929">
        <v>1.8100000000000002E-2</v>
      </c>
      <c r="I973" s="930">
        <v>26965.69</v>
      </c>
      <c r="J973" s="929">
        <v>1.6899999999999998E-2</v>
      </c>
      <c r="K973" s="931">
        <v>25959.74</v>
      </c>
      <c r="L973" s="926">
        <v>1.7100000000000001E-2</v>
      </c>
      <c r="M973" s="924">
        <v>27432.99</v>
      </c>
      <c r="N973" s="928">
        <v>2.2200000000000001E-2</v>
      </c>
    </row>
    <row r="974" spans="4:46" ht="13.5" x14ac:dyDescent="0.4">
      <c r="D974" s="925" t="s">
        <v>1166</v>
      </c>
      <c r="E974" s="925">
        <v>4188.78</v>
      </c>
      <c r="F974" s="929">
        <v>3.7599999999999995E-2</v>
      </c>
      <c r="G974" s="925">
        <v>4354.6000000000004</v>
      </c>
      <c r="H974" s="929">
        <v>3.6999999999999998E-2</v>
      </c>
      <c r="I974" s="930">
        <v>4864.26</v>
      </c>
      <c r="J974" s="929">
        <v>3.4700000000000002E-2</v>
      </c>
      <c r="K974" s="931">
        <v>5216.97</v>
      </c>
      <c r="L974" s="926">
        <v>3.3500000000000002E-2</v>
      </c>
      <c r="M974" s="924">
        <v>6223.88</v>
      </c>
      <c r="N974" s="928">
        <v>3.0699999999999998E-2</v>
      </c>
    </row>
    <row r="976" spans="4:46" s="429" customFormat="1" ht="13.5" thickBot="1" x14ac:dyDescent="0.45">
      <c r="D976" s="649"/>
      <c r="E976" s="649"/>
      <c r="F976" s="649"/>
      <c r="G976" s="649"/>
      <c r="H976" s="649"/>
      <c r="I976" s="649"/>
      <c r="J976" s="649"/>
      <c r="K976" s="649"/>
      <c r="L976" s="649"/>
      <c r="M976" s="649"/>
      <c r="N976" s="649"/>
      <c r="O976" s="649"/>
      <c r="P976" s="649"/>
      <c r="Q976" s="649"/>
      <c r="R976" s="649"/>
      <c r="S976" s="649"/>
      <c r="T976" s="649"/>
      <c r="U976" s="649"/>
      <c r="V976" s="649"/>
      <c r="W976" s="649"/>
      <c r="X976" s="649"/>
      <c r="Y976" s="649"/>
      <c r="Z976" s="649"/>
      <c r="AA976" s="649"/>
      <c r="AB976" s="649"/>
      <c r="AC976" s="649"/>
      <c r="AD976" s="649"/>
      <c r="AE976" s="649"/>
      <c r="AF976" s="649"/>
      <c r="AG976" s="649"/>
      <c r="AH976" s="649"/>
      <c r="AI976" s="649"/>
      <c r="AJ976" s="649"/>
      <c r="AK976" s="649"/>
      <c r="AL976" s="649"/>
      <c r="AM976" s="649"/>
      <c r="AN976" s="649"/>
      <c r="AO976" s="649"/>
      <c r="AP976" s="649"/>
      <c r="AQ976" s="649"/>
      <c r="AR976" s="649"/>
      <c r="AS976" s="649"/>
      <c r="AT976" s="649"/>
    </row>
    <row r="977" spans="2:46" ht="13.5" thickTop="1" x14ac:dyDescent="0.4"/>
    <row r="978" spans="2:46" ht="13.5" x14ac:dyDescent="0.4">
      <c r="B978" s="183" t="s">
        <v>1167</v>
      </c>
    </row>
    <row r="979" spans="2:46" x14ac:dyDescent="0.4">
      <c r="D979" s="847" t="s">
        <v>1074</v>
      </c>
      <c r="E979" s="935" t="s">
        <v>1168</v>
      </c>
      <c r="F979" s="935" t="s">
        <v>1169</v>
      </c>
      <c r="G979" s="773" t="s">
        <v>1170</v>
      </c>
      <c r="H979" s="745" t="s">
        <v>1171</v>
      </c>
    </row>
    <row r="980" spans="2:46" x14ac:dyDescent="0.4">
      <c r="D980" s="936" t="s">
        <v>1172</v>
      </c>
      <c r="E980" s="937">
        <v>37</v>
      </c>
      <c r="F980" s="937">
        <v>23</v>
      </c>
      <c r="G980" s="937">
        <v>14</v>
      </c>
      <c r="H980" s="938">
        <v>14</v>
      </c>
    </row>
    <row r="981" spans="2:46" x14ac:dyDescent="0.4">
      <c r="D981" s="603"/>
      <c r="E981" s="603"/>
      <c r="F981" s="603"/>
      <c r="G981" s="603"/>
      <c r="H981" s="603"/>
    </row>
    <row r="982" spans="2:46" x14ac:dyDescent="0.4">
      <c r="D982" s="603"/>
      <c r="E982" s="603"/>
      <c r="F982" s="603"/>
      <c r="G982" s="603"/>
      <c r="H982" s="603"/>
    </row>
    <row r="983" spans="2:46" x14ac:dyDescent="0.4">
      <c r="D983" s="743" t="s">
        <v>1074</v>
      </c>
      <c r="E983" s="773" t="s">
        <v>1173</v>
      </c>
      <c r="F983" s="773" t="s">
        <v>1174</v>
      </c>
      <c r="G983" s="794" t="s">
        <v>1175</v>
      </c>
      <c r="H983" s="794" t="s">
        <v>1176</v>
      </c>
    </row>
    <row r="984" spans="2:46" ht="25.5" x14ac:dyDescent="0.4">
      <c r="D984" s="939" t="s">
        <v>1177</v>
      </c>
      <c r="E984" s="940">
        <v>0</v>
      </c>
      <c r="F984" s="940">
        <v>0</v>
      </c>
      <c r="G984" s="941">
        <v>14</v>
      </c>
      <c r="H984" s="941">
        <v>0</v>
      </c>
    </row>
    <row r="985" spans="2:46" x14ac:dyDescent="0.4">
      <c r="D985" s="849" t="s">
        <v>1178</v>
      </c>
      <c r="E985" s="942">
        <v>0</v>
      </c>
      <c r="F985" s="942">
        <v>0</v>
      </c>
      <c r="G985" s="943">
        <v>4.2000000000000003E-2</v>
      </c>
      <c r="H985" s="943">
        <v>0</v>
      </c>
    </row>
    <row r="986" spans="2:46" s="429" customFormat="1" ht="13.5" thickBot="1" x14ac:dyDescent="0.45">
      <c r="D986" s="649"/>
      <c r="E986" s="649"/>
      <c r="F986" s="649"/>
      <c r="G986" s="649"/>
      <c r="H986" s="649"/>
      <c r="I986" s="649"/>
      <c r="J986" s="649"/>
      <c r="K986" s="649"/>
      <c r="L986" s="649"/>
      <c r="M986" s="649"/>
      <c r="N986" s="649"/>
      <c r="O986" s="649"/>
      <c r="P986" s="649"/>
      <c r="Q986" s="649"/>
      <c r="R986" s="649"/>
      <c r="S986" s="649"/>
      <c r="T986" s="649"/>
      <c r="U986" s="649"/>
      <c r="V986" s="649"/>
      <c r="W986" s="649"/>
      <c r="X986" s="649"/>
      <c r="Y986" s="649"/>
      <c r="Z986" s="649"/>
      <c r="AA986" s="649"/>
      <c r="AB986" s="649"/>
      <c r="AC986" s="649"/>
      <c r="AD986" s="649"/>
      <c r="AE986" s="649"/>
      <c r="AF986" s="649"/>
      <c r="AG986" s="649"/>
      <c r="AH986" s="649"/>
      <c r="AI986" s="649"/>
      <c r="AJ986" s="649"/>
      <c r="AK986" s="649"/>
      <c r="AL986" s="649"/>
      <c r="AM986" s="649"/>
      <c r="AN986" s="649"/>
      <c r="AO986" s="649"/>
      <c r="AP986" s="649"/>
      <c r="AQ986" s="649"/>
      <c r="AR986" s="649"/>
      <c r="AS986" s="649"/>
      <c r="AT986" s="649"/>
    </row>
    <row r="987" spans="2:46" ht="13.5" thickTop="1" x14ac:dyDescent="0.4"/>
    <row r="988" spans="2:46" ht="13.5" x14ac:dyDescent="0.4">
      <c r="B988" s="15" t="s">
        <v>1382</v>
      </c>
    </row>
    <row r="989" spans="2:46" x14ac:dyDescent="0.4">
      <c r="D989" s="436"/>
      <c r="E989" s="436"/>
      <c r="F989" s="971">
        <v>2012</v>
      </c>
      <c r="G989" s="971">
        <v>2013</v>
      </c>
      <c r="H989" s="971">
        <v>2014</v>
      </c>
      <c r="I989" s="971">
        <v>2015</v>
      </c>
      <c r="J989" s="971">
        <v>2016</v>
      </c>
      <c r="K989" s="971" t="s">
        <v>215</v>
      </c>
    </row>
    <row r="990" spans="2:46" ht="13.15" customHeight="1" x14ac:dyDescent="0.4">
      <c r="D990" s="1080" t="s">
        <v>1268</v>
      </c>
      <c r="E990" s="1081"/>
      <c r="F990" s="972">
        <v>0.14510302477871861</v>
      </c>
      <c r="G990" s="972">
        <v>0.10169633542948833</v>
      </c>
      <c r="H990" s="972">
        <v>5.0656931530812084E-2</v>
      </c>
      <c r="I990" s="972">
        <v>5.1902738466661361E-3</v>
      </c>
      <c r="J990" s="972">
        <v>4.9906380527149647E-3</v>
      </c>
      <c r="K990" s="973">
        <v>2.0118680968564145E-2</v>
      </c>
    </row>
    <row r="991" spans="2:46" ht="22.5" x14ac:dyDescent="0.4">
      <c r="D991" s="1082" t="s">
        <v>1269</v>
      </c>
      <c r="E991" s="978" t="s">
        <v>1270</v>
      </c>
      <c r="F991" s="974">
        <v>0.23193906564094324</v>
      </c>
      <c r="G991" s="974">
        <v>0.16553168055161316</v>
      </c>
      <c r="H991" s="974">
        <v>0.13141065600298746</v>
      </c>
      <c r="I991" s="974">
        <v>0.19139483036740282</v>
      </c>
      <c r="J991" s="974">
        <v>0.11488404083400772</v>
      </c>
      <c r="K991" s="975">
        <v>0.15450016748775405</v>
      </c>
    </row>
    <row r="992" spans="2:46" x14ac:dyDescent="0.4">
      <c r="D992" s="1083"/>
      <c r="E992" s="979" t="s">
        <v>1271</v>
      </c>
      <c r="F992" s="974">
        <v>3.2226541593579017E-2</v>
      </c>
      <c r="G992" s="974">
        <v>-5.8669670672732273E-2</v>
      </c>
      <c r="H992" s="974">
        <v>5.943983740868336E-2</v>
      </c>
      <c r="I992" s="974">
        <v>-0.13947399471159697</v>
      </c>
      <c r="J992" s="974">
        <v>-0.24458661897025991</v>
      </c>
      <c r="K992" s="975">
        <v>-4.4036594845443512E-2</v>
      </c>
    </row>
    <row r="993" spans="2:46" ht="22.5" x14ac:dyDescent="0.4">
      <c r="D993" s="1083"/>
      <c r="E993" s="979" t="s">
        <v>68</v>
      </c>
      <c r="F993" s="974">
        <v>3.1984456331406369E-2</v>
      </c>
      <c r="G993" s="974">
        <v>0.11389201938908464</v>
      </c>
      <c r="H993" s="974">
        <v>7.2511550966858712E-2</v>
      </c>
      <c r="I993" s="974">
        <v>8.8350477403849631E-2</v>
      </c>
      <c r="J993" s="974">
        <v>5.1364683854241686E-2</v>
      </c>
      <c r="K993" s="975">
        <v>-8.0720316482582544E-2</v>
      </c>
    </row>
    <row r="994" spans="2:46" ht="22.5" x14ac:dyDescent="0.4">
      <c r="D994" s="1083"/>
      <c r="E994" s="979" t="s">
        <v>1272</v>
      </c>
      <c r="F994" s="974">
        <v>-0.13806519705437886</v>
      </c>
      <c r="G994" s="974">
        <v>-0.10098411754108869</v>
      </c>
      <c r="H994" s="974">
        <v>-0.14463902040195464</v>
      </c>
      <c r="I994" s="974">
        <v>-3.169541706782103E-2</v>
      </c>
      <c r="J994" s="974">
        <v>8.9222958375342068E-2</v>
      </c>
      <c r="K994" s="975">
        <v>0.1015027612574341</v>
      </c>
    </row>
    <row r="995" spans="2:46" ht="22.5" x14ac:dyDescent="0.4">
      <c r="D995" s="1083"/>
      <c r="E995" s="979" t="s">
        <v>80</v>
      </c>
      <c r="F995" s="974">
        <v>-1.2588452589412075E-2</v>
      </c>
      <c r="G995" s="974">
        <v>-1.9171229748922245E-2</v>
      </c>
      <c r="H995" s="974">
        <v>-7.0001711254349439E-2</v>
      </c>
      <c r="I995" s="974">
        <v>-0.10953866645432632</v>
      </c>
      <c r="J995" s="974">
        <v>-3.2442748091603053E-3</v>
      </c>
      <c r="K995" s="975">
        <v>-0.11224245964316053</v>
      </c>
    </row>
    <row r="996" spans="2:46" x14ac:dyDescent="0.4">
      <c r="D996" s="1084"/>
      <c r="E996" s="980" t="s">
        <v>1273</v>
      </c>
      <c r="F996" s="976">
        <v>-3.9338914341912733E-4</v>
      </c>
      <c r="G996" s="976">
        <v>1.0976534515335728E-3</v>
      </c>
      <c r="H996" s="976">
        <v>1.935618808586694E-3</v>
      </c>
      <c r="I996" s="976">
        <v>6.1530443091579014E-3</v>
      </c>
      <c r="J996" s="976">
        <v>-2.6501512314561428E-3</v>
      </c>
      <c r="K996" s="977">
        <v>1.1151231945624469E-3</v>
      </c>
    </row>
    <row r="997" spans="2:46" s="429" customFormat="1" ht="13.5" thickBot="1" x14ac:dyDescent="0.45">
      <c r="D997" s="649"/>
      <c r="E997" s="649"/>
      <c r="F997" s="649"/>
      <c r="G997" s="649"/>
      <c r="H997" s="649"/>
      <c r="I997" s="649"/>
      <c r="J997" s="649"/>
      <c r="K997" s="649"/>
      <c r="L997" s="649"/>
      <c r="M997" s="649"/>
      <c r="N997" s="649"/>
      <c r="O997" s="649"/>
      <c r="P997" s="649"/>
      <c r="Q997" s="649"/>
      <c r="R997" s="649"/>
      <c r="S997" s="649"/>
      <c r="T997" s="649"/>
      <c r="U997" s="649"/>
      <c r="V997" s="649"/>
      <c r="W997" s="649"/>
      <c r="X997" s="649"/>
      <c r="Y997" s="649"/>
      <c r="Z997" s="649"/>
      <c r="AA997" s="649"/>
      <c r="AB997" s="649"/>
      <c r="AC997" s="649"/>
      <c r="AD997" s="649"/>
      <c r="AE997" s="649"/>
      <c r="AF997" s="649"/>
      <c r="AG997" s="649"/>
      <c r="AH997" s="649"/>
      <c r="AI997" s="649"/>
      <c r="AJ997" s="649"/>
      <c r="AK997" s="649"/>
      <c r="AL997" s="649"/>
      <c r="AM997" s="649"/>
      <c r="AN997" s="649"/>
      <c r="AO997" s="649"/>
      <c r="AP997" s="649"/>
      <c r="AQ997" s="649"/>
      <c r="AR997" s="649"/>
      <c r="AS997" s="649"/>
      <c r="AT997" s="649"/>
    </row>
    <row r="998" spans="2:46" ht="13.5" thickTop="1" x14ac:dyDescent="0.4"/>
    <row r="999" spans="2:46" ht="13.5" x14ac:dyDescent="0.4">
      <c r="B999" s="15" t="s">
        <v>1274</v>
      </c>
    </row>
    <row r="1001" spans="2:46" x14ac:dyDescent="0.4">
      <c r="D1001" s="442" t="s">
        <v>1275</v>
      </c>
      <c r="E1001" s="981" t="s">
        <v>1276</v>
      </c>
      <c r="F1001" s="982" t="s">
        <v>1277</v>
      </c>
      <c r="G1001" s="982" t="s">
        <v>1278</v>
      </c>
      <c r="H1001" s="983" t="s">
        <v>1279</v>
      </c>
      <c r="I1001" s="982" t="s">
        <v>655</v>
      </c>
      <c r="J1001" s="982" t="s">
        <v>656</v>
      </c>
      <c r="K1001" s="982" t="s">
        <v>657</v>
      </c>
      <c r="L1001" s="981" t="s">
        <v>658</v>
      </c>
      <c r="M1001" s="981" t="s">
        <v>659</v>
      </c>
      <c r="N1001" s="983" t="s">
        <v>660</v>
      </c>
    </row>
    <row r="1002" spans="2:46" x14ac:dyDescent="0.4">
      <c r="D1002" s="450" t="s">
        <v>64</v>
      </c>
      <c r="E1002" s="984">
        <v>1811.64</v>
      </c>
      <c r="F1002" s="985">
        <v>1750.78</v>
      </c>
      <c r="G1002" s="985">
        <v>1683.86</v>
      </c>
      <c r="H1002" s="986">
        <v>1730.19</v>
      </c>
      <c r="I1002" s="985">
        <v>1938.89</v>
      </c>
      <c r="J1002" s="985">
        <v>1637.81</v>
      </c>
      <c r="K1002" s="985">
        <v>1601.04</v>
      </c>
      <c r="L1002" s="985">
        <v>1581.17</v>
      </c>
      <c r="M1002" s="984">
        <v>1895.25</v>
      </c>
      <c r="N1002" s="987">
        <v>1726.2600000000002</v>
      </c>
    </row>
    <row r="1003" spans="2:46" x14ac:dyDescent="0.4">
      <c r="D1003" s="450" t="s">
        <v>65</v>
      </c>
      <c r="E1003" s="984">
        <v>1252.83</v>
      </c>
      <c r="F1003" s="985">
        <v>1268.04</v>
      </c>
      <c r="G1003" s="985">
        <v>1278.58</v>
      </c>
      <c r="H1003" s="986">
        <v>1279.22</v>
      </c>
      <c r="I1003" s="985">
        <v>1188.0999999999999</v>
      </c>
      <c r="J1003" s="985">
        <v>1154.7</v>
      </c>
      <c r="K1003" s="985">
        <v>1170.78</v>
      </c>
      <c r="L1003" s="985">
        <v>1204.8800000000001</v>
      </c>
      <c r="M1003" s="984">
        <v>1219.7</v>
      </c>
      <c r="N1003" s="988">
        <v>1289.5199999999998</v>
      </c>
    </row>
    <row r="1004" spans="2:46" x14ac:dyDescent="0.4">
      <c r="D1004" s="450" t="s">
        <v>1280</v>
      </c>
      <c r="E1004" s="989">
        <v>558.81000000000017</v>
      </c>
      <c r="F1004" s="990">
        <v>482.74</v>
      </c>
      <c r="G1004" s="990">
        <v>405.28</v>
      </c>
      <c r="H1004" s="991">
        <v>450.97</v>
      </c>
      <c r="I1004" s="990">
        <v>750.79000000000019</v>
      </c>
      <c r="J1004" s="990">
        <v>483.1099999999999</v>
      </c>
      <c r="K1004" s="990">
        <v>430.26</v>
      </c>
      <c r="L1004" s="990">
        <v>376.28999999999996</v>
      </c>
      <c r="M1004" s="989">
        <v>675.55</v>
      </c>
      <c r="N1004" s="992">
        <v>436.74000000000046</v>
      </c>
    </row>
    <row r="1005" spans="2:46" x14ac:dyDescent="0.4">
      <c r="D1005" s="450" t="s">
        <v>69</v>
      </c>
      <c r="E1005" s="984">
        <v>372.1</v>
      </c>
      <c r="F1005" s="985">
        <v>399.1</v>
      </c>
      <c r="G1005" s="985">
        <v>340.63</v>
      </c>
      <c r="H1005" s="986">
        <v>322.08</v>
      </c>
      <c r="I1005" s="985">
        <v>434.85</v>
      </c>
      <c r="J1005" s="985">
        <v>382.3</v>
      </c>
      <c r="K1005" s="985">
        <v>320.33</v>
      </c>
      <c r="L1005" s="985">
        <v>312.25</v>
      </c>
      <c r="M1005" s="984">
        <v>409.58</v>
      </c>
      <c r="N1005" s="988">
        <v>357.12000000000006</v>
      </c>
    </row>
    <row r="1006" spans="2:46" x14ac:dyDescent="0.4">
      <c r="D1006" s="993" t="s">
        <v>78</v>
      </c>
      <c r="E1006" s="994">
        <v>107.8</v>
      </c>
      <c r="F1006" s="995">
        <v>108.87</v>
      </c>
      <c r="G1006" s="995">
        <v>105.99</v>
      </c>
      <c r="H1006" s="996">
        <v>100.54</v>
      </c>
      <c r="I1006" s="995">
        <v>101.76</v>
      </c>
      <c r="J1006" s="995">
        <v>32.909999999999997</v>
      </c>
      <c r="K1006" s="995">
        <v>11.31</v>
      </c>
      <c r="L1006" s="995">
        <v>27.21</v>
      </c>
      <c r="M1006" s="984">
        <v>18.39</v>
      </c>
      <c r="N1006" s="988">
        <v>20.689999999999998</v>
      </c>
    </row>
    <row r="1007" spans="2:46" x14ac:dyDescent="0.4">
      <c r="D1007" s="442" t="s">
        <v>1281</v>
      </c>
      <c r="E1007" s="997">
        <v>379.73</v>
      </c>
      <c r="F1007" s="998">
        <v>415.77</v>
      </c>
      <c r="G1007" s="998">
        <v>412.65</v>
      </c>
      <c r="H1007" s="999">
        <v>570.08000000000004</v>
      </c>
      <c r="I1007" s="998">
        <v>376.46</v>
      </c>
      <c r="J1007" s="998">
        <v>392.92</v>
      </c>
      <c r="K1007" s="998">
        <v>402.85</v>
      </c>
      <c r="L1007" s="998">
        <v>579.33000000000004</v>
      </c>
      <c r="M1007" s="984">
        <v>366.08</v>
      </c>
      <c r="N1007" s="988">
        <v>394.83</v>
      </c>
    </row>
    <row r="1008" spans="2:46" x14ac:dyDescent="0.4">
      <c r="D1008" s="442" t="s">
        <v>1282</v>
      </c>
      <c r="E1008" s="997">
        <v>743.24</v>
      </c>
      <c r="F1008" s="998">
        <v>746.97</v>
      </c>
      <c r="G1008" s="998">
        <v>727.4</v>
      </c>
      <c r="H1008" s="999">
        <v>553.70000000000005</v>
      </c>
      <c r="I1008" s="998">
        <v>747.64</v>
      </c>
      <c r="J1008" s="998">
        <v>754.53</v>
      </c>
      <c r="K1008" s="998">
        <v>725.75</v>
      </c>
      <c r="L1008" s="998">
        <v>554.57000000000005</v>
      </c>
      <c r="M1008" s="1000">
        <v>757.86</v>
      </c>
      <c r="N1008" s="1001">
        <v>772.09</v>
      </c>
    </row>
    <row r="1009" spans="4:14" x14ac:dyDescent="0.4">
      <c r="D1009" s="436"/>
      <c r="E1009" s="436"/>
      <c r="F1009" s="436"/>
      <c r="G1009" s="436"/>
      <c r="H1009" s="436"/>
      <c r="I1009" s="436"/>
      <c r="J1009" s="436"/>
      <c r="K1009" s="436"/>
      <c r="L1009" s="436"/>
      <c r="M1009" s="436"/>
      <c r="N1009" s="436"/>
    </row>
    <row r="1010" spans="4:14" x14ac:dyDescent="0.4">
      <c r="D1010" s="436"/>
      <c r="E1010" s="436"/>
      <c r="F1010" s="436"/>
      <c r="G1010" s="436"/>
      <c r="H1010" s="436"/>
      <c r="I1010" s="436"/>
      <c r="J1010" s="436"/>
      <c r="K1010" s="436"/>
      <c r="L1010" s="436"/>
      <c r="M1010" s="436"/>
      <c r="N1010" s="436"/>
    </row>
    <row r="1011" spans="4:14" x14ac:dyDescent="0.4">
      <c r="D1011" s="442" t="s">
        <v>1283</v>
      </c>
      <c r="E1011" s="981" t="s">
        <v>655</v>
      </c>
      <c r="F1011" s="982" t="s">
        <v>656</v>
      </c>
      <c r="G1011" s="982" t="s">
        <v>657</v>
      </c>
      <c r="H1011" s="982" t="s">
        <v>658</v>
      </c>
      <c r="I1011" s="981" t="s">
        <v>659</v>
      </c>
      <c r="J1011" s="983" t="s">
        <v>660</v>
      </c>
      <c r="K1011" s="436"/>
      <c r="L1011" s="436"/>
      <c r="M1011" s="436"/>
      <c r="N1011" s="436"/>
    </row>
    <row r="1012" spans="4:14" x14ac:dyDescent="0.4">
      <c r="D1012" s="450" t="s">
        <v>64</v>
      </c>
      <c r="E1012" s="1002">
        <v>0.1206225905825371</v>
      </c>
      <c r="F1012" s="1002">
        <v>-0.15528472476520083</v>
      </c>
      <c r="G1012" s="1002">
        <v>-2.2450711621006092E-2</v>
      </c>
      <c r="H1012" s="1002">
        <v>-1.2410683056013561E-2</v>
      </c>
      <c r="I1012" s="1003">
        <v>0.19863771763946936</v>
      </c>
      <c r="J1012" s="1004">
        <v>-8.9165017807676938E-2</v>
      </c>
      <c r="K1012" s="436"/>
      <c r="L1012" s="436"/>
      <c r="M1012" s="436"/>
      <c r="N1012" s="436"/>
    </row>
    <row r="1013" spans="4:14" x14ac:dyDescent="0.4">
      <c r="D1013" s="450" t="s">
        <v>65</v>
      </c>
      <c r="E1013" s="1002">
        <v>-7.1230906333547117E-2</v>
      </c>
      <c r="F1013" s="1002">
        <v>-2.8112111775102977E-2</v>
      </c>
      <c r="G1013" s="1002">
        <v>1.3925694985710502E-2</v>
      </c>
      <c r="H1013" s="1002">
        <v>2.9125881890705418E-2</v>
      </c>
      <c r="I1013" s="1003">
        <v>1.2299980081003969E-2</v>
      </c>
      <c r="J1013" s="1005">
        <v>5.7243584487988608E-2</v>
      </c>
      <c r="K1013" s="436"/>
      <c r="L1013" s="436"/>
      <c r="M1013" s="436"/>
      <c r="N1013" s="436"/>
    </row>
    <row r="1014" spans="4:14" x14ac:dyDescent="0.4">
      <c r="D1014" s="450" t="s">
        <v>1280</v>
      </c>
      <c r="E1014" s="1002">
        <v>0.66483358094773526</v>
      </c>
      <c r="F1014" s="1002">
        <v>-0.35653112055301783</v>
      </c>
      <c r="G1014" s="1002">
        <v>-0.10939537579433234</v>
      </c>
      <c r="H1014" s="1002">
        <v>-0.12543578301492131</v>
      </c>
      <c r="I1014" s="1003">
        <v>0.79529086608732635</v>
      </c>
      <c r="J1014" s="1005">
        <v>-0.35350455184664276</v>
      </c>
      <c r="K1014" s="436"/>
      <c r="L1014" s="436"/>
      <c r="M1014" s="436"/>
      <c r="N1014" s="436"/>
    </row>
    <row r="1015" spans="4:14" x14ac:dyDescent="0.4">
      <c r="D1015" s="450" t="s">
        <v>69</v>
      </c>
      <c r="E1015" s="1002">
        <v>0.35013040238450088</v>
      </c>
      <c r="F1015" s="1002">
        <v>-0.1208462688283316</v>
      </c>
      <c r="G1015" s="1002">
        <v>-0.16209782893015967</v>
      </c>
      <c r="H1015" s="1002">
        <v>-2.5223987762619804E-2</v>
      </c>
      <c r="I1015" s="1006">
        <v>0.31170536429143314</v>
      </c>
      <c r="J1015" s="1007">
        <v>-0.12808242589970198</v>
      </c>
      <c r="K1015" s="436"/>
      <c r="L1015" s="436"/>
      <c r="M1015" s="436"/>
      <c r="N1015" s="436"/>
    </row>
    <row r="1016" spans="4:14" x14ac:dyDescent="0.4">
      <c r="D1016" s="442" t="s">
        <v>78</v>
      </c>
      <c r="E1016" s="1008">
        <v>1.213447384125721E-2</v>
      </c>
      <c r="F1016" s="1008">
        <v>-0.67659198113207553</v>
      </c>
      <c r="G1016" s="1008">
        <v>-0.65633546034639922</v>
      </c>
      <c r="H1016" s="1008">
        <v>1.4058355437665782</v>
      </c>
      <c r="I1016" s="1003">
        <v>-0.32414553472987873</v>
      </c>
      <c r="J1016" s="1005">
        <v>0.12506797172376283</v>
      </c>
      <c r="K1016" s="436"/>
      <c r="L1016" s="436"/>
      <c r="M1016" s="436"/>
      <c r="N1016" s="436"/>
    </row>
    <row r="1017" spans="4:14" x14ac:dyDescent="0.4">
      <c r="D1017" s="450" t="s">
        <v>1281</v>
      </c>
      <c r="E1017" s="1002">
        <v>-0.33963654223968576</v>
      </c>
      <c r="F1017" s="1002">
        <v>4.3723104712320104E-2</v>
      </c>
      <c r="G1017" s="1002">
        <v>2.5272320065153231E-2</v>
      </c>
      <c r="H1017" s="1002">
        <v>0.43807868933846339</v>
      </c>
      <c r="I1017" s="1003">
        <v>-0.36809763002088625</v>
      </c>
      <c r="J1017" s="1005">
        <v>7.8534746503496455E-2</v>
      </c>
      <c r="K1017" s="436"/>
      <c r="L1017" s="436"/>
      <c r="M1017" s="436"/>
      <c r="N1017" s="436"/>
    </row>
    <row r="1018" spans="4:14" x14ac:dyDescent="0.4">
      <c r="D1018" s="442" t="s">
        <v>1282</v>
      </c>
      <c r="E1018" s="1008">
        <v>0.35026187466136882</v>
      </c>
      <c r="F1018" s="1008">
        <v>9.2156652934567429E-3</v>
      </c>
      <c r="G1018" s="1008">
        <v>-3.8142949915841662E-2</v>
      </c>
      <c r="H1018" s="1008">
        <v>-0.23586634516017901</v>
      </c>
      <c r="I1018" s="1006">
        <v>0.36657229925888513</v>
      </c>
      <c r="J1018" s="1007">
        <v>-0.99404903280289236</v>
      </c>
      <c r="K1018" s="436"/>
      <c r="L1018" s="436"/>
      <c r="M1018" s="436"/>
      <c r="N1018" s="436"/>
    </row>
    <row r="1019" spans="4:14" x14ac:dyDescent="0.4">
      <c r="D1019" s="436"/>
      <c r="E1019" s="436"/>
      <c r="F1019" s="436"/>
      <c r="G1019" s="436"/>
      <c r="H1019" s="436"/>
      <c r="I1019" s="436"/>
      <c r="J1019" s="436"/>
      <c r="K1019" s="436"/>
      <c r="L1019" s="436"/>
      <c r="M1019" s="436"/>
      <c r="N1019" s="436"/>
    </row>
    <row r="1020" spans="4:14" x14ac:dyDescent="0.4">
      <c r="D1020" s="436"/>
      <c r="E1020" s="436"/>
      <c r="F1020" s="436"/>
      <c r="G1020" s="436"/>
      <c r="H1020" s="436"/>
      <c r="I1020" s="436"/>
      <c r="J1020" s="436"/>
      <c r="K1020" s="436"/>
      <c r="L1020" s="436"/>
      <c r="M1020" s="436"/>
      <c r="N1020" s="436"/>
    </row>
    <row r="1021" spans="4:14" x14ac:dyDescent="0.4">
      <c r="D1021" s="442" t="s">
        <v>1284</v>
      </c>
      <c r="E1021" s="1009" t="s">
        <v>655</v>
      </c>
      <c r="F1021" s="1009" t="s">
        <v>656</v>
      </c>
      <c r="G1021" s="1009" t="s">
        <v>657</v>
      </c>
      <c r="H1021" s="1010" t="s">
        <v>658</v>
      </c>
      <c r="I1021" s="1010" t="s">
        <v>659</v>
      </c>
      <c r="J1021" s="442" t="s">
        <v>660</v>
      </c>
      <c r="K1021" s="436"/>
      <c r="L1021" s="436"/>
      <c r="M1021" s="436"/>
      <c r="N1021" s="436"/>
    </row>
    <row r="1022" spans="4:14" x14ac:dyDescent="0.4">
      <c r="D1022" s="1011" t="s">
        <v>1285</v>
      </c>
      <c r="E1022" s="1012">
        <v>7.0240224327128953E-2</v>
      </c>
      <c r="F1022" s="1013">
        <v>-6.4525525765658731E-2</v>
      </c>
      <c r="G1022" s="1013">
        <v>-4.9184611547278267E-2</v>
      </c>
      <c r="H1022" s="1014">
        <v>-8.6129269039816436E-2</v>
      </c>
      <c r="I1022" s="1014">
        <v>-2.2507723491275944E-2</v>
      </c>
      <c r="J1022" s="1014">
        <v>5.4005043320043411E-2</v>
      </c>
      <c r="K1022" s="436"/>
      <c r="L1022" s="436"/>
      <c r="M1022" s="436"/>
      <c r="N1022" s="436"/>
    </row>
    <row r="1023" spans="4:14" x14ac:dyDescent="0.4">
      <c r="D1023" s="1015" t="s">
        <v>65</v>
      </c>
      <c r="E1023" s="1003">
        <v>-5.1667025853467718E-2</v>
      </c>
      <c r="F1023" s="1002">
        <v>-8.9382038421500831E-2</v>
      </c>
      <c r="G1023" s="1002">
        <v>-8.4312283939995902E-2</v>
      </c>
      <c r="H1023" s="1016">
        <v>-5.8113537937180437E-2</v>
      </c>
      <c r="I1023" s="1016">
        <v>2.6597087787223472E-2</v>
      </c>
      <c r="J1023" s="1016">
        <v>0.11675759937646113</v>
      </c>
      <c r="K1023" s="436"/>
      <c r="L1023" s="436"/>
      <c r="M1023" s="436"/>
      <c r="N1023" s="436"/>
    </row>
    <row r="1024" spans="4:14" x14ac:dyDescent="0.4">
      <c r="D1024" s="1015" t="s">
        <v>1280</v>
      </c>
      <c r="E1024" s="1003">
        <v>0.34355147545677411</v>
      </c>
      <c r="F1024" s="1002">
        <v>7.6645813481346359E-4</v>
      </c>
      <c r="G1024" s="1002">
        <v>6.1636399526253438E-2</v>
      </c>
      <c r="H1024" s="1016">
        <v>-0.16559859857640213</v>
      </c>
      <c r="I1024" s="1016">
        <v>-0.10021444078903585</v>
      </c>
      <c r="J1024" s="1016">
        <v>-9.5982281467987485E-2</v>
      </c>
      <c r="K1024" s="436"/>
      <c r="L1024" s="436"/>
      <c r="M1024" s="436"/>
      <c r="N1024" s="436"/>
    </row>
    <row r="1025" spans="4:14" x14ac:dyDescent="0.4">
      <c r="D1025" s="1017" t="s">
        <v>69</v>
      </c>
      <c r="E1025" s="1003">
        <v>0.16863746304756777</v>
      </c>
      <c r="F1025" s="1002">
        <v>-4.2094713104485093E-2</v>
      </c>
      <c r="G1025" s="1002">
        <v>-5.9595455479552584E-2</v>
      </c>
      <c r="H1025" s="1016">
        <v>-3.0520367610531451E-2</v>
      </c>
      <c r="I1025" s="1016">
        <v>-5.8111992641140753E-2</v>
      </c>
      <c r="J1025" s="1016">
        <v>-6.586450431598212E-2</v>
      </c>
      <c r="K1025" s="436"/>
      <c r="L1025" s="436"/>
      <c r="M1025" s="436"/>
      <c r="N1025" s="436"/>
    </row>
    <row r="1026" spans="4:14" x14ac:dyDescent="0.4">
      <c r="D1026" s="1011" t="s">
        <v>78</v>
      </c>
      <c r="E1026" s="1012">
        <v>-5.6029684601113128E-2</v>
      </c>
      <c r="F1026" s="1013">
        <v>-0.69771286855883163</v>
      </c>
      <c r="G1026" s="1013">
        <v>-0.89329181998301721</v>
      </c>
      <c r="H1026" s="1014">
        <v>-0.72936144817982895</v>
      </c>
      <c r="I1026" s="1014">
        <v>-0.81928066037735847</v>
      </c>
      <c r="J1026" s="1014">
        <v>-0.37131570951078696</v>
      </c>
      <c r="K1026" s="436"/>
      <c r="L1026" s="436"/>
      <c r="M1026" s="436"/>
      <c r="N1026" s="436"/>
    </row>
    <row r="1027" spans="4:14" x14ac:dyDescent="0.4">
      <c r="D1027" s="981" t="s">
        <v>1281</v>
      </c>
      <c r="E1027" s="1018">
        <v>-8.6113817712586416E-3</v>
      </c>
      <c r="F1027" s="1008">
        <v>-5.4958270197464909E-2</v>
      </c>
      <c r="G1027" s="1008">
        <v>-2.374893977947401E-2</v>
      </c>
      <c r="H1027" s="1019">
        <v>1.6225792871175981E-2</v>
      </c>
      <c r="I1027" s="1019">
        <v>-2.7572650480794714E-2</v>
      </c>
      <c r="J1027" s="1019">
        <v>4.8610404153517361E-3</v>
      </c>
      <c r="K1027" s="436"/>
      <c r="L1027" s="436"/>
      <c r="M1027" s="436"/>
      <c r="N1027" s="436"/>
    </row>
    <row r="1028" spans="4:14" x14ac:dyDescent="0.4">
      <c r="D1028" s="1017" t="s">
        <v>1286</v>
      </c>
      <c r="E1028" s="1006">
        <v>5.9200258328400146E-3</v>
      </c>
      <c r="F1028" s="1020">
        <v>1.0120888389091753E-2</v>
      </c>
      <c r="G1028" s="1020">
        <v>-2.2683530382182626E-3</v>
      </c>
      <c r="H1028" s="1021">
        <v>1.5712479682139513E-3</v>
      </c>
      <c r="I1028" s="1021">
        <v>1.3669680594938782E-2</v>
      </c>
      <c r="J1028" s="1021">
        <v>-0.9940227691410547</v>
      </c>
      <c r="K1028" s="436"/>
      <c r="L1028" s="436"/>
      <c r="M1028" s="436"/>
      <c r="N1028" s="436"/>
    </row>
  </sheetData>
  <mergeCells count="3">
    <mergeCell ref="D739:J741"/>
    <mergeCell ref="D990:E990"/>
    <mergeCell ref="D991:D996"/>
  </mergeCells>
  <phoneticPr fontId="4" type="noConversion"/>
  <conditionalFormatting sqref="C1:C586 C639:C1048576">
    <cfRule type="duplicateValues" dxfId="1" priority="2"/>
  </conditionalFormatting>
  <conditionalFormatting sqref="C587:C638">
    <cfRule type="duplicateValues" dxfId="0" priority="1"/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workbookViewId="0">
      <selection activeCell="E10" sqref="E10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9" width="14.33203125" style="183" bestFit="1" customWidth="1"/>
    <col min="10" max="10" width="14.1328125" style="183" customWidth="1"/>
    <col min="11" max="11" width="14.33203125" style="183" bestFit="1" customWidth="1"/>
    <col min="12" max="12" width="9.4648437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222</v>
      </c>
      <c r="C1" s="189" t="s">
        <v>223</v>
      </c>
      <c r="D1" s="189"/>
    </row>
    <row r="2" spans="1:11" s="188" customFormat="1" x14ac:dyDescent="0.35">
      <c r="A2" s="187" t="s">
        <v>224</v>
      </c>
      <c r="C2" s="189" t="s">
        <v>225</v>
      </c>
      <c r="D2" s="189"/>
    </row>
    <row r="3" spans="1:11" s="188" customFormat="1" x14ac:dyDescent="0.35">
      <c r="A3" s="187" t="s">
        <v>226</v>
      </c>
      <c r="C3" s="189" t="s">
        <v>227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601818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228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229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230</v>
      </c>
      <c r="E10" s="206">
        <f>[1]!s_stm07_bs($C$6,"W66934046",E6,1,1000000)</f>
        <v>228665.753</v>
      </c>
      <c r="F10" s="206">
        <f>[1]!s_stm07_bs($C$6,"W66934046",F6,1,1000000)</f>
        <v>285478</v>
      </c>
      <c r="G10" s="206">
        <f>[1]!s_stm07_bs($C$6,"W66934046",G6,1,1000000)</f>
        <v>312643</v>
      </c>
      <c r="H10" s="206">
        <f>[1]!s_stm07_bs($C$6,"W66934046",H6,1,1000000)</f>
        <v>354185</v>
      </c>
      <c r="I10" s="206">
        <f>[1]!s_stm07_bs($C$6,"W66934046",I6,1,1000000)</f>
        <v>326735</v>
      </c>
      <c r="J10" s="206">
        <f>[1]!s_stm07_bs($C$6,"W66934046",J6,1,1000000)</f>
        <v>381620</v>
      </c>
      <c r="K10" s="206">
        <f>[1]!s_stm07_bs($C$6,"W66934046",K6,1,1000000)</f>
        <v>360597</v>
      </c>
    </row>
    <row r="11" spans="1:11" ht="13.5" x14ac:dyDescent="0.4">
      <c r="C11" s="207" t="s">
        <v>231</v>
      </c>
      <c r="E11" s="206">
        <f>[1]!s_stm07_bs($C$6,"W49786054",E6,1,1000000)</f>
        <v>105262.951</v>
      </c>
      <c r="F11" s="206">
        <f>[1]!s_stm07_bs($C$6,"W49786054",F6,1,1000000)</f>
        <v>47019</v>
      </c>
      <c r="G11" s="206">
        <f>[1]!s_stm07_bs($C$6,"W49786054",G6,1,1000000)</f>
        <v>67153</v>
      </c>
      <c r="H11" s="206">
        <f>[1]!s_stm07_bs($C$6,"W49786054",H6,1,1000000)</f>
        <v>40316</v>
      </c>
      <c r="I11" s="206">
        <f>[1]!s_stm07_bs($C$6,"W49786054",I6,1,1000000)</f>
        <v>86311</v>
      </c>
      <c r="J11" s="206">
        <f>[1]!s_stm07_bs($C$6,"W49786054",J6,1,1000000)</f>
        <v>232630</v>
      </c>
      <c r="K11" s="206">
        <f>[1]!s_stm07_bs($C$6,"W49786054",K6,1,1000000)</f>
        <v>170216</v>
      </c>
    </row>
    <row r="12" spans="1:11" ht="13.5" x14ac:dyDescent="0.4">
      <c r="C12" s="207" t="s">
        <v>232</v>
      </c>
      <c r="E12" s="206">
        <f>[1]!s_stm07_bs($C$6,"W45840830",E6,1,1000000)</f>
        <v>0</v>
      </c>
      <c r="F12" s="206">
        <f>[1]!s_stm07_bs($C$6,"W45840830",F6,1,1000000)</f>
        <v>0</v>
      </c>
      <c r="G12" s="206">
        <f>[1]!s_stm07_bs($C$6,"W45840830",G6,1,1000000)</f>
        <v>0</v>
      </c>
      <c r="H12" s="206">
        <f>[1]!s_stm07_bs($C$6,"W45840830",H6,1,1000000)</f>
        <v>0</v>
      </c>
      <c r="I12" s="206">
        <f>[1]!s_stm07_bs($C$6,"W45840830",I6,1,1000000)</f>
        <v>0</v>
      </c>
      <c r="J12" s="206">
        <f>[1]!s_stm07_bs($C$6,"W45840830",J6,1,1000000)</f>
        <v>0</v>
      </c>
      <c r="K12" s="206">
        <f>[1]!s_stm07_bs($C$6,"W45840830",K6,1,1000000)</f>
        <v>0</v>
      </c>
    </row>
    <row r="13" spans="1:11" ht="13.5" x14ac:dyDescent="0.4">
      <c r="C13" s="207" t="s">
        <v>233</v>
      </c>
      <c r="E13" s="206">
        <f>[1]!s_stm07_bs($C$6,"W43801822",E6,1,1000000)</f>
        <v>81745.623000000007</v>
      </c>
      <c r="F13" s="206">
        <f>[1]!s_stm07_bs($C$6,"W43801822",F6,1,1000000)</f>
        <v>135979</v>
      </c>
      <c r="G13" s="206">
        <f>[1]!s_stm07_bs($C$6,"W43801822",G6,1,1000000)</f>
        <v>124291</v>
      </c>
      <c r="H13" s="206">
        <f>[1]!s_stm07_bs($C$6,"W43801822",H6,1,1000000)</f>
        <v>132733</v>
      </c>
      <c r="I13" s="206">
        <f>[1]!s_stm07_bs($C$6,"W43801822",I6,1,1000000)</f>
        <v>132361</v>
      </c>
      <c r="J13" s="206">
        <f>[1]!s_stm07_bs($C$6,"W43801822",J6,1,1000000)</f>
        <v>126305</v>
      </c>
      <c r="K13" s="206">
        <f>[1]!s_stm07_bs($C$6,"W43801822",K6,1,1000000)</f>
        <v>157097</v>
      </c>
    </row>
    <row r="14" spans="1:11" ht="13.5" x14ac:dyDescent="0.4">
      <c r="C14" s="207" t="s">
        <v>234</v>
      </c>
      <c r="E14" s="206">
        <f>[1]!s_stm07_bs($C$6,"W43784834",E6,1,1000000)</f>
        <v>22726.633000000002</v>
      </c>
      <c r="F14" s="206">
        <f>[1]!s_stm07_bs($C$6,"W43784834",F6,1,1000000)</f>
        <v>29453</v>
      </c>
      <c r="G14" s="206">
        <f>[1]!s_stm07_bs($C$6,"W43784834",G6,1,1000000)</f>
        <v>12490</v>
      </c>
      <c r="H14" s="206">
        <f>[1]!s_stm07_bs($C$6,"W43784834",H6,1,1000000)</f>
        <v>4377</v>
      </c>
      <c r="I14" s="206">
        <f>[1]!s_stm07_bs($C$6,"W43784834",I6,1,1000000)</f>
        <v>5637</v>
      </c>
      <c r="J14" s="206">
        <f>[1]!s_stm07_bs($C$6,"W43784834",J6,1,1000000)</f>
        <v>7834</v>
      </c>
      <c r="K14" s="206">
        <f>[1]!s_stm07_bs($C$6,"W43784834",K6,1,1000000)</f>
        <v>16968</v>
      </c>
    </row>
    <row r="15" spans="1:11" ht="13.5" x14ac:dyDescent="0.4">
      <c r="C15" s="207" t="s">
        <v>235</v>
      </c>
      <c r="E15" s="206">
        <f>[1]!s_stm07_bs($C$6,"W42630904",E6,1,1000000)</f>
        <v>2261.7930000000001</v>
      </c>
      <c r="F15" s="206">
        <f>[1]!s_stm07_bs($C$6,"W42630904",F6,1,1000000)</f>
        <v>1677</v>
      </c>
      <c r="G15" s="206">
        <f>[1]!s_stm07_bs($C$6,"W42630904",G6,1,1000000)</f>
        <v>1870</v>
      </c>
      <c r="H15" s="206">
        <f>[1]!s_stm07_bs($C$6,"W42630904",H6,1,1000000)</f>
        <v>1082</v>
      </c>
      <c r="I15" s="206">
        <f>[1]!s_stm07_bs($C$6,"W42630904",I6,1,1000000)</f>
        <v>1625</v>
      </c>
      <c r="J15" s="206">
        <f>[1]!s_stm07_bs($C$6,"W42630904",J6,1,1000000)</f>
        <v>4950</v>
      </c>
      <c r="K15" s="206">
        <f>[1]!s_stm07_bs($C$6,"W42630904",K6,1,1000000)</f>
        <v>3090</v>
      </c>
    </row>
    <row r="16" spans="1:11" ht="13.5" x14ac:dyDescent="0.4">
      <c r="C16" s="207" t="s">
        <v>236</v>
      </c>
      <c r="E16" s="206">
        <f>[1]!s_stm07_bs($C$6,"W49720400",E6,1,1000000)</f>
        <v>206940.90599999999</v>
      </c>
      <c r="F16" s="206">
        <f>[1]!s_stm07_bs($C$6,"W49720400",F6,1,1000000)</f>
        <v>230726</v>
      </c>
      <c r="G16" s="206">
        <f>[1]!s_stm07_bs($C$6,"W49720400",G6,1,1000000)</f>
        <v>169182</v>
      </c>
      <c r="H16" s="206">
        <f>[1]!s_stm07_bs($C$6,"W49720400",H6,1,1000000)</f>
        <v>286682</v>
      </c>
      <c r="I16" s="206">
        <f>[1]!s_stm07_bs($C$6,"W49720400",I6,1,1000000)</f>
        <v>153045</v>
      </c>
      <c r="J16" s="206">
        <f>[1]!s_stm07_bs($C$6,"W49720400",J6,1,1000000)</f>
        <v>67000</v>
      </c>
      <c r="K16" s="206">
        <f>[1]!s_stm07_bs($C$6,"W49720400",K6,1,1000000)</f>
        <v>49398</v>
      </c>
    </row>
    <row r="17" spans="3:11" ht="13.5" x14ac:dyDescent="0.4">
      <c r="C17" s="207" t="s">
        <v>237</v>
      </c>
      <c r="E17" s="206">
        <f>[1]!s_stm07_bs($C$6,"W47342125",E6,1,1000000)</f>
        <v>6099.9120000000003</v>
      </c>
      <c r="F17" s="206">
        <f>[1]!s_stm07_bs($C$6,"W47342125",F6,1,1000000)</f>
        <v>10140</v>
      </c>
      <c r="G17" s="206">
        <f>[1]!s_stm07_bs($C$6,"W47342125",G6,1,1000000)</f>
        <v>13074</v>
      </c>
      <c r="H17" s="206">
        <f>[1]!s_stm07_bs($C$6,"W47342125",H6,1,1000000)</f>
        <v>14621</v>
      </c>
      <c r="I17" s="206">
        <f>[1]!s_stm07_bs($C$6,"W47342125",I6,1,1000000)</f>
        <v>18546</v>
      </c>
      <c r="J17" s="206">
        <f>[1]!s_stm07_bs($C$6,"W47342125",J6,1,1000000)</f>
        <v>25339</v>
      </c>
      <c r="K17" s="206">
        <f>[1]!s_stm07_bs($C$6,"W47342125",K6,1,1000000)</f>
        <v>28472</v>
      </c>
    </row>
    <row r="18" spans="3:11" ht="13.5" x14ac:dyDescent="0.4">
      <c r="C18" s="207" t="s">
        <v>238</v>
      </c>
      <c r="E18" s="206">
        <f>[1]!s_stm07_bs($C$6,"W47456352",E6,1,1000000)</f>
        <v>868782.23199999996</v>
      </c>
      <c r="F18" s="206">
        <f>[1]!s_stm07_bs($C$6,"W47456352",F6,1,1000000)</f>
        <v>997331</v>
      </c>
      <c r="G18" s="206">
        <f>[1]!s_stm07_bs($C$6,"W47456352",G6,1,1000000)</f>
        <v>1142138</v>
      </c>
      <c r="H18" s="206">
        <f>[1]!s_stm07_bs($C$6,"W47456352",H6,1,1000000)</f>
        <v>1271430</v>
      </c>
      <c r="I18" s="206">
        <f>[1]!s_stm07_bs($C$6,"W47456352",I6,1,1000000)</f>
        <v>1475424</v>
      </c>
      <c r="J18" s="206">
        <f>[1]!s_stm07_bs($C$6,"W47456352",J6,1,1000000)</f>
        <v>1751644</v>
      </c>
      <c r="K18" s="206">
        <f>[1]!s_stm07_bs($C$6,"W47456352",K6,1,1000000)</f>
        <v>1850311</v>
      </c>
    </row>
    <row r="19" spans="3:11" ht="13.5" x14ac:dyDescent="0.4">
      <c r="C19" s="207" t="s">
        <v>239</v>
      </c>
      <c r="E19" s="206">
        <f>[1]!s_stm07_bs($C$6,"W47556526",E6,1,1000000)</f>
        <v>54402.764999999999</v>
      </c>
      <c r="F19" s="206">
        <f>[1]!s_stm07_bs($C$6,"W47556526",F6,1,1000000)</f>
        <v>91801</v>
      </c>
      <c r="G19" s="206">
        <f>[1]!s_stm07_bs($C$6,"W47556526",G6,1,1000000)</f>
        <v>111849</v>
      </c>
      <c r="H19" s="206">
        <f>[1]!s_stm07_bs($C$6,"W47556526",H6,1,1000000)</f>
        <v>138559</v>
      </c>
      <c r="I19" s="206">
        <f>[1]!s_stm07_bs($C$6,"W47556526",I6,1,1000000)</f>
        <v>222495</v>
      </c>
      <c r="J19" s="206">
        <f>[1]!s_stm07_bs($C$6,"W47556526",J6,1,1000000)</f>
        <v>425131</v>
      </c>
      <c r="K19" s="206">
        <f>[1]!s_stm07_bs($C$6,"W47556526",K6,1,1000000)</f>
        <v>441639</v>
      </c>
    </row>
    <row r="20" spans="3:11" ht="13.5" x14ac:dyDescent="0.4">
      <c r="C20" s="207" t="s">
        <v>240</v>
      </c>
      <c r="E20" s="206">
        <f>[1]!s_stm07_bs($C$6,"W40712817",E6,1,1000000)</f>
        <v>83984.501000000004</v>
      </c>
      <c r="F20" s="206">
        <f>[1]!s_stm07_bs($C$6,"W40712817",F6,1,1000000)</f>
        <v>95824</v>
      </c>
      <c r="G20" s="206">
        <f>[1]!s_stm07_bs($C$6,"W40712817",G6,1,1000000)</f>
        <v>105920</v>
      </c>
      <c r="H20" s="206">
        <f>[1]!s_stm07_bs($C$6,"W40712817",H6,1,1000000)</f>
        <v>111697</v>
      </c>
      <c r="I20" s="206">
        <f>[1]!s_stm07_bs($C$6,"W40712817",I6,1,1000000)</f>
        <v>152312</v>
      </c>
      <c r="J20" s="206">
        <f>[1]!s_stm07_bs($C$6,"W40712817",J6,1,1000000)</f>
        <v>257500</v>
      </c>
      <c r="K20" s="206">
        <f>[1]!s_stm07_bs($C$6,"W40712817",K6,1,1000000)</f>
        <v>287312</v>
      </c>
    </row>
    <row r="21" spans="3:11" ht="13.5" x14ac:dyDescent="0.4">
      <c r="C21" s="207" t="s">
        <v>241</v>
      </c>
      <c r="E21" s="206">
        <f>[1]!s_stm07_bs($C$6,"155",E6,1,1000000)</f>
        <v>0</v>
      </c>
      <c r="F21" s="206">
        <f>[1]!s_stm07_bs($C$6,"155",F6,1,1000000)</f>
        <v>261207</v>
      </c>
      <c r="G21" s="206">
        <f>[1]!s_stm07_bs($C$6,"155",G6,1,1000000)</f>
        <v>262699</v>
      </c>
      <c r="H21" s="206">
        <f>[1]!s_stm07_bs($C$6,"155",H6,1,1000000)</f>
        <v>333911</v>
      </c>
      <c r="I21" s="206">
        <f>[1]!s_stm07_bs($C$6,"155",I6,1,1000000)</f>
        <v>523427</v>
      </c>
      <c r="J21" s="206">
        <f>[1]!s_stm07_bs($C$6,"155",J6,1,1000000)</f>
        <v>627678</v>
      </c>
      <c r="K21" s="206">
        <f>[1]!s_stm07_bs($C$6,"155",K6,1,1000000)</f>
        <v>641625</v>
      </c>
    </row>
    <row r="22" spans="3:11" ht="13.5" x14ac:dyDescent="0.4">
      <c r="C22" s="207" t="s">
        <v>242</v>
      </c>
      <c r="E22" s="206"/>
      <c r="F22" s="206"/>
      <c r="G22" s="206"/>
      <c r="H22" s="206"/>
      <c r="I22" s="206"/>
      <c r="J22" s="206">
        <v>55560</v>
      </c>
      <c r="K22" s="206">
        <v>56788</v>
      </c>
    </row>
    <row r="23" spans="3:11" ht="13.5" x14ac:dyDescent="0.4">
      <c r="C23" s="207" t="s">
        <v>243</v>
      </c>
      <c r="E23" s="206">
        <f>[1]!s_stm07_bs($C$6,"W43362178",E6,1,1000000)</f>
        <v>99.125</v>
      </c>
      <c r="F23" s="206">
        <f>[1]!s_stm07_bs($C$6,"W43362178",F6,1,1000000)</f>
        <v>99</v>
      </c>
      <c r="G23" s="206">
        <f>[1]!s_stm07_bs($C$6,"W43362178",G6,1,1000000)</f>
        <v>99</v>
      </c>
      <c r="H23" s="206">
        <f>[1]!s_stm07_bs($C$6,"W43362178",H6,1,1000000)</f>
        <v>0</v>
      </c>
      <c r="I23" s="206">
        <f>[1]!s_stm07_bs($C$6,"W43362178",I6,1,1000000)</f>
        <v>0</v>
      </c>
      <c r="J23" s="206">
        <f>[1]!s_stm07_bs($C$6,"W43362178",J6,1,1000000)</f>
        <v>0</v>
      </c>
      <c r="K23" s="206">
        <f>[1]!s_stm07_bs($C$6,"W43362178",K6,1,1000000)</f>
        <v>0</v>
      </c>
    </row>
    <row r="24" spans="3:11" ht="13.5" x14ac:dyDescent="0.4">
      <c r="C24" s="207" t="s">
        <v>244</v>
      </c>
      <c r="E24" s="206">
        <f>[1]!s_stm07_bs($C$6,"W44672706",E6,1,1000000)</f>
        <v>10810.272999999999</v>
      </c>
      <c r="F24" s="206">
        <f>[1]!s_stm07_bs($C$6,"W44672706",F6,1,1000000)</f>
        <v>11869</v>
      </c>
      <c r="G24" s="206">
        <f>[1]!s_stm07_bs($C$6,"W44672706",G6,1,1000000)</f>
        <v>12629</v>
      </c>
      <c r="H24" s="206">
        <f>[1]!s_stm07_bs($C$6,"W44672706",H6,1,1000000)</f>
        <v>13043</v>
      </c>
      <c r="I24" s="206">
        <f>[1]!s_stm07_bs($C$6,"W44672706",I6,1,1000000)</f>
        <v>12646</v>
      </c>
      <c r="J24" s="206">
        <f>[1]!s_stm07_bs($C$6,"W44672706",J6,1,1000000)</f>
        <v>14228</v>
      </c>
      <c r="K24" s="206">
        <f>[1]!s_stm07_bs($C$6,"W44672706",K6,1,1000000)</f>
        <v>14145</v>
      </c>
    </row>
    <row r="25" spans="3:11" ht="13.5" x14ac:dyDescent="0.4">
      <c r="C25" s="183" t="s">
        <v>245</v>
      </c>
      <c r="E25" s="206">
        <f>[1]!s_stm07_bs($C$6,"W14444311",E6,1,1000000)</f>
        <v>0</v>
      </c>
      <c r="F25" s="206">
        <f>[1]!s_stm07_bs($C$6,"W14444311",F6,1,1000000)</f>
        <v>0</v>
      </c>
      <c r="G25" s="206">
        <f>[1]!s_stm07_bs($C$6,"W14444311",G6,1,1000000)</f>
        <v>0</v>
      </c>
      <c r="H25" s="206">
        <f>[1]!s_stm07_bs($C$6,"W14444311",H6,1,1000000)</f>
        <v>0</v>
      </c>
      <c r="I25" s="206">
        <f>[1]!s_stm07_bs($C$6,"W14444311",I6,1,1000000)</f>
        <v>0</v>
      </c>
      <c r="J25" s="206">
        <f>[1]!s_stm07_bs($C$6,"W14444311",J6,1,1000000)</f>
        <v>0</v>
      </c>
      <c r="K25" s="206">
        <f>[1]!s_stm07_bs($C$6,"W14444311",K6,1,1000000)</f>
        <v>0</v>
      </c>
    </row>
    <row r="26" spans="3:11" ht="13.5" x14ac:dyDescent="0.4">
      <c r="C26" s="183" t="s">
        <v>246</v>
      </c>
      <c r="E26" s="206">
        <f>[1]!s_stm07_bs($C$6,"W45280150",E6,1,1000000)</f>
        <v>530.13099999999997</v>
      </c>
      <c r="F26" s="206">
        <f>[1]!s_stm07_bs($C$6,"W45280150",F6,1,1000000)</f>
        <v>660</v>
      </c>
      <c r="G26" s="206">
        <f>[1]!s_stm07_bs($C$6,"W45280150",G6,1,1000000)</f>
        <v>763</v>
      </c>
      <c r="H26" s="206">
        <f>[1]!s_stm07_bs($C$6,"W45280150",H6,1,1000000)</f>
        <v>922</v>
      </c>
      <c r="I26" s="206">
        <f>[1]!s_stm07_bs($C$6,"W45280150",I6,1,1000000)</f>
        <v>946</v>
      </c>
      <c r="J26" s="206">
        <f>[1]!s_stm07_bs($C$6,"W45280150",J6,1,1000000)</f>
        <v>950</v>
      </c>
      <c r="K26" s="206">
        <f>[1]!s_stm07_bs($C$6,"W45280150",K6,1,1000000)</f>
        <v>916</v>
      </c>
    </row>
    <row r="27" spans="3:11" ht="13.5" x14ac:dyDescent="0.4">
      <c r="C27" s="183" t="s">
        <v>247</v>
      </c>
      <c r="E27" s="206">
        <f>[1]!s_stm07_bs_39($C$6,E6,1,1000000)</f>
        <v>1281</v>
      </c>
      <c r="F27" s="206">
        <f>[1]!s_stm07_bs_39($C$6,F6,1,1000000)</f>
        <v>1281</v>
      </c>
      <c r="G27" s="206">
        <f>[1]!s_stm07_bs_39($C$6,G6,1,1000000)</f>
        <v>1281</v>
      </c>
      <c r="H27" s="206">
        <f>[1]!s_stm07_bs_39($C$6,H6,1,1000000)</f>
        <v>1281</v>
      </c>
      <c r="I27" s="206">
        <f>[1]!s_stm07_bs_39($C$6,I6,1,1000000)</f>
        <v>1281</v>
      </c>
      <c r="J27" s="206">
        <f>[1]!s_stm07_bs_39($C$6,J6,1,1000000)</f>
        <v>1281</v>
      </c>
      <c r="K27" s="206">
        <f>[1]!s_stm07_bs_39($C$6,K6,1,1000000)</f>
        <v>1281</v>
      </c>
    </row>
    <row r="28" spans="3:11" ht="13.5" x14ac:dyDescent="0.4">
      <c r="C28" s="183" t="s">
        <v>248</v>
      </c>
      <c r="E28" s="206">
        <f>[1]!s_stm07_bs($C$6,"W41861522",E6,1,1000000)</f>
        <v>1856.7080000000001</v>
      </c>
      <c r="F28" s="206">
        <f>[1]!s_stm07_bs($C$6,"W41861522",F6,1,1000000)</f>
        <v>2454</v>
      </c>
      <c r="G28" s="206">
        <f>[1]!s_stm07_bs($C$6,"W41861522",G6,1,1000000)</f>
        <v>4015</v>
      </c>
      <c r="H28" s="206">
        <f>[1]!s_stm07_bs($C$6,"W41861522",H6,1,1000000)</f>
        <v>3034</v>
      </c>
      <c r="I28" s="206">
        <f>[1]!s_stm07_bs($C$6,"W41861522",I6,1,1000000)</f>
        <v>3923</v>
      </c>
      <c r="J28" s="206">
        <f>[1]!s_stm07_bs($C$6,"W41861522",J6,1,1000000)</f>
        <v>5622</v>
      </c>
      <c r="K28" s="206">
        <f>[1]!s_stm07_bs($C$6,"W41861522",K6,1,1000000)</f>
        <v>6298</v>
      </c>
    </row>
    <row r="29" spans="3:11" ht="13.5" x14ac:dyDescent="0.4">
      <c r="C29" s="183" t="s">
        <v>249</v>
      </c>
      <c r="E29" s="208">
        <f t="shared" ref="E29:J29" si="0">E30-SUM(E10:E28)</f>
        <v>57895.300999999978</v>
      </c>
      <c r="F29" s="208">
        <f t="shared" si="0"/>
        <v>76297</v>
      </c>
      <c r="G29" s="208">
        <f t="shared" si="0"/>
        <v>72990</v>
      </c>
      <c r="H29" s="208">
        <f t="shared" si="0"/>
        <v>29137</v>
      </c>
      <c r="I29" s="208">
        <f t="shared" si="0"/>
        <v>50996</v>
      </c>
      <c r="J29" s="208">
        <f t="shared" si="0"/>
        <v>34770</v>
      </c>
      <c r="K29" s="208">
        <f>K30-SUM(K10:K28)</f>
        <v>40827</v>
      </c>
    </row>
    <row r="30" spans="3:11" ht="13.9" thickBot="1" x14ac:dyDescent="0.45">
      <c r="C30" s="209" t="s">
        <v>250</v>
      </c>
      <c r="E30" s="210">
        <f>[1]!s_stm07_bs($C$6,"W45407132",E6,1,1000000)</f>
        <v>1733345.6070000001</v>
      </c>
      <c r="F30" s="210">
        <f>[1]!s_stm07_bs($C$6,"W45407132",F6,1,1000000)</f>
        <v>2279295</v>
      </c>
      <c r="G30" s="210">
        <f>[1]!s_stm07_bs($C$6,"W45407132",G6,1,1000000)</f>
        <v>2415086</v>
      </c>
      <c r="H30" s="210">
        <f>[1]!s_stm07_bs($C$6,"W45407132",H6,1,1000000)</f>
        <v>2737010</v>
      </c>
      <c r="I30" s="210">
        <f>[1]!s_stm07_bs($C$6,"W45407132",I6,1,1000000)</f>
        <v>3167710</v>
      </c>
      <c r="J30" s="210">
        <f>[1]!s_stm07_bs($C$6,"W45407132",J6,1,1000000)</f>
        <v>4020042</v>
      </c>
      <c r="K30" s="210">
        <f>[1]!s_stm07_bs($C$6,"W45407132",K6,1,1000000)</f>
        <v>4126980</v>
      </c>
    </row>
    <row r="31" spans="3:11" x14ac:dyDescent="0.4">
      <c r="E31" s="211">
        <f>[1]!s_stm07_bs($C$6,"W94536297",E6,1,1000000)-E29</f>
        <v>0</v>
      </c>
      <c r="F31" s="211">
        <f>[1]!s_stm07_bs($C$6,"W94536297",F6,1,1000000)-F29</f>
        <v>0</v>
      </c>
      <c r="G31" s="211">
        <f>[1]!s_stm07_bs($C$6,"W94536297",G6,1,1000000)-G29</f>
        <v>0</v>
      </c>
      <c r="H31" s="211">
        <f>[1]!s_stm07_bs($C$6,"W94536297",H6,1,1000000)-H29</f>
        <v>0</v>
      </c>
      <c r="I31" s="211">
        <f>[1]!s_stm07_bs($C$6,"W94536297",I6,1,1000000)-I29</f>
        <v>0</v>
      </c>
      <c r="J31" s="211">
        <f>[1]!s_stm07_bs($C$6,"W94536297",J6,1,1000000)-J29</f>
        <v>0</v>
      </c>
      <c r="K31" s="211">
        <f>[1]!s_stm07_bs($C$6,"W94536297",K6,1,1000000)-K29</f>
        <v>0</v>
      </c>
    </row>
    <row r="32" spans="3:11" ht="13.9" thickBot="1" x14ac:dyDescent="0.45">
      <c r="C32" s="212" t="s">
        <v>251</v>
      </c>
      <c r="G32" s="213"/>
      <c r="H32" s="213"/>
      <c r="I32" s="214"/>
      <c r="J32" s="214"/>
      <c r="K32" s="214"/>
    </row>
    <row r="33" spans="3:11" ht="13.5" x14ac:dyDescent="0.4">
      <c r="C33" s="205" t="s">
        <v>252</v>
      </c>
      <c r="E33" s="215">
        <f>[1]!s_stm07_bs($C$6,"W41637162",E6,1,1000000)</f>
        <v>0</v>
      </c>
      <c r="F33" s="215">
        <f>[1]!s_stm07_bs($C$6,"W41637162",F6,1,1000000)</f>
        <v>0</v>
      </c>
      <c r="G33" s="215">
        <f>[1]!s_stm07_bs($C$6,"W41637162",G6,1,1000000)</f>
        <v>0</v>
      </c>
      <c r="H33" s="215">
        <f>[1]!s_stm07_bs($C$6,"W41637162",H6,1,1000000)</f>
        <v>30040</v>
      </c>
      <c r="I33" s="215">
        <f>[1]!s_stm07_bs($C$6,"W41637162",I6,1,1000000)</f>
        <v>14840</v>
      </c>
      <c r="J33" s="215">
        <f>[1]!s_stm07_bs($C$6,"W41637162",J6,1,1000000)</f>
        <v>187000</v>
      </c>
      <c r="K33" s="215">
        <f>[1]!s_stm07_bs($C$6,"W41637162",K6,1,1000000)</f>
        <v>211500</v>
      </c>
    </row>
    <row r="34" spans="3:11" ht="13.5" x14ac:dyDescent="0.4">
      <c r="C34" s="207" t="s">
        <v>253</v>
      </c>
      <c r="E34" s="206">
        <f>[1]!s_stm07_bs($C$6,"W49756518",E6,1,1000000)</f>
        <v>270627.08199999999</v>
      </c>
      <c r="F34" s="206">
        <f>[1]!s_stm07_bs($C$6,"W49756518",F6,1,1000000)</f>
        <v>527561</v>
      </c>
      <c r="G34" s="206">
        <f>[1]!s_stm07_bs($C$6,"W49756518",G6,1,1000000)</f>
        <v>438604</v>
      </c>
      <c r="H34" s="206">
        <f>[1]!s_stm07_bs($C$6,"W49756518",H6,1,1000000)</f>
        <v>507187</v>
      </c>
      <c r="I34" s="206">
        <f>[1]!s_stm07_bs($C$6,"W49756518",I6,1,1000000)</f>
        <v>541066</v>
      </c>
      <c r="J34" s="206">
        <f>[1]!s_stm07_bs($C$6,"W49756518",J6,1,1000000)</f>
        <v>830354</v>
      </c>
      <c r="K34" s="206">
        <f>[1]!s_stm07_bs($C$6,"W49756518",K6,1,1000000)</f>
        <v>581096</v>
      </c>
    </row>
    <row r="35" spans="3:11" ht="13.5" x14ac:dyDescent="0.4">
      <c r="C35" s="207" t="s">
        <v>254</v>
      </c>
      <c r="E35" s="206">
        <f>[1]!s_stm07_bs($C$6,"W45694480",E6,1,1000000)</f>
        <v>27361.978999999999</v>
      </c>
      <c r="F35" s="206">
        <f>[1]!s_stm07_bs($C$6,"W45694480",F6,1,1000000)</f>
        <v>23205</v>
      </c>
      <c r="G35" s="206">
        <f>[1]!s_stm07_bs($C$6,"W45694480",G6,1,1000000)</f>
        <v>50817</v>
      </c>
      <c r="H35" s="206">
        <f>[1]!s_stm07_bs($C$6,"W45694480",H6,1,1000000)</f>
        <v>36744</v>
      </c>
      <c r="I35" s="206">
        <f>[1]!s_stm07_bs($C$6,"W45694480",I6,1,1000000)</f>
        <v>60305</v>
      </c>
      <c r="J35" s="206">
        <f>[1]!s_stm07_bs($C$6,"W45694480",J6,1,1000000)</f>
        <v>95501</v>
      </c>
      <c r="K35" s="206">
        <f>[1]!s_stm07_bs($C$6,"W45694480",K6,1,1000000)</f>
        <v>107193</v>
      </c>
    </row>
    <row r="36" spans="3:11" ht="13.5" x14ac:dyDescent="0.4">
      <c r="C36" s="207" t="s">
        <v>255</v>
      </c>
      <c r="E36" s="206">
        <f>[1]!s_stm07_bs($C$6,"W49459692",E6,1,1000000)</f>
        <v>46477.970999999998</v>
      </c>
      <c r="F36" s="206">
        <f>[1]!s_stm07_bs($C$6,"W49459692",F6,1,1000000)</f>
        <v>0</v>
      </c>
      <c r="G36" s="206">
        <f>[1]!s_stm07_bs($C$6,"W49459692",G6,1,1000000)</f>
        <v>0</v>
      </c>
      <c r="H36" s="206">
        <f>[1]!s_stm07_bs($C$6,"W49459692",H6,1,1000000)</f>
        <v>0</v>
      </c>
      <c r="I36" s="206">
        <f>[1]!s_stm07_bs($C$6,"W49459692",I6,1,1000000)</f>
        <v>0</v>
      </c>
      <c r="J36" s="206">
        <f>[1]!s_stm07_bs($C$6,"W49459692",J6,1,1000000)</f>
        <v>0</v>
      </c>
      <c r="K36" s="206">
        <f>[1]!s_stm07_bs($C$6,"W49459692",K6,1,1000000)</f>
        <v>0</v>
      </c>
    </row>
    <row r="37" spans="3:11" ht="13.5" x14ac:dyDescent="0.4">
      <c r="C37" s="207" t="s">
        <v>256</v>
      </c>
      <c r="E37" s="206">
        <f>[1]!s_stm07_bs($C$6,"W43138898",E6,1,1000000)</f>
        <v>3062.4870000000001</v>
      </c>
      <c r="F37" s="206">
        <f>[1]!s_stm07_bs($C$6,"W43138898",F6,1,1000000)</f>
        <v>1861</v>
      </c>
      <c r="G37" s="206">
        <f>[1]!s_stm07_bs($C$6,"W43138898",G6,1,1000000)</f>
        <v>2465</v>
      </c>
      <c r="H37" s="206">
        <f>[1]!s_stm07_bs($C$6,"W43138898",H6,1,1000000)</f>
        <v>781</v>
      </c>
      <c r="I37" s="206">
        <f>[1]!s_stm07_bs($C$6,"W43138898",I6,1,1000000)</f>
        <v>1391</v>
      </c>
      <c r="J37" s="206">
        <f>[1]!s_stm07_bs($C$6,"W43138898",J6,1,1000000)</f>
        <v>4368</v>
      </c>
      <c r="K37" s="206">
        <f>[1]!s_stm07_bs($C$6,"W43138898",K6,1,1000000)</f>
        <v>2789</v>
      </c>
    </row>
    <row r="38" spans="3:11" ht="13.5" x14ac:dyDescent="0.4">
      <c r="C38" s="207" t="s">
        <v>257</v>
      </c>
      <c r="E38" s="206">
        <f>[1]!s_stm07_bs($C$6,"W47648264",E6,1,1000000)</f>
        <v>40608.968999999997</v>
      </c>
      <c r="F38" s="206">
        <f>[1]!s_stm07_bs($C$6,"W47648264",F6,1,1000000)</f>
        <v>74285</v>
      </c>
      <c r="G38" s="206">
        <f>[1]!s_stm07_bs($C$6,"W47648264",G6,1,1000000)</f>
        <v>63164</v>
      </c>
      <c r="H38" s="206">
        <f>[1]!s_stm07_bs($C$6,"W47648264",H6,1,1000000)</f>
        <v>51772</v>
      </c>
      <c r="I38" s="206">
        <f>[1]!s_stm07_bs($C$6,"W47648264",I6,1,1000000)</f>
        <v>58873</v>
      </c>
      <c r="J38" s="206">
        <f>[1]!s_stm07_bs($C$6,"W47648264",J6,1,1000000)</f>
        <v>41195</v>
      </c>
      <c r="K38" s="206">
        <f>[1]!s_stm07_bs($C$6,"W47648264",K6,1,1000000)</f>
        <v>28938</v>
      </c>
    </row>
    <row r="39" spans="3:11" ht="13.5" x14ac:dyDescent="0.4">
      <c r="C39" s="216" t="s">
        <v>258</v>
      </c>
      <c r="E39" s="217"/>
      <c r="F39" s="217"/>
      <c r="G39" s="217"/>
      <c r="H39" s="217"/>
      <c r="I39" s="217"/>
      <c r="J39" s="217"/>
      <c r="K39" s="217"/>
    </row>
    <row r="40" spans="3:11" ht="13.5" x14ac:dyDescent="0.4">
      <c r="C40" s="207" t="s">
        <v>259</v>
      </c>
      <c r="E40" s="206">
        <f>[1]!s_stm07_bs($C$6,"W47888059",E6,1,1000000)</f>
        <v>1178800.3289999999</v>
      </c>
      <c r="F40" s="206">
        <f>[1]!s_stm07_bs($C$6,"W47888059",F6,1,1000000)</f>
        <v>1426941</v>
      </c>
      <c r="G40" s="206">
        <f>[1]!s_stm07_bs($C$6,"W47888059",G6,1,1000000)</f>
        <v>1605278</v>
      </c>
      <c r="H40" s="206">
        <f>[1]!s_stm07_bs($C$6,"W47888059",H6,1,1000000)</f>
        <v>1785337</v>
      </c>
      <c r="I40" s="206">
        <f>[1]!s_stm07_bs($C$6,"W47888059",I6,1,1000000)</f>
        <v>1993843</v>
      </c>
      <c r="J40" s="206">
        <f>[1]!s_stm07_bs($C$6,"W47888059",J6,1,1000000)</f>
        <v>2120887</v>
      </c>
      <c r="K40" s="206">
        <f>[1]!s_stm07_bs($C$6,"W47888059",K6,1,1000000)</f>
        <v>2243298</v>
      </c>
    </row>
    <row r="41" spans="3:11" ht="13.5" x14ac:dyDescent="0.4">
      <c r="C41" s="207" t="s">
        <v>260</v>
      </c>
      <c r="E41" s="206">
        <f>[1]!s_stm07_bs($C$6,"W40315239",E6,1,1000000)</f>
        <v>6256.8280000000004</v>
      </c>
      <c r="F41" s="206">
        <f>[1]!s_stm07_bs($C$6,"W40315239",F6,1,1000000)</f>
        <v>7405</v>
      </c>
      <c r="G41" s="206">
        <f>[1]!s_stm07_bs($C$6,"W40315239",G6,1,1000000)</f>
        <v>8149</v>
      </c>
      <c r="H41" s="206">
        <f>[1]!s_stm07_bs($C$6,"W40315239",H6,1,1000000)</f>
        <v>9668</v>
      </c>
      <c r="I41" s="206">
        <f>[1]!s_stm07_bs($C$6,"W40315239",I6,1,1000000)</f>
        <v>11217</v>
      </c>
      <c r="J41" s="206">
        <f>[1]!s_stm07_bs($C$6,"W40315239",J6,1,1000000)</f>
        <v>7776</v>
      </c>
      <c r="K41" s="206">
        <f>[1]!s_stm07_bs($C$6,"W40315239",K6,1,1000000)</f>
        <v>6749</v>
      </c>
    </row>
    <row r="42" spans="3:11" ht="13.5" x14ac:dyDescent="0.4">
      <c r="C42" s="207" t="s">
        <v>261</v>
      </c>
      <c r="E42" s="206">
        <f>[1]!s_stm07_bs($C$6,"W41970448",E6,1,1000000)</f>
        <v>2534.1129999999998</v>
      </c>
      <c r="F42" s="206">
        <f>[1]!s_stm07_bs($C$6,"W41970448",F6,1,1000000)</f>
        <v>3174</v>
      </c>
      <c r="G42" s="206">
        <f>[1]!s_stm07_bs($C$6,"W41970448",G6,1,1000000)</f>
        <v>2605</v>
      </c>
      <c r="H42" s="206">
        <f>[1]!s_stm07_bs($C$6,"W41970448",H6,1,1000000)</f>
        <v>3829</v>
      </c>
      <c r="I42" s="206">
        <f>[1]!s_stm07_bs($C$6,"W41970448",I6,1,1000000)</f>
        <v>6392</v>
      </c>
      <c r="J42" s="206">
        <f>[1]!s_stm07_bs($C$6,"W41970448",J6,1,1000000)</f>
        <v>4501</v>
      </c>
      <c r="K42" s="206">
        <f>[1]!s_stm07_bs($C$6,"W41970448",K6,1,1000000)</f>
        <v>6377</v>
      </c>
    </row>
    <row r="43" spans="3:11" ht="13.5" x14ac:dyDescent="0.4">
      <c r="C43" s="207" t="s">
        <v>262</v>
      </c>
      <c r="E43" s="206">
        <f>[1]!s_stm07_bs($C$6,"W43255562",E6,1,1000000)</f>
        <v>12625.216</v>
      </c>
      <c r="F43" s="206">
        <f>[1]!s_stm07_bs($C$6,"W43255562",F6,1,1000000)</f>
        <v>18414</v>
      </c>
      <c r="G43" s="206">
        <f>[1]!s_stm07_bs($C$6,"W43255562",G6,1,1000000)</f>
        <v>20949</v>
      </c>
      <c r="H43" s="206">
        <f>[1]!s_stm07_bs($C$6,"W43255562",H6,1,1000000)</f>
        <v>29950</v>
      </c>
      <c r="I43" s="206">
        <f>[1]!s_stm07_bs($C$6,"W43255562",I6,1,1000000)</f>
        <v>30612</v>
      </c>
      <c r="J43" s="206">
        <f>[1]!s_stm07_bs($C$6,"W43255562",J6,1,1000000)</f>
        <v>33576</v>
      </c>
      <c r="K43" s="206">
        <f>[1]!s_stm07_bs($C$6,"W43255562",K6,1,1000000)</f>
        <v>34930</v>
      </c>
    </row>
    <row r="44" spans="3:11" ht="13.5" x14ac:dyDescent="0.4">
      <c r="C44" s="216" t="s">
        <v>263</v>
      </c>
      <c r="E44" s="206">
        <f>[1]!s_stm07_bs($C$6,"W92205118",E6,1,1000000)</f>
        <v>17.117999999999999</v>
      </c>
      <c r="F44" s="206">
        <f>[1]!s_stm07_bs($C$6,"W92205118",F6,1,1000000)</f>
        <v>17</v>
      </c>
      <c r="G44" s="206">
        <f>[1]!s_stm07_bs($C$6,"W92205118",G6,1,1000000)</f>
        <v>326</v>
      </c>
      <c r="H44" s="206">
        <f>[1]!s_stm07_bs($C$6,"W92205118",H6,1,1000000)</f>
        <v>424</v>
      </c>
      <c r="I44" s="206">
        <f>[1]!s_stm07_bs($C$6,"W92205118",I6,1,1000000)</f>
        <v>446</v>
      </c>
      <c r="J44" s="206">
        <f>[1]!s_stm07_bs($C$6,"W92205118",J6,1,1000000)</f>
        <v>415</v>
      </c>
      <c r="K44" s="206">
        <f>[1]!s_stm07_bs($C$6,"W92205118",K6,1,1000000)</f>
        <v>407</v>
      </c>
    </row>
    <row r="45" spans="3:11" ht="13.5" x14ac:dyDescent="0.4">
      <c r="C45" s="207" t="s">
        <v>264</v>
      </c>
      <c r="E45" s="206">
        <f>[1]!s_stm07_bs($C$6,"W41002911",E6,1,1000000)</f>
        <v>16000</v>
      </c>
      <c r="F45" s="206">
        <f>[1]!s_stm07_bs($C$6,"W41002911",F6,1,1000000)</f>
        <v>52700</v>
      </c>
      <c r="G45" s="206">
        <f>[1]!s_stm07_bs($C$6,"W41002911",G6,1,1000000)</f>
        <v>42247</v>
      </c>
      <c r="H45" s="206">
        <f>[1]!s_stm07_bs($C$6,"W41002911",H6,1,1000000)</f>
        <v>89676</v>
      </c>
      <c r="I45" s="206">
        <f>[1]!s_stm07_bs($C$6,"W41002911",I6,1,1000000)</f>
        <v>210061</v>
      </c>
      <c r="J45" s="206">
        <f>[1]!s_stm07_bs($C$6,"W41002911",J6,1,1000000)</f>
        <v>412500</v>
      </c>
      <c r="K45" s="206">
        <f>[1]!s_stm07_bs($C$6,"W41002911",K6,1,1000000)</f>
        <v>606074</v>
      </c>
    </row>
    <row r="46" spans="3:11" ht="13.5" x14ac:dyDescent="0.4">
      <c r="C46" s="183" t="s">
        <v>265</v>
      </c>
      <c r="E46" s="206">
        <f>[1]!s_stm07_bs($C$6,"W47653457",E6,1,1000000)</f>
        <v>0</v>
      </c>
      <c r="F46" s="206">
        <f>[1]!s_stm07_bs($C$6,"W47653457",F6,1,1000000)</f>
        <v>0</v>
      </c>
      <c r="G46" s="206">
        <f>[1]!s_stm07_bs($C$6,"W47653457",G6,1,1000000)</f>
        <v>0</v>
      </c>
      <c r="H46" s="206">
        <f>[1]!s_stm07_bs($C$6,"W47653457",H6,1,1000000)</f>
        <v>0</v>
      </c>
      <c r="I46" s="206">
        <f>[1]!s_stm07_bs($C$6,"W47653457",I6,1,1000000)</f>
        <v>0</v>
      </c>
      <c r="J46" s="206">
        <f>[1]!s_stm07_bs($C$6,"W47653457",J6,1,1000000)</f>
        <v>0</v>
      </c>
      <c r="K46" s="206">
        <f>[1]!s_stm07_bs($C$6,"W47653457",K6,1,1000000)</f>
        <v>0</v>
      </c>
    </row>
    <row r="47" spans="3:11" ht="13.5" x14ac:dyDescent="0.4">
      <c r="C47" s="183" t="s">
        <v>266</v>
      </c>
      <c r="E47" s="208">
        <f t="shared" ref="E47:K47" si="1">E48-SUM(E33:E46)</f>
        <v>32823.882000000216</v>
      </c>
      <c r="F47" s="208">
        <f t="shared" si="1"/>
        <v>29410</v>
      </c>
      <c r="G47" s="208">
        <f t="shared" si="1"/>
        <v>27430</v>
      </c>
      <c r="H47" s="208">
        <f t="shared" si="1"/>
        <v>12119</v>
      </c>
      <c r="I47" s="208">
        <f t="shared" si="1"/>
        <v>14617</v>
      </c>
      <c r="J47" s="208">
        <f t="shared" si="1"/>
        <v>30901</v>
      </c>
      <c r="K47" s="208">
        <f t="shared" si="1"/>
        <v>33896</v>
      </c>
    </row>
    <row r="48" spans="3:11" ht="13.9" thickBot="1" x14ac:dyDescent="0.45">
      <c r="C48" s="209" t="s">
        <v>267</v>
      </c>
      <c r="E48" s="210">
        <f>[1]!s_stm07_bs($C$6,"W47401840",E6,1,1000000)</f>
        <v>1637195.9739999999</v>
      </c>
      <c r="F48" s="210">
        <f>[1]!s_stm07_bs($C$6,"W47401840",F6,1,1000000)</f>
        <v>2164973</v>
      </c>
      <c r="G48" s="210">
        <f>[1]!s_stm07_bs($C$6,"W47401840",G6,1,1000000)</f>
        <v>2262034</v>
      </c>
      <c r="H48" s="210">
        <f>[1]!s_stm07_bs($C$6,"W47401840",H6,1,1000000)</f>
        <v>2557527</v>
      </c>
      <c r="I48" s="210">
        <f>[1]!s_stm07_bs($C$6,"W47401840",I6,1,1000000)</f>
        <v>2943663</v>
      </c>
      <c r="J48" s="210">
        <f>[1]!s_stm07_bs($C$6,"W47401840",J6,1,1000000)</f>
        <v>3768974</v>
      </c>
      <c r="K48" s="210">
        <f>[1]!s_stm07_bs($C$6,"W47401840",K6,1,1000000)</f>
        <v>3863247</v>
      </c>
    </row>
    <row r="49" spans="3:11" x14ac:dyDescent="0.4">
      <c r="E49" s="211">
        <f>[1]!s_stm07_bs($C$6,"W95894192",E6,1,1000000)-E47</f>
        <v>-2.1827872842550278E-10</v>
      </c>
      <c r="F49" s="211">
        <f>[1]!s_stm07_bs($C$6,"W95894192",F6,1,1000000)-F47</f>
        <v>0</v>
      </c>
      <c r="G49" s="211">
        <f>[1]!s_stm07_bs($C$6,"W95894192",G6,1,1000000)-G47</f>
        <v>0</v>
      </c>
      <c r="H49" s="211">
        <f>[1]!s_stm07_bs($C$6,"W95894192",H6,1,1000000)-H47</f>
        <v>0</v>
      </c>
      <c r="I49" s="211">
        <f>[1]!s_stm07_bs($C$6,"W95894192",I6,1,1000000)-I47</f>
        <v>0</v>
      </c>
      <c r="J49" s="211">
        <f>[1]!s_stm07_bs($C$6,"W95894192",J6,1,1000000)-J47</f>
        <v>0</v>
      </c>
      <c r="K49" s="211">
        <f>[1]!s_stm07_bs($C$6,"W95894192",K6,1,1000000)-K47</f>
        <v>0</v>
      </c>
    </row>
    <row r="50" spans="3:11" ht="13.9" thickBot="1" x14ac:dyDescent="0.45">
      <c r="C50" s="212" t="s">
        <v>268</v>
      </c>
      <c r="E50" s="211">
        <f>SUM(E51:E58)-E59</f>
        <v>0</v>
      </c>
      <c r="F50" s="211">
        <f t="shared" ref="F50:K50" si="2">SUM(F51:F58)-F59</f>
        <v>0</v>
      </c>
      <c r="G50" s="211">
        <f t="shared" si="2"/>
        <v>0</v>
      </c>
      <c r="H50" s="211">
        <f t="shared" si="2"/>
        <v>0</v>
      </c>
      <c r="I50" s="211">
        <f>SUM(I51:I58)-I59</f>
        <v>0</v>
      </c>
      <c r="J50" s="211">
        <f t="shared" si="2"/>
        <v>0</v>
      </c>
      <c r="K50" s="211">
        <f t="shared" si="2"/>
        <v>0</v>
      </c>
    </row>
    <row r="51" spans="3:11" ht="13.5" x14ac:dyDescent="0.4">
      <c r="C51" s="218" t="s">
        <v>269</v>
      </c>
      <c r="E51" s="215">
        <f>[1]!s_stm07_bs($C$6,"W43225999",E6,1,1000000)</f>
        <v>40434.79</v>
      </c>
      <c r="F51" s="215">
        <f>[1]!s_stm07_bs($C$6,"W43225999",F6,1,1000000)</f>
        <v>40435</v>
      </c>
      <c r="G51" s="215">
        <f>[1]!s_stm07_bs($C$6,"W43225999",G6,1,1000000)</f>
        <v>46277</v>
      </c>
      <c r="H51" s="215">
        <f>[1]!s_stm07_bs($C$6,"W43225999",H6,1,1000000)</f>
        <v>46679</v>
      </c>
      <c r="I51" s="215">
        <f>[1]!s_stm07_bs($C$6,"W43225999",I6,1,1000000)</f>
        <v>46679</v>
      </c>
      <c r="J51" s="215">
        <f>[1]!s_stm07_bs($C$6,"W43225999",J6,1,1000000)</f>
        <v>46679</v>
      </c>
      <c r="K51" s="215">
        <f>[1]!s_stm07_bs($C$6,"W43225999",K6,1,1000000)</f>
        <v>46679</v>
      </c>
    </row>
    <row r="52" spans="3:11" ht="13.5" x14ac:dyDescent="0.4">
      <c r="C52" s="219" t="s">
        <v>270</v>
      </c>
      <c r="E52" s="220">
        <f>[1]!s_stm07_bs_164($C$6,E6,1,1000000)</f>
        <v>0</v>
      </c>
      <c r="F52" s="220">
        <f>[1]!s_stm07_bs_164($C$6,F6,1,1000000)</f>
        <v>0</v>
      </c>
      <c r="G52" s="220">
        <f>[1]!s_stm07_bs_164($C$6,G6,1,1000000)</f>
        <v>0</v>
      </c>
      <c r="H52" s="220">
        <f>[1]!s_stm07_bs_164($C$6,H6,1,1000000)</f>
        <v>0</v>
      </c>
      <c r="I52" s="220">
        <f>[1]!s_stm07_bs_164($C$6,I6,1,1000000)</f>
        <v>19965</v>
      </c>
      <c r="J52" s="220">
        <f>[1]!s_stm07_bs_164($C$6,J6,1,1000000)</f>
        <v>29947</v>
      </c>
      <c r="K52" s="220">
        <f>[1]!s_stm07_bs_164($C$6,K6,1,1000000)</f>
        <v>35108</v>
      </c>
    </row>
    <row r="53" spans="3:11" ht="13.5" x14ac:dyDescent="0.4">
      <c r="C53" s="183" t="s">
        <v>271</v>
      </c>
      <c r="E53" s="206">
        <f>[1]!s_stm07_bs($C$6,"W42156082",E6,1,1000000)</f>
        <v>20328.167000000001</v>
      </c>
      <c r="F53" s="206">
        <f>[1]!s_stm07_bs($C$6,"W42156082",F6,1,1000000)</f>
        <v>20258</v>
      </c>
      <c r="G53" s="206">
        <f>[1]!s_stm07_bs($C$6,"W42156082",G6,1,1000000)</f>
        <v>28707</v>
      </c>
      <c r="H53" s="206">
        <f>[1]!s_stm07_bs($C$6,"W42156082",H6,1,1000000)</f>
        <v>33365</v>
      </c>
      <c r="I53" s="206">
        <f>[1]!s_stm07_bs($C$6,"W42156082",I6,1,1000000)</f>
        <v>33365</v>
      </c>
      <c r="J53" s="206">
        <f>[1]!s_stm07_bs($C$6,"W42156082",J6,1,1000000)</f>
        <v>33365</v>
      </c>
      <c r="K53" s="206">
        <f>[1]!s_stm07_bs($C$6,"W42156082",K6,1,1000000)</f>
        <v>33365</v>
      </c>
    </row>
    <row r="54" spans="3:11" ht="13.5" x14ac:dyDescent="0.4">
      <c r="C54" s="183" t="s">
        <v>272</v>
      </c>
      <c r="E54" s="206">
        <f>[1]!s_stm07_bs($C$6,"163",E6,1,1000000)</f>
        <v>0</v>
      </c>
      <c r="F54" s="206">
        <f>[1]!s_stm07_bs($C$6,"163",F6,1,1000000)</f>
        <v>0</v>
      </c>
      <c r="G54" s="206">
        <f>[1]!s_stm07_bs($C$6,"163",G6,1,1000000)</f>
        <v>0</v>
      </c>
      <c r="H54" s="206">
        <f>[1]!s_stm07_bs($C$6,"163",H6,1,1000000)</f>
        <v>222</v>
      </c>
      <c r="I54" s="206">
        <f>[1]!s_stm07_bs($C$6,"163",I6,1,1000000)</f>
        <v>3929</v>
      </c>
      <c r="J54" s="206">
        <f>[1]!s_stm07_bs($C$6,"163",J6,1,1000000)</f>
        <v>509</v>
      </c>
      <c r="K54" s="206">
        <f>[1]!s_stm07_bs($C$6,"163",K6,1,1000000)</f>
        <v>-586</v>
      </c>
    </row>
    <row r="55" spans="3:11" ht="13.5" x14ac:dyDescent="0.4">
      <c r="C55" s="183" t="s">
        <v>273</v>
      </c>
      <c r="E55" s="206">
        <f>[1]!s_stm07_bs($C$6,"W48226390",E6,1,1000000)</f>
        <v>4225.6260000000002</v>
      </c>
      <c r="F55" s="206">
        <f>[1]!s_stm07_bs($C$6,"W48226390",F6,1,1000000)</f>
        <v>6560</v>
      </c>
      <c r="G55" s="206">
        <f>[1]!s_stm07_bs($C$6,"W48226390",G6,1,1000000)</f>
        <v>9199</v>
      </c>
      <c r="H55" s="206">
        <f>[1]!s_stm07_bs($C$6,"W48226390",H6,1,1000000)</f>
        <v>12050</v>
      </c>
      <c r="I55" s="206">
        <f>[1]!s_stm07_bs($C$6,"W48226390",I6,1,1000000)</f>
        <v>14964</v>
      </c>
      <c r="J55" s="206">
        <f>[1]!s_stm07_bs($C$6,"W48226390",J6,1,1000000)</f>
        <v>17951</v>
      </c>
      <c r="K55" s="206">
        <f>[1]!s_stm07_bs($C$6,"W48226390",K6,1,1000000)</f>
        <v>17951</v>
      </c>
    </row>
    <row r="56" spans="3:11" ht="13.5" x14ac:dyDescent="0.4">
      <c r="C56" s="183" t="s">
        <v>274</v>
      </c>
      <c r="E56" s="206">
        <f>[1]!s_stm07_bs($C$6,"W44631682",E6,1,1000000)</f>
        <v>13876.648999999999</v>
      </c>
      <c r="F56" s="206">
        <f>[1]!s_stm07_bs($C$6,"W44631682",F6,1,1000000)</f>
        <v>28063</v>
      </c>
      <c r="G56" s="206">
        <f>[1]!s_stm07_bs($C$6,"W44631682",G6,1,1000000)</f>
        <v>29861</v>
      </c>
      <c r="H56" s="206">
        <f>[1]!s_stm07_bs($C$6,"W44631682",H6,1,1000000)</f>
        <v>33903</v>
      </c>
      <c r="I56" s="206">
        <f>[1]!s_stm07_bs($C$6,"W44631682",I6,1,1000000)</f>
        <v>40271</v>
      </c>
      <c r="J56" s="206">
        <f>[1]!s_stm07_bs($C$6,"W44631682",J6,1,1000000)</f>
        <v>51447</v>
      </c>
      <c r="K56" s="206">
        <f>[1]!s_stm07_bs($C$6,"W44631682",K6,1,1000000)</f>
        <v>51447</v>
      </c>
    </row>
    <row r="57" spans="3:11" ht="13.5" x14ac:dyDescent="0.4">
      <c r="C57" s="183" t="s">
        <v>275</v>
      </c>
      <c r="E57" s="206">
        <f>[1]!s_stm07_bs($C$6,"W43705838",E6,1,1000000)</f>
        <v>17168.932000000001</v>
      </c>
      <c r="F57" s="206">
        <f>[1]!s_stm07_bs($C$6,"W43705838",F6,1,1000000)</f>
        <v>18862</v>
      </c>
      <c r="G57" s="206">
        <f>[1]!s_stm07_bs($C$6,"W43705838",G6,1,1000000)</f>
        <v>38795</v>
      </c>
      <c r="H57" s="206">
        <f>[1]!s_stm07_bs($C$6,"W43705838",H6,1,1000000)</f>
        <v>52756</v>
      </c>
      <c r="I57" s="206">
        <f>[1]!s_stm07_bs($C$6,"W43705838",I6,1,1000000)</f>
        <v>64320</v>
      </c>
      <c r="J57" s="206">
        <f>[1]!s_stm07_bs($C$6,"W43705838",J6,1,1000000)</f>
        <v>70557</v>
      </c>
      <c r="K57" s="206">
        <f>[1]!s_stm07_bs($C$6,"W43705838",K6,1,1000000)</f>
        <v>79136</v>
      </c>
    </row>
    <row r="58" spans="3:11" ht="13.5" x14ac:dyDescent="0.4">
      <c r="C58" s="183" t="s">
        <v>276</v>
      </c>
      <c r="E58" s="221">
        <f>[1]!s_stm07_bs($C$6,"W43561211",E6,1,1000000)</f>
        <v>0</v>
      </c>
      <c r="F58" s="221">
        <f>[1]!s_stm07_bs($C$6,"W43561211",F6,1,1000000)</f>
        <v>0</v>
      </c>
      <c r="G58" s="221">
        <f>[1]!s_stm07_bs($C$6,"W43561211",G6,1,1000000)</f>
        <v>0</v>
      </c>
      <c r="H58" s="221">
        <f>[1]!s_stm07_bs($C$6,"W43561211",H6,1,1000000)</f>
        <v>0</v>
      </c>
      <c r="I58" s="221">
        <f>[1]!s_stm07_bs($C$6,"W43561211",I6,1,1000000)</f>
        <v>0</v>
      </c>
      <c r="J58" s="221">
        <f>[1]!s_stm07_bs($C$6,"W43561211",J6,1,1000000)</f>
        <v>0</v>
      </c>
      <c r="K58" s="221">
        <f>[1]!s_stm07_bs($C$6,"W43561211",K6,1,1000000)</f>
        <v>0</v>
      </c>
    </row>
    <row r="59" spans="3:11" ht="13.5" x14ac:dyDescent="0.4">
      <c r="C59" s="222" t="s">
        <v>277</v>
      </c>
      <c r="E59" s="223">
        <f>[1]!s_stm07_bs($C$6,"W43740284",E6,1,1000000)</f>
        <v>96034.164000000004</v>
      </c>
      <c r="F59" s="223">
        <f>[1]!s_stm07_bs($C$6,"W43740284",F6,1,1000000)</f>
        <v>114178</v>
      </c>
      <c r="G59" s="223">
        <f>[1]!s_stm07_bs($C$6,"W43740284",G6,1,1000000)</f>
        <v>152839</v>
      </c>
      <c r="H59" s="223">
        <f>[1]!s_stm07_bs($C$6,"W43740284",H6,1,1000000)</f>
        <v>178975</v>
      </c>
      <c r="I59" s="223">
        <f>[1]!s_stm07_bs($C$6,"W43740284",I6,1,1000000)</f>
        <v>223493</v>
      </c>
      <c r="J59" s="223">
        <f>[1]!s_stm07_bs($C$6,"W43740284",J6,1,1000000)</f>
        <v>250455</v>
      </c>
      <c r="K59" s="223">
        <f>[1]!s_stm07_bs($C$6,"W43740284",K6,1,1000000)</f>
        <v>263100</v>
      </c>
    </row>
    <row r="60" spans="3:11" ht="13.5" x14ac:dyDescent="0.4">
      <c r="C60" s="224" t="s">
        <v>278</v>
      </c>
      <c r="E60" s="225">
        <f>[1]!s_stm07_bs($C$6,"W44301909",E6,1,1000000)</f>
        <v>115.46899999999999</v>
      </c>
      <c r="F60" s="225">
        <f>[1]!s_stm07_bs($C$6,"W44301909",F6,1,1000000)</f>
        <v>144</v>
      </c>
      <c r="G60" s="225">
        <f>[1]!s_stm07_bs($C$6,"W44301909",G6,1,1000000)</f>
        <v>213</v>
      </c>
      <c r="H60" s="225">
        <f>[1]!s_stm07_bs($C$6,"W44301909",H6,1,1000000)</f>
        <v>508</v>
      </c>
      <c r="I60" s="225">
        <f>[1]!s_stm07_bs($C$6,"W44301909",I6,1,1000000)</f>
        <v>554</v>
      </c>
      <c r="J60" s="225">
        <f>[1]!s_stm07_bs($C$6,"W44301909",J6,1,1000000)</f>
        <v>613</v>
      </c>
      <c r="K60" s="225">
        <f>[1]!s_stm07_bs($C$6,"W44301909",K6,1,1000000)</f>
        <v>633</v>
      </c>
    </row>
    <row r="61" spans="3:11" ht="13.5" x14ac:dyDescent="0.4">
      <c r="C61" s="226" t="s">
        <v>279</v>
      </c>
      <c r="E61" s="227">
        <f t="shared" ref="E61:I61" si="3">E59+E60</f>
        <v>96149.633000000002</v>
      </c>
      <c r="F61" s="227">
        <f t="shared" si="3"/>
        <v>114322</v>
      </c>
      <c r="G61" s="227">
        <f t="shared" si="3"/>
        <v>153052</v>
      </c>
      <c r="H61" s="227">
        <f t="shared" si="3"/>
        <v>179483</v>
      </c>
      <c r="I61" s="227">
        <f t="shared" si="3"/>
        <v>224047</v>
      </c>
      <c r="J61" s="227">
        <f>J59+J60</f>
        <v>251068</v>
      </c>
      <c r="K61" s="227">
        <f>K59+K60</f>
        <v>263733</v>
      </c>
    </row>
    <row r="62" spans="3:11" ht="13.9" thickBot="1" x14ac:dyDescent="0.45">
      <c r="C62" s="228" t="s">
        <v>280</v>
      </c>
      <c r="E62" s="229">
        <f t="shared" ref="E62:J62" si="4">E61+E48</f>
        <v>1733345.6069999998</v>
      </c>
      <c r="F62" s="229">
        <f t="shared" si="4"/>
        <v>2279295</v>
      </c>
      <c r="G62" s="229">
        <f t="shared" si="4"/>
        <v>2415086</v>
      </c>
      <c r="H62" s="229">
        <f t="shared" si="4"/>
        <v>2737010</v>
      </c>
      <c r="I62" s="229">
        <f t="shared" si="4"/>
        <v>3167710</v>
      </c>
      <c r="J62" s="229">
        <f t="shared" si="4"/>
        <v>4020042</v>
      </c>
      <c r="K62" s="229">
        <f>K61+K48</f>
        <v>4126980</v>
      </c>
    </row>
    <row r="63" spans="3:11" s="231" customFormat="1" ht="13.5" x14ac:dyDescent="0.4">
      <c r="C63" s="230" t="s">
        <v>281</v>
      </c>
      <c r="E63" s="232">
        <f t="shared" ref="E63:K63" si="5">E30-E62</f>
        <v>0</v>
      </c>
      <c r="F63" s="232">
        <f t="shared" si="5"/>
        <v>0</v>
      </c>
      <c r="G63" s="232">
        <f t="shared" si="5"/>
        <v>0</v>
      </c>
      <c r="H63" s="232">
        <f t="shared" si="5"/>
        <v>0</v>
      </c>
      <c r="I63" s="232">
        <f t="shared" si="5"/>
        <v>0</v>
      </c>
      <c r="J63" s="232">
        <f t="shared" si="5"/>
        <v>0</v>
      </c>
      <c r="K63" s="232">
        <f t="shared" si="5"/>
        <v>0</v>
      </c>
    </row>
    <row r="64" spans="3:11" x14ac:dyDescent="0.4">
      <c r="E64" s="211"/>
      <c r="F64" s="211"/>
      <c r="G64" s="211"/>
      <c r="H64" s="211"/>
      <c r="I64" s="211"/>
      <c r="J64" s="211"/>
      <c r="K64" s="211"/>
    </row>
    <row r="65" spans="2:11" x14ac:dyDescent="0.4">
      <c r="E65" s="211"/>
      <c r="F65" s="211"/>
      <c r="G65" s="211"/>
      <c r="H65" s="211"/>
      <c r="I65" s="211"/>
      <c r="J65" s="211"/>
      <c r="K65" s="211"/>
    </row>
    <row r="66" spans="2:11" ht="13.9" thickBot="1" x14ac:dyDescent="0.45">
      <c r="B66" s="233" t="s">
        <v>282</v>
      </c>
      <c r="E66" s="211">
        <f>[1]!s_stm07_is($C$6,"W16498900",E6,1,1000000)-E67</f>
        <v>0</v>
      </c>
      <c r="F66" s="211">
        <f>[1]!s_stm07_is($C$6,"W16498900",F6,1,1000000)-F67</f>
        <v>0</v>
      </c>
      <c r="G66" s="211">
        <f>[1]!s_stm07_is($C$6,"W16498900",G6,1,1000000)-G67</f>
        <v>0</v>
      </c>
      <c r="H66" s="211">
        <f>[1]!s_stm07_is($C$6,"W16498900",H6,1,1000000)-H67</f>
        <v>0</v>
      </c>
      <c r="I66" s="211">
        <f>[1]!s_stm07_is($C$6,"W16498900",I6,1,1000000)-I67</f>
        <v>0</v>
      </c>
      <c r="J66" s="211">
        <f>[1]!s_stm07_is($C$6,"W16498900",J6,1,1000000)-J67</f>
        <v>0</v>
      </c>
      <c r="K66" s="211">
        <f>[1]!s_stm07_is($C$6,"W16498900",K6,1,1000000)-K67</f>
        <v>0</v>
      </c>
    </row>
    <row r="67" spans="2:11" ht="13.5" x14ac:dyDescent="0.4">
      <c r="C67" s="234" t="s">
        <v>283</v>
      </c>
      <c r="E67" s="235">
        <f t="shared" ref="E67:J67" si="6">E68+E71</f>
        <v>46072.552999999993</v>
      </c>
      <c r="F67" s="235">
        <f t="shared" si="6"/>
        <v>59916</v>
      </c>
      <c r="G67" s="235">
        <f t="shared" si="6"/>
        <v>65306</v>
      </c>
      <c r="H67" s="235">
        <f t="shared" si="6"/>
        <v>78531</v>
      </c>
      <c r="I67" s="235">
        <f t="shared" si="6"/>
        <v>93159</v>
      </c>
      <c r="J67" s="235">
        <f t="shared" si="6"/>
        <v>94037</v>
      </c>
      <c r="K67" s="235">
        <f>K68+K71</f>
        <v>23657</v>
      </c>
    </row>
    <row r="68" spans="2:11" ht="13.5" x14ac:dyDescent="0.4">
      <c r="C68" s="183" t="s">
        <v>284</v>
      </c>
      <c r="E68" s="211">
        <f t="shared" ref="E68:J68" si="7">E69+E70</f>
        <v>39440.23599999999</v>
      </c>
      <c r="F68" s="211">
        <f t="shared" si="7"/>
        <v>50263</v>
      </c>
      <c r="G68" s="211">
        <f t="shared" si="7"/>
        <v>50862</v>
      </c>
      <c r="H68" s="211">
        <f t="shared" si="7"/>
        <v>58259</v>
      </c>
      <c r="I68" s="211">
        <f t="shared" si="7"/>
        <v>66459</v>
      </c>
      <c r="J68" s="211">
        <f t="shared" si="7"/>
        <v>65288</v>
      </c>
      <c r="K68" s="211">
        <f>K69+K70</f>
        <v>15203</v>
      </c>
    </row>
    <row r="69" spans="2:11" ht="13.5" x14ac:dyDescent="0.4">
      <c r="C69" s="183" t="s">
        <v>285</v>
      </c>
      <c r="E69" s="206">
        <f>[1]!s_stm07_is($C$6,"W66665549",E6,1,1000000)</f>
        <v>77884.592999999993</v>
      </c>
      <c r="F69" s="206">
        <f>[1]!s_stm07_is($C$6,"W66665549",F6,1,1000000)</f>
        <v>103971</v>
      </c>
      <c r="G69" s="206">
        <f>[1]!s_stm07_is($C$6,"W66665549",G6,1,1000000)</f>
        <v>120082</v>
      </c>
      <c r="H69" s="206">
        <f>[1]!s_stm07_is($C$6,"W66665549",H6,1,1000000)</f>
        <v>133926</v>
      </c>
      <c r="I69" s="206">
        <f>[1]!s_stm07_is($C$6,"W66665549",I6,1,1000000)</f>
        <v>141907</v>
      </c>
      <c r="J69" s="206">
        <f>[1]!s_stm07_is($C$6,"W66665549",J6,1,1000000)</f>
        <v>143450</v>
      </c>
      <c r="K69" s="206">
        <f>[1]!s_stm07_is($C$6,"W66665549",K6,1,1000000)</f>
        <v>38671</v>
      </c>
    </row>
    <row r="70" spans="2:11" s="236" customFormat="1" ht="13.5" x14ac:dyDescent="0.4">
      <c r="C70" s="236" t="s">
        <v>286</v>
      </c>
      <c r="E70" s="221">
        <f>0-[1]!s_stm07_is($C$6,"W62987874",E6,1,1000000)</f>
        <v>-38444.357000000004</v>
      </c>
      <c r="F70" s="221">
        <f>0-[1]!s_stm07_is($C$6,"W62987874",F6,1,1000000)</f>
        <v>-53708</v>
      </c>
      <c r="G70" s="221">
        <f>0-[1]!s_stm07_is($C$6,"W62987874",G6,1,1000000)</f>
        <v>-69220</v>
      </c>
      <c r="H70" s="221">
        <f>0-[1]!s_stm07_is($C$6,"W62987874",H6,1,1000000)</f>
        <v>-75667</v>
      </c>
      <c r="I70" s="221">
        <f>0-[1]!s_stm07_is($C$6,"W62987874",I6,1,1000000)</f>
        <v>-75448</v>
      </c>
      <c r="J70" s="221">
        <f>0-[1]!s_stm07_is($C$6,"W62987874",J6,1,1000000)</f>
        <v>-78162</v>
      </c>
      <c r="K70" s="221">
        <f>0-[1]!s_stm07_is($C$6,"W62987874",K6,1,1000000)</f>
        <v>-23468</v>
      </c>
    </row>
    <row r="71" spans="2:11" ht="13.5" x14ac:dyDescent="0.4">
      <c r="C71" s="237" t="s">
        <v>287</v>
      </c>
      <c r="E71" s="238">
        <f t="shared" ref="E71:J71" si="8">E72+E75</f>
        <v>6632.317</v>
      </c>
      <c r="F71" s="238">
        <f t="shared" si="8"/>
        <v>9653</v>
      </c>
      <c r="G71" s="238">
        <f t="shared" si="8"/>
        <v>14444</v>
      </c>
      <c r="H71" s="238">
        <f t="shared" si="8"/>
        <v>20272</v>
      </c>
      <c r="I71" s="238">
        <f t="shared" si="8"/>
        <v>26700</v>
      </c>
      <c r="J71" s="238">
        <f t="shared" si="8"/>
        <v>28749</v>
      </c>
      <c r="K71" s="238">
        <f>K72+K75</f>
        <v>8454</v>
      </c>
    </row>
    <row r="72" spans="2:11" ht="13.5" x14ac:dyDescent="0.4">
      <c r="C72" s="183" t="s">
        <v>288</v>
      </c>
      <c r="E72" s="211">
        <f t="shared" ref="E72:J72" si="9">E73+E74</f>
        <v>6973.1189999999997</v>
      </c>
      <c r="F72" s="211">
        <f t="shared" si="9"/>
        <v>9479</v>
      </c>
      <c r="G72" s="211">
        <f t="shared" si="9"/>
        <v>14952</v>
      </c>
      <c r="H72" s="211">
        <f t="shared" si="9"/>
        <v>19157</v>
      </c>
      <c r="I72" s="211">
        <f t="shared" si="9"/>
        <v>26301</v>
      </c>
      <c r="J72" s="211">
        <f t="shared" si="9"/>
        <v>28112</v>
      </c>
      <c r="K72" s="211">
        <f>K73+K74</f>
        <v>8208</v>
      </c>
    </row>
    <row r="73" spans="2:11" ht="13.5" x14ac:dyDescent="0.4">
      <c r="C73" s="183" t="s">
        <v>289</v>
      </c>
      <c r="E73" s="206">
        <f>[1]!s_stm07_is($C$6,"W68082914",E6,1,1000000)</f>
        <v>7381.076</v>
      </c>
      <c r="F73" s="206">
        <f>[1]!s_stm07_is($C$6,"W68082914",F6,1,1000000)</f>
        <v>9994</v>
      </c>
      <c r="G73" s="206">
        <f>[1]!s_stm07_is($C$6,"W68082914",G6,1,1000000)</f>
        <v>15762</v>
      </c>
      <c r="H73" s="206">
        <f>[1]!s_stm07_is($C$6,"W68082914",H6,1,1000000)</f>
        <v>20445</v>
      </c>
      <c r="I73" s="206">
        <f>[1]!s_stm07_is($C$6,"W68082914",I6,1,1000000)</f>
        <v>27745</v>
      </c>
      <c r="J73" s="206">
        <f>[1]!s_stm07_is($C$6,"W68082914",J6,1,1000000)</f>
        <v>29932</v>
      </c>
      <c r="K73" s="206">
        <f>[1]!s_stm07_is($C$6,"W68082914",K6,1,1000000)</f>
        <v>8666</v>
      </c>
    </row>
    <row r="74" spans="2:11" ht="13.5" x14ac:dyDescent="0.4">
      <c r="C74" s="224" t="s">
        <v>290</v>
      </c>
      <c r="E74" s="225">
        <f>0-[1]!s_stm07_is($C$6,"W62767802",E6,1,1000000)</f>
        <v>-407.95699999999999</v>
      </c>
      <c r="F74" s="225">
        <f>0-[1]!s_stm07_is($C$6,"W62767802",F6,1,1000000)</f>
        <v>-515</v>
      </c>
      <c r="G74" s="225">
        <f>0-[1]!s_stm07_is($C$6,"W62767802",G6,1,1000000)</f>
        <v>-810</v>
      </c>
      <c r="H74" s="225">
        <f>0-[1]!s_stm07_is($C$6,"W62767802",H6,1,1000000)</f>
        <v>-1288</v>
      </c>
      <c r="I74" s="225">
        <f>0-[1]!s_stm07_is($C$6,"W62767802",I6,1,1000000)</f>
        <v>-1444</v>
      </c>
      <c r="J74" s="225">
        <f>0-[1]!s_stm07_is($C$6,"W62767802",J6,1,1000000)</f>
        <v>-1820</v>
      </c>
      <c r="K74" s="225">
        <f>0-[1]!s_stm07_is($C$6,"W62767802",K6,1,1000000)</f>
        <v>-458</v>
      </c>
    </row>
    <row r="75" spans="2:11" ht="13.5" x14ac:dyDescent="0.4">
      <c r="C75" s="183" t="s">
        <v>291</v>
      </c>
      <c r="E75" s="211">
        <f t="shared" ref="E75:J75" si="10">SUM(E76:E79)</f>
        <v>-340.80200000000008</v>
      </c>
      <c r="F75" s="211">
        <f t="shared" si="10"/>
        <v>174</v>
      </c>
      <c r="G75" s="211">
        <f t="shared" si="10"/>
        <v>-508</v>
      </c>
      <c r="H75" s="211">
        <f t="shared" si="10"/>
        <v>1115</v>
      </c>
      <c r="I75" s="211">
        <f t="shared" si="10"/>
        <v>399</v>
      </c>
      <c r="J75" s="211">
        <f t="shared" si="10"/>
        <v>637</v>
      </c>
      <c r="K75" s="211">
        <f>SUM(K76:K79)</f>
        <v>246</v>
      </c>
    </row>
    <row r="76" spans="2:11" ht="13.5" x14ac:dyDescent="0.4">
      <c r="C76" s="183" t="s">
        <v>292</v>
      </c>
      <c r="E76" s="206">
        <f>[1]!s_stm07_is($C$6,"W68338469",E6,1,1000000)</f>
        <v>-1042.576</v>
      </c>
      <c r="F76" s="206">
        <f>[1]!s_stm07_is($C$6,"W68338469",F6,1,1000000)</f>
        <v>201</v>
      </c>
      <c r="G76" s="206">
        <f>[1]!s_stm07_is($C$6,"W68338469",G6,1,1000000)</f>
        <v>-524</v>
      </c>
      <c r="H76" s="206">
        <f>[1]!s_stm07_is($C$6,"W68338469",H6,1,1000000)</f>
        <v>1300</v>
      </c>
      <c r="I76" s="206">
        <f>[1]!s_stm07_is($C$6,"W68338469",I6,1,1000000)</f>
        <v>41</v>
      </c>
      <c r="J76" s="206">
        <f>[1]!s_stm07_is($C$6,"W68338469",J6,1,1000000)</f>
        <v>213</v>
      </c>
      <c r="K76" s="206">
        <f>[1]!s_stm07_is($C$6,"W68338469",K6,1,1000000)</f>
        <v>-359</v>
      </c>
    </row>
    <row r="77" spans="2:11" ht="13.5" x14ac:dyDescent="0.4">
      <c r="C77" s="183" t="s">
        <v>293</v>
      </c>
      <c r="E77" s="206">
        <f>[1]!s_stm07_is($C$6,"W63091148",E6,1,1000000)</f>
        <v>760.25199999999995</v>
      </c>
      <c r="F77" s="206">
        <f>[1]!s_stm07_is($C$6,"W63091148",F6,1,1000000)</f>
        <v>208</v>
      </c>
      <c r="G77" s="206">
        <f>[1]!s_stm07_is($C$6,"W63091148",G6,1,1000000)</f>
        <v>367</v>
      </c>
      <c r="H77" s="206">
        <f>[1]!s_stm07_is($C$6,"W63091148",H6,1,1000000)</f>
        <v>-210</v>
      </c>
      <c r="I77" s="206">
        <f>[1]!s_stm07_is($C$6,"W63091148",I6,1,1000000)</f>
        <v>-72</v>
      </c>
      <c r="J77" s="206">
        <f>[1]!s_stm07_is($C$6,"W63091148",J6,1,1000000)</f>
        <v>338</v>
      </c>
      <c r="K77" s="206">
        <f>[1]!s_stm07_is($C$6,"W63091148",K6,1,1000000)</f>
        <v>494</v>
      </c>
    </row>
    <row r="78" spans="2:11" ht="13.5" x14ac:dyDescent="0.4">
      <c r="C78" s="183" t="s">
        <v>294</v>
      </c>
      <c r="E78" s="206">
        <f>[1]!s_stm07_is($C$6,"W66065632",E6,1,1000000)</f>
        <v>-133.089</v>
      </c>
      <c r="F78" s="206">
        <f>[1]!s_stm07_is($C$6,"W66065632",F6,1,1000000)</f>
        <v>-361</v>
      </c>
      <c r="G78" s="206">
        <f>[1]!s_stm07_is($C$6,"W66065632",G6,1,1000000)</f>
        <v>-475</v>
      </c>
      <c r="H78" s="206">
        <f>[1]!s_stm07_is($C$6,"W66065632",H6,1,1000000)</f>
        <v>-117</v>
      </c>
      <c r="I78" s="206">
        <f>[1]!s_stm07_is($C$6,"W66065632",I6,1,1000000)</f>
        <v>311</v>
      </c>
      <c r="J78" s="206">
        <f>[1]!s_stm07_is($C$6,"W66065632",J6,1,1000000)</f>
        <v>-246</v>
      </c>
      <c r="K78" s="206">
        <f>[1]!s_stm07_is($C$6,"W66065632",K6,1,1000000)</f>
        <v>38</v>
      </c>
    </row>
    <row r="79" spans="2:11" ht="13.9" thickBot="1" x14ac:dyDescent="0.45">
      <c r="C79" s="239" t="s">
        <v>295</v>
      </c>
      <c r="E79" s="240">
        <f>[1]!s_stm07_is_85($C$6,E6,1,1000000)</f>
        <v>74.611000000000004</v>
      </c>
      <c r="F79" s="240">
        <f>[1]!s_stm07_is_85($C$6,F6,1,1000000)</f>
        <v>126</v>
      </c>
      <c r="G79" s="240">
        <f>[1]!s_stm07_is_85($C$6,G6,1,1000000)</f>
        <v>124</v>
      </c>
      <c r="H79" s="240">
        <f>[1]!s_stm07_is_85($C$6,H6,1,1000000)</f>
        <v>142</v>
      </c>
      <c r="I79" s="240">
        <f>[1]!s_stm07_is_85($C$6,I6,1,1000000)</f>
        <v>119</v>
      </c>
      <c r="J79" s="240">
        <f>[1]!s_stm07_is_85($C$6,J6,1,1000000)</f>
        <v>332</v>
      </c>
      <c r="K79" s="240">
        <f>[1]!s_stm07_is_85($C$6,K6,1,1000000)</f>
        <v>73</v>
      </c>
    </row>
    <row r="80" spans="2:11" ht="13.5" thickBot="1" x14ac:dyDescent="0.45">
      <c r="E80" s="241">
        <f>[1]!s_stm07_is($C$6,"W96716848",E6,1,1000000)+E81</f>
        <v>0</v>
      </c>
      <c r="F80" s="241">
        <f>[1]!s_stm07_is($C$6,"W96716848",F6,1,1000000)+F81</f>
        <v>0</v>
      </c>
      <c r="G80" s="241">
        <f>[1]!s_stm07_is($C$6,"W96716848",G6,1,1000000)+G81</f>
        <v>0</v>
      </c>
      <c r="H80" s="241">
        <f>[1]!s_stm07_is($C$6,"W96716848",H6,1,1000000)+H81</f>
        <v>0</v>
      </c>
      <c r="I80" s="241">
        <f>[1]!s_stm07_is($C$6,"W96716848",I6,1,1000000)+I81</f>
        <v>0</v>
      </c>
      <c r="J80" s="241">
        <f>[1]!s_stm07_is($C$6,"W96716848",J6,1,1000000)+J81</f>
        <v>0</v>
      </c>
      <c r="K80" s="241">
        <f>[1]!s_stm07_is($C$6,"W96716848",K6,1,1000000)+K81</f>
        <v>0</v>
      </c>
    </row>
    <row r="81" spans="3:12" ht="13.5" x14ac:dyDescent="0.4">
      <c r="C81" s="234" t="s">
        <v>296</v>
      </c>
      <c r="E81" s="235">
        <f t="shared" ref="E81:J81" si="11">SUM(E82:E85)</f>
        <v>-21925.379000000001</v>
      </c>
      <c r="F81" s="235">
        <f t="shared" si="11"/>
        <v>-28405</v>
      </c>
      <c r="G81" s="235">
        <f t="shared" si="11"/>
        <v>-31021</v>
      </c>
      <c r="H81" s="235">
        <f t="shared" si="11"/>
        <v>-40115</v>
      </c>
      <c r="I81" s="235">
        <f t="shared" si="11"/>
        <v>-53919</v>
      </c>
      <c r="J81" s="235">
        <f t="shared" si="11"/>
        <v>-54100</v>
      </c>
      <c r="K81" s="235">
        <f>SUM(K82:K85)</f>
        <v>-12213</v>
      </c>
    </row>
    <row r="82" spans="3:12" ht="13.5" x14ac:dyDescent="0.4">
      <c r="C82" s="183" t="s">
        <v>297</v>
      </c>
      <c r="E82" s="220">
        <f>0-[1]!s_stm07_is($C$6,"W61922150",E6,1,1000000)</f>
        <v>-3448.134</v>
      </c>
      <c r="F82" s="220">
        <f>0-[1]!s_stm07_is($C$6,"W61922150",F6,1,1000000)</f>
        <v>-4551</v>
      </c>
      <c r="G82" s="220">
        <f>0-[1]!s_stm07_is($C$6,"W61922150",G6,1,1000000)</f>
        <v>-5607</v>
      </c>
      <c r="H82" s="220">
        <f>0-[1]!s_stm07_is($C$6,"W61922150",H6,1,1000000)</f>
        <v>-6361</v>
      </c>
      <c r="I82" s="220">
        <f>0-[1]!s_stm07_is($C$6,"W61922150",I6,1,1000000)</f>
        <v>-7096</v>
      </c>
      <c r="J82" s="220">
        <f>0-[1]!s_stm07_is($C$6,"W61922150",J6,1,1000000)</f>
        <v>-2885</v>
      </c>
      <c r="K82" s="220">
        <f>0-[1]!s_stm07_is($C$6,"W61922150",K6,1,1000000)</f>
        <v>-249</v>
      </c>
    </row>
    <row r="83" spans="3:12" ht="13.5" x14ac:dyDescent="0.4">
      <c r="C83" s="183" t="s">
        <v>298</v>
      </c>
      <c r="E83" s="206">
        <f>0-[1]!s_stm07_is($C$6,"W66107451",E6,1,1000000)</f>
        <v>-14720.049000000001</v>
      </c>
      <c r="F83" s="206">
        <f>0-[1]!s_stm07_is($C$6,"W66107451",F6,1,1000000)</f>
        <v>-17956</v>
      </c>
      <c r="G83" s="206">
        <f>0-[1]!s_stm07_is($C$6,"W66107451",G6,1,1000000)</f>
        <v>-20622</v>
      </c>
      <c r="H83" s="206">
        <f>0-[1]!s_stm07_is($C$6,"W66107451",H6,1,1000000)</f>
        <v>-23416</v>
      </c>
      <c r="I83" s="206">
        <f>0-[1]!s_stm07_is($C$6,"W66107451",I6,1,1000000)</f>
        <v>-25070</v>
      </c>
      <c r="J83" s="206">
        <f>0-[1]!s_stm07_is($C$6,"W66107451",J6,1,1000000)</f>
        <v>-27057</v>
      </c>
      <c r="K83" s="206">
        <f>0-[1]!s_stm07_is($C$6,"W66107451",K6,1,1000000)</f>
        <v>-6396</v>
      </c>
    </row>
    <row r="84" spans="3:12" ht="13.5" x14ac:dyDescent="0.4">
      <c r="C84" s="183" t="s">
        <v>299</v>
      </c>
      <c r="E84" s="206">
        <f>0-[1]!s_stm07_is($C$6,"W65284919",E6,1,1000000)</f>
        <v>-3698.078</v>
      </c>
      <c r="F84" s="206">
        <f>0-[1]!s_stm07_is($C$6,"W65284919",F6,1,1000000)</f>
        <v>-5795</v>
      </c>
      <c r="G84" s="206">
        <f>0-[1]!s_stm07_is($C$6,"W65284919",G6,1,1000000)</f>
        <v>-4633</v>
      </c>
      <c r="H84" s="206">
        <f>0-[1]!s_stm07_is($C$6,"W65284919",H6,1,1000000)</f>
        <v>-10209</v>
      </c>
      <c r="I84" s="206">
        <f>0-[1]!s_stm07_is($C$6,"W65284919",I6,1,1000000)</f>
        <v>-21652</v>
      </c>
      <c r="J84" s="206">
        <f>0-[1]!s_stm07_is($C$6,"W65284919",J6,1,1000000)</f>
        <v>-23931</v>
      </c>
      <c r="K84" s="206">
        <f>0-[1]!s_stm07_is($C$6,"W65284919",K6,1,1000000)</f>
        <v>-5486</v>
      </c>
    </row>
    <row r="85" spans="3:12" ht="13.9" thickBot="1" x14ac:dyDescent="0.45">
      <c r="C85" s="239" t="s">
        <v>300</v>
      </c>
      <c r="E85" s="240">
        <f>0-[1]!s_stm07_is_86($C$6,E6,1,1000000)</f>
        <v>-59.118000000000002</v>
      </c>
      <c r="F85" s="240">
        <f>0-[1]!s_stm07_is_86($C$6,F6,1,1000000)</f>
        <v>-103</v>
      </c>
      <c r="G85" s="240">
        <f>0-[1]!s_stm07_is_86($C$6,G6,1,1000000)</f>
        <v>-159</v>
      </c>
      <c r="H85" s="240">
        <f>0-[1]!s_stm07_is_86($C$6,H6,1,1000000)</f>
        <v>-129</v>
      </c>
      <c r="I85" s="240">
        <f>0-[1]!s_stm07_is_86($C$6,I6,1,1000000)</f>
        <v>-101</v>
      </c>
      <c r="J85" s="240">
        <f>0-[1]!s_stm07_is_86($C$6,J6,1,1000000)</f>
        <v>-227</v>
      </c>
      <c r="K85" s="240">
        <f>0-[1]!s_stm07_is_86($C$6,K6,1,1000000)</f>
        <v>-82</v>
      </c>
      <c r="L85" s="242"/>
    </row>
    <row r="86" spans="3:12" ht="13.5" thickBot="1" x14ac:dyDescent="0.45">
      <c r="E86" s="241">
        <f>[1]!s_stm07_is($C$6,"W95264930",E6,1,1000000)-E87</f>
        <v>0</v>
      </c>
      <c r="F86" s="241">
        <f>[1]!s_stm07_is($C$6,"W95264930",F6,1,1000000)-F87</f>
        <v>0</v>
      </c>
      <c r="G86" s="241">
        <f>[1]!s_stm07_is($C$6,"W95264930",G6,1,1000000)-G87</f>
        <v>0</v>
      </c>
      <c r="H86" s="241">
        <f>[1]!s_stm07_is($C$6,"W95264930",H6,1,1000000)-H87</f>
        <v>0</v>
      </c>
      <c r="I86" s="241">
        <f>[1]!s_stm07_is($C$6,"W95264930",I6,1,1000000)-I87</f>
        <v>0</v>
      </c>
      <c r="J86" s="241">
        <f>[1]!s_stm07_is($C$6,"W95264930",J6,1,1000000)-J87</f>
        <v>0</v>
      </c>
      <c r="K86" s="241">
        <f>[1]!s_stm07_is($C$6,"W95264930",K6,1,1000000)-K87</f>
        <v>0</v>
      </c>
    </row>
    <row r="87" spans="3:12" ht="13.5" x14ac:dyDescent="0.4">
      <c r="C87" s="234" t="s">
        <v>301</v>
      </c>
      <c r="E87" s="235">
        <f t="shared" ref="E87:J87" si="12">E67+E81</f>
        <v>24147.173999999992</v>
      </c>
      <c r="F87" s="235">
        <f t="shared" si="12"/>
        <v>31511</v>
      </c>
      <c r="G87" s="235">
        <f t="shared" si="12"/>
        <v>34285</v>
      </c>
      <c r="H87" s="235">
        <f t="shared" si="12"/>
        <v>38416</v>
      </c>
      <c r="I87" s="235">
        <f t="shared" si="12"/>
        <v>39240</v>
      </c>
      <c r="J87" s="235">
        <f t="shared" si="12"/>
        <v>39937</v>
      </c>
      <c r="K87" s="235">
        <f>K67+K81</f>
        <v>11444</v>
      </c>
    </row>
    <row r="88" spans="3:12" ht="13.5" x14ac:dyDescent="0.4">
      <c r="C88" s="183" t="s">
        <v>302</v>
      </c>
      <c r="E88" s="243">
        <f t="shared" ref="E88:K88" si="13">E89+E90</f>
        <v>64.210000000000008</v>
      </c>
      <c r="F88" s="243">
        <f t="shared" si="13"/>
        <v>79</v>
      </c>
      <c r="G88" s="243">
        <f t="shared" si="13"/>
        <v>136</v>
      </c>
      <c r="H88" s="243">
        <f t="shared" si="13"/>
        <v>138</v>
      </c>
      <c r="I88" s="243">
        <f t="shared" si="13"/>
        <v>118</v>
      </c>
      <c r="J88" s="243">
        <f t="shared" si="13"/>
        <v>243</v>
      </c>
      <c r="K88" s="243">
        <f t="shared" si="13"/>
        <v>3</v>
      </c>
    </row>
    <row r="89" spans="3:12" ht="13.5" x14ac:dyDescent="0.4">
      <c r="C89" s="183" t="s">
        <v>303</v>
      </c>
      <c r="E89" s="206">
        <f>[1]!s_stm07_is($C$6,"W68538378",E6,1,1000000)</f>
        <v>126.15</v>
      </c>
      <c r="F89" s="206">
        <f>[1]!s_stm07_is($C$6,"W68538378",F6,1,1000000)</f>
        <v>154</v>
      </c>
      <c r="G89" s="206">
        <f>[1]!s_stm07_is($C$6,"W68538378",G6,1,1000000)</f>
        <v>221</v>
      </c>
      <c r="H89" s="206">
        <f>[1]!s_stm07_is($C$6,"W68538378",H6,1,1000000)</f>
        <v>240</v>
      </c>
      <c r="I89" s="206">
        <f>[1]!s_stm07_is($C$6,"W68538378",I6,1,1000000)</f>
        <v>205</v>
      </c>
      <c r="J89" s="206">
        <f>[1]!s_stm07_is($C$6,"W68538378",J6,1,1000000)</f>
        <v>328</v>
      </c>
      <c r="K89" s="206">
        <f>[1]!s_stm07_is($C$6,"W68538378",K6,1,1000000)</f>
        <v>35</v>
      </c>
    </row>
    <row r="90" spans="3:12" ht="13.5" x14ac:dyDescent="0.4">
      <c r="C90" s="244" t="s">
        <v>304</v>
      </c>
      <c r="E90" s="221">
        <f>0-[1]!s_stm07_is($C$6,"W67738435",E6,1,1000000)</f>
        <v>-61.94</v>
      </c>
      <c r="F90" s="221">
        <f>0-[1]!s_stm07_is($C$6,"W67738435",F6,1,1000000)</f>
        <v>-75</v>
      </c>
      <c r="G90" s="221">
        <f>0-[1]!s_stm07_is($C$6,"W67738435",G6,1,1000000)</f>
        <v>-85</v>
      </c>
      <c r="H90" s="221">
        <f>0-[1]!s_stm07_is($C$6,"W67738435",H6,1,1000000)</f>
        <v>-102</v>
      </c>
      <c r="I90" s="221">
        <f>0-[1]!s_stm07_is($C$6,"W67738435",I6,1,1000000)</f>
        <v>-87</v>
      </c>
      <c r="J90" s="221">
        <f>0-[1]!s_stm07_is($C$6,"W67738435",J6,1,1000000)</f>
        <v>-85</v>
      </c>
      <c r="K90" s="221">
        <f>0-[1]!s_stm07_is($C$6,"W67738435",K6,1,1000000)</f>
        <v>-32</v>
      </c>
    </row>
    <row r="91" spans="3:12" ht="13.5" x14ac:dyDescent="0.4">
      <c r="C91" s="245" t="s">
        <v>305</v>
      </c>
      <c r="E91" s="246">
        <f t="shared" ref="E91:I91" si="14">E87+E88</f>
        <v>24211.383999999991</v>
      </c>
      <c r="F91" s="246">
        <f t="shared" si="14"/>
        <v>31590</v>
      </c>
      <c r="G91" s="246">
        <f t="shared" si="14"/>
        <v>34421</v>
      </c>
      <c r="H91" s="246">
        <f t="shared" si="14"/>
        <v>38554</v>
      </c>
      <c r="I91" s="246">
        <f t="shared" si="14"/>
        <v>39358</v>
      </c>
      <c r="J91" s="246">
        <f>J87+J88</f>
        <v>40180</v>
      </c>
      <c r="K91" s="246">
        <f>K87+K88</f>
        <v>11447</v>
      </c>
    </row>
    <row r="92" spans="3:12" ht="13.5" x14ac:dyDescent="0.4">
      <c r="C92" s="183" t="s">
        <v>306</v>
      </c>
      <c r="E92" s="247">
        <f>0-[1]!s_stm07_is($C$6,"W65004312",E6,1,1000000)</f>
        <v>-6126.2619999999997</v>
      </c>
      <c r="F92" s="247">
        <f>0-[1]!s_stm07_is($C$6,"W65004312",F6,1,1000000)</f>
        <v>-7970</v>
      </c>
      <c r="G92" s="247">
        <f>0-[1]!s_stm07_is($C$6,"W65004312",G6,1,1000000)</f>
        <v>-7667</v>
      </c>
      <c r="H92" s="247">
        <f>0-[1]!s_stm07_is($C$6,"W65004312",H6,1,1000000)</f>
        <v>-9626</v>
      </c>
      <c r="I92" s="247">
        <f>0-[1]!s_stm07_is($C$6,"W65004312",I6,1,1000000)</f>
        <v>-9781</v>
      </c>
      <c r="J92" s="247">
        <f>0-[1]!s_stm07_is($C$6,"W65004312",J6,1,1000000)</f>
        <v>-9792</v>
      </c>
      <c r="K92" s="247">
        <f>0-[1]!s_stm07_is($C$6,"W65004312",K6,1,1000000)</f>
        <v>-2848</v>
      </c>
    </row>
    <row r="93" spans="3:12" ht="13.5" x14ac:dyDescent="0.4">
      <c r="C93" s="245" t="s">
        <v>307</v>
      </c>
      <c r="E93" s="246">
        <f t="shared" ref="E93:J93" si="15">E91+E92</f>
        <v>18085.121999999992</v>
      </c>
      <c r="F93" s="246">
        <f t="shared" si="15"/>
        <v>23620</v>
      </c>
      <c r="G93" s="246">
        <f t="shared" si="15"/>
        <v>26754</v>
      </c>
      <c r="H93" s="246">
        <f t="shared" si="15"/>
        <v>28928</v>
      </c>
      <c r="I93" s="246">
        <f t="shared" si="15"/>
        <v>29577</v>
      </c>
      <c r="J93" s="246">
        <f t="shared" si="15"/>
        <v>30388</v>
      </c>
      <c r="K93" s="246">
        <f>K91+K92</f>
        <v>8599</v>
      </c>
    </row>
    <row r="94" spans="3:12" ht="13.5" x14ac:dyDescent="0.4">
      <c r="C94" s="183" t="s">
        <v>308</v>
      </c>
      <c r="E94" s="220">
        <f>[1]!s_stm07_is($C$6,"W66823304",E6,1,1000000)</f>
        <v>18067.887999999999</v>
      </c>
      <c r="F94" s="220">
        <f>[1]!s_stm07_is($C$6,"W66823304",F6,1,1000000)</f>
        <v>23591</v>
      </c>
      <c r="G94" s="220">
        <f>[1]!s_stm07_is($C$6,"W66823304",G6,1,1000000)</f>
        <v>26715</v>
      </c>
      <c r="H94" s="220">
        <f>[1]!s_stm07_is($C$6,"W66823304",H6,1,1000000)</f>
        <v>28883</v>
      </c>
      <c r="I94" s="220">
        <f>[1]!s_stm07_is($C$6,"W66823304",I6,1,1000000)</f>
        <v>29528</v>
      </c>
      <c r="J94" s="220">
        <f>[1]!s_stm07_is($C$6,"W66823304",J6,1,1000000)</f>
        <v>30329</v>
      </c>
      <c r="K94" s="220">
        <f>[1]!s_stm07_is($C$6,"W66823304",K6,1,1000000)</f>
        <v>8579</v>
      </c>
    </row>
    <row r="95" spans="3:12" ht="13.9" thickBot="1" x14ac:dyDescent="0.45">
      <c r="C95" s="239" t="s">
        <v>309</v>
      </c>
      <c r="E95" s="211">
        <f t="shared" ref="E95:J95" si="16">E93-E94</f>
        <v>17.233999999993102</v>
      </c>
      <c r="F95" s="211">
        <f t="shared" si="16"/>
        <v>29</v>
      </c>
      <c r="G95" s="211">
        <f t="shared" si="16"/>
        <v>39</v>
      </c>
      <c r="H95" s="211">
        <f t="shared" si="16"/>
        <v>45</v>
      </c>
      <c r="I95" s="211">
        <f t="shared" si="16"/>
        <v>49</v>
      </c>
      <c r="J95" s="211">
        <f t="shared" si="16"/>
        <v>59</v>
      </c>
      <c r="K95" s="211">
        <f>K93-K94</f>
        <v>20</v>
      </c>
    </row>
    <row r="96" spans="3:12" ht="13.5" x14ac:dyDescent="0.4">
      <c r="C96" s="183" t="s">
        <v>310</v>
      </c>
      <c r="E96" s="248">
        <f>[1]!s_stm07_is($C$6,"W96494239",E6,1,1000000)</f>
        <v>426.94</v>
      </c>
      <c r="F96" s="248">
        <f>[1]!s_stm07_is($C$6,"W96494239",F6,1,1000000)</f>
        <v>-70</v>
      </c>
      <c r="G96" s="248">
        <f>[1]!s_stm07_is($C$6,"W96494239",G6,1,1000000)</f>
        <v>-3535</v>
      </c>
      <c r="H96" s="248">
        <f>[1]!s_stm07_is($C$6,"W96494239",H6,1,1000000)</f>
        <v>4052</v>
      </c>
      <c r="I96" s="248">
        <f>[1]!s_stm07_is($C$6,"W96494239",I6,1,1000000)</f>
        <v>3707</v>
      </c>
      <c r="J96" s="248">
        <f>[1]!s_stm07_is($C$6,"W96494239",J6,1,1000000)</f>
        <v>-3420</v>
      </c>
      <c r="K96" s="248">
        <f>[1]!s_stm07_is($C$6,"W96494239",K6,1,1000000)</f>
        <v>-1095</v>
      </c>
    </row>
    <row r="97" spans="2:11" ht="13.5" x14ac:dyDescent="0.4">
      <c r="C97" s="245" t="s">
        <v>311</v>
      </c>
      <c r="E97" s="227">
        <f t="shared" ref="E97:J97" si="17">E98+E99</f>
        <v>18512.062000000002</v>
      </c>
      <c r="F97" s="227">
        <f t="shared" si="17"/>
        <v>23550</v>
      </c>
      <c r="G97" s="227">
        <f t="shared" si="17"/>
        <v>23219</v>
      </c>
      <c r="H97" s="227">
        <f t="shared" si="17"/>
        <v>32980</v>
      </c>
      <c r="I97" s="227">
        <f t="shared" si="17"/>
        <v>33284</v>
      </c>
      <c r="J97" s="227">
        <f t="shared" si="17"/>
        <v>26968</v>
      </c>
      <c r="K97" s="227">
        <f>K98+K99</f>
        <v>7504</v>
      </c>
    </row>
    <row r="98" spans="2:11" ht="13.5" x14ac:dyDescent="0.4">
      <c r="C98" s="183" t="s">
        <v>312</v>
      </c>
      <c r="E98" s="223">
        <f>[1]!s_stm07_is($C$6,"W62388262",E6,1,1000000)</f>
        <v>18494.828000000001</v>
      </c>
      <c r="F98" s="223">
        <f>[1]!s_stm07_is($C$6,"W62388262",F6,1,1000000)</f>
        <v>23521</v>
      </c>
      <c r="G98" s="223">
        <f>[1]!s_stm07_is($C$6,"W62388262",G6,1,1000000)</f>
        <v>23180</v>
      </c>
      <c r="H98" s="223">
        <f>[1]!s_stm07_is($C$6,"W62388262",H6,1,1000000)</f>
        <v>32935</v>
      </c>
      <c r="I98" s="223">
        <f>[1]!s_stm07_is($C$6,"W62388262",I6,1,1000000)</f>
        <v>33235</v>
      </c>
      <c r="J98" s="223">
        <f>[1]!s_stm07_is($C$6,"W62388262",J6,1,1000000)</f>
        <v>26909</v>
      </c>
      <c r="K98" s="249">
        <f>[1]!s_stm07_is($C$6,"W62388262",K6,1,1000000)</f>
        <v>7484</v>
      </c>
    </row>
    <row r="99" spans="2:11" ht="13.9" thickBot="1" x14ac:dyDescent="0.45">
      <c r="C99" s="239" t="s">
        <v>313</v>
      </c>
      <c r="E99" s="223">
        <f>[1]!s_stm07_is($C$6,"W47116209",E6,1,1000000)</f>
        <v>17.234000000000002</v>
      </c>
      <c r="F99" s="223">
        <f>[1]!s_stm07_is($C$6,"W47116209",F6,1,1000000)</f>
        <v>29</v>
      </c>
      <c r="G99" s="223">
        <f>[1]!s_stm07_is($C$6,"W47116209",G6,1,1000000)</f>
        <v>39</v>
      </c>
      <c r="H99" s="223">
        <f>[1]!s_stm07_is($C$6,"W47116209",H6,1,1000000)</f>
        <v>45</v>
      </c>
      <c r="I99" s="223">
        <f>[1]!s_stm07_is($C$6,"W47116209",I6,1,1000000)</f>
        <v>49</v>
      </c>
      <c r="J99" s="223">
        <f>[1]!s_stm07_is($C$6,"W47116209",J6,1,1000000)</f>
        <v>59</v>
      </c>
      <c r="K99" s="249">
        <f>[1]!s_stm07_is($C$6,"W47116209",K6,1,1000000)</f>
        <v>20</v>
      </c>
    </row>
    <row r="100" spans="2:11" ht="13.5" thickBot="1" x14ac:dyDescent="0.45">
      <c r="E100" s="211">
        <f>E97-E98-E99</f>
        <v>3.765876499528531E-13</v>
      </c>
      <c r="F100" s="211">
        <f t="shared" ref="F100:K100" si="18">F97-F98-F99</f>
        <v>0</v>
      </c>
      <c r="G100" s="211">
        <f t="shared" si="18"/>
        <v>0</v>
      </c>
      <c r="H100" s="211">
        <f t="shared" si="18"/>
        <v>0</v>
      </c>
      <c r="I100" s="211">
        <f t="shared" si="18"/>
        <v>0</v>
      </c>
      <c r="J100" s="211">
        <f t="shared" si="18"/>
        <v>0</v>
      </c>
      <c r="K100" s="211">
        <f t="shared" si="18"/>
        <v>0</v>
      </c>
    </row>
    <row r="101" spans="2:11" ht="13.5" x14ac:dyDescent="0.4">
      <c r="C101" s="250" t="s">
        <v>314</v>
      </c>
      <c r="E101" s="251"/>
      <c r="F101" s="251"/>
      <c r="G101" s="251"/>
      <c r="H101" s="251"/>
      <c r="I101" s="251"/>
      <c r="J101" s="251"/>
      <c r="K101" s="251"/>
    </row>
    <row r="102" spans="2:11" ht="13.5" x14ac:dyDescent="0.4">
      <c r="C102" s="207" t="s">
        <v>315</v>
      </c>
      <c r="E102" s="206">
        <f>[1]!s_stm07_is($C$6,"W88363141",E6,1,1)</f>
        <v>0.45</v>
      </c>
      <c r="F102" s="206">
        <f>[1]!s_stm07_is($C$6,"W88363141",F6,1,1)</f>
        <v>0.57999999999999996</v>
      </c>
      <c r="G102" s="206">
        <f>[1]!s_stm07_is($C$6,"W88363141",G6,1,1)</f>
        <v>0.66</v>
      </c>
      <c r="H102" s="206">
        <f>[1]!s_stm07_is($C$6,"W88363141",H6,1,1)</f>
        <v>0.62</v>
      </c>
      <c r="I102" s="206">
        <f>[1]!s_stm07_is($C$6,"W88363141",I6,1,1)</f>
        <v>0.63</v>
      </c>
      <c r="J102" s="206">
        <f>[1]!s_stm07_is($C$6,"W88363141",J6,1,1)</f>
        <v>0.63</v>
      </c>
      <c r="K102" s="206">
        <f>[1]!s_stm07_is($C$6,"W88363141",K6,1,1)</f>
        <v>0.18</v>
      </c>
    </row>
    <row r="103" spans="2:11" ht="13.9" thickBot="1" x14ac:dyDescent="0.45">
      <c r="C103" s="252" t="s">
        <v>316</v>
      </c>
      <c r="E103" s="240">
        <f>[1]!s_stm07_is($C$6,"W85526134",E6,1,1)</f>
        <v>0.45</v>
      </c>
      <c r="F103" s="240">
        <f>[1]!s_stm07_is($C$6,"W85526134",F6,1,1)</f>
        <v>0.57999999999999996</v>
      </c>
      <c r="G103" s="240">
        <f>[1]!s_stm07_is($C$6,"W85526134",G6,1,1)</f>
        <v>0.66</v>
      </c>
      <c r="H103" s="240">
        <f>[1]!s_stm07_is($C$6,"W85526134",H6,1,1)</f>
        <v>0.62</v>
      </c>
      <c r="I103" s="240">
        <f>[1]!s_stm07_is($C$6,"W85526134",I6,1,1)</f>
        <v>0.63</v>
      </c>
      <c r="J103" s="240">
        <f>[1]!s_stm07_is($C$6,"W85526134",J6,1,1)</f>
        <v>0.63</v>
      </c>
      <c r="K103" s="240">
        <f>[1]!s_stm07_is($C$6,"W85526134",K6,1,1)</f>
        <v>0.18</v>
      </c>
    </row>
    <row r="104" spans="2:11" x14ac:dyDescent="0.4">
      <c r="E104" s="211"/>
      <c r="F104" s="211"/>
      <c r="G104" s="211"/>
      <c r="H104" s="211"/>
      <c r="I104" s="211"/>
      <c r="J104" s="211"/>
      <c r="K104" s="211"/>
    </row>
    <row r="105" spans="2:11" x14ac:dyDescent="0.4">
      <c r="E105" s="211"/>
      <c r="F105" s="211"/>
      <c r="G105" s="211"/>
      <c r="H105" s="211"/>
      <c r="I105" s="211"/>
      <c r="J105" s="211"/>
      <c r="K105" s="211"/>
    </row>
    <row r="106" spans="2:11" ht="13.9" thickBot="1" x14ac:dyDescent="0.45">
      <c r="B106" s="253" t="s">
        <v>317</v>
      </c>
      <c r="C106" s="254"/>
      <c r="E106" s="211"/>
      <c r="F106" s="211"/>
      <c r="G106" s="211"/>
      <c r="H106" s="211"/>
      <c r="I106" s="211"/>
      <c r="J106" s="211"/>
      <c r="K106" s="211"/>
    </row>
    <row r="107" spans="2:11" ht="13.5" x14ac:dyDescent="0.4">
      <c r="B107" s="255"/>
      <c r="C107" s="256" t="s">
        <v>318</v>
      </c>
      <c r="E107" s="251">
        <f t="shared" ref="E107:J107" si="19">E108+E109</f>
        <v>656371.19900000002</v>
      </c>
      <c r="F107" s="251">
        <f t="shared" si="19"/>
        <v>711733</v>
      </c>
      <c r="G107" s="251">
        <f t="shared" si="19"/>
        <v>774938</v>
      </c>
      <c r="H107" s="251">
        <f t="shared" si="19"/>
        <v>841070</v>
      </c>
      <c r="I107" s="251">
        <f t="shared" si="19"/>
        <v>988523</v>
      </c>
      <c r="J107" s="251">
        <f t="shared" si="19"/>
        <v>1132147</v>
      </c>
      <c r="K107" s="251">
        <f>K108+K109</f>
        <v>0</v>
      </c>
    </row>
    <row r="108" spans="2:11" ht="13.5" x14ac:dyDescent="0.4">
      <c r="B108" s="255"/>
      <c r="C108" s="256" t="s">
        <v>319</v>
      </c>
      <c r="E108" s="206">
        <f>[1]!s_stmnote_bank_681($C$6,E6,1,2,1000000)</f>
        <v>641950.05200000003</v>
      </c>
      <c r="F108" s="206">
        <f>[1]!s_stmnote_bank_681($C$6,F6,1,2,1000000)</f>
        <v>699090</v>
      </c>
      <c r="G108" s="206">
        <f>[1]!s_stmnote_bank_681($C$6,G6,1,2,1000000)</f>
        <v>761474</v>
      </c>
      <c r="H108" s="206">
        <f>[1]!s_stmnote_bank_681($C$6,H6,1,2,1000000)</f>
        <v>820139</v>
      </c>
      <c r="I108" s="206">
        <f>[1]!s_stmnote_bank_681($C$6,I6,1,2,1000000)</f>
        <v>917327</v>
      </c>
      <c r="J108" s="206">
        <f>[1]!s_stmnote_bank_681($C$6,J6,1,2,1000000)</f>
        <v>1075974</v>
      </c>
      <c r="K108" s="206">
        <f>[1]!s_stmnote_bank_681($C$6,K6,1,2,1000000)</f>
        <v>0</v>
      </c>
    </row>
    <row r="109" spans="2:11" ht="13.5" x14ac:dyDescent="0.4">
      <c r="B109" s="255"/>
      <c r="C109" s="256" t="s">
        <v>320</v>
      </c>
      <c r="E109" s="206">
        <f>[1]!s_stmnote_bank_683($C$6,E6,1,2,1000000)</f>
        <v>14421.147000000001</v>
      </c>
      <c r="F109" s="206">
        <f>[1]!s_stmnote_bank_683($C$6,F6,1,2,1000000)</f>
        <v>12643</v>
      </c>
      <c r="G109" s="206">
        <f>[1]!s_stmnote_bank_683($C$6,G6,1,2,1000000)</f>
        <v>13464</v>
      </c>
      <c r="H109" s="206">
        <f>[1]!s_stmnote_bank_683($C$6,H6,1,2,1000000)</f>
        <v>20931</v>
      </c>
      <c r="I109" s="206">
        <f>[1]!s_stmnote_bank_683($C$6,I6,1,2,1000000)</f>
        <v>71196</v>
      </c>
      <c r="J109" s="206">
        <f>[1]!s_stmnote_bank_683($C$6,J6,1,2,1000000)</f>
        <v>56173</v>
      </c>
      <c r="K109" s="206">
        <f>[1]!s_stmnote_bank_683($C$6,K6,1,2,1000000)</f>
        <v>0</v>
      </c>
    </row>
    <row r="110" spans="2:11" ht="13.5" x14ac:dyDescent="0.4">
      <c r="B110" s="257"/>
      <c r="C110" s="256" t="s">
        <v>321</v>
      </c>
      <c r="E110" s="206">
        <f>[1]!s_stmnote_bank_682($C$6,E6,1,2,1000000)</f>
        <v>233453.80600000001</v>
      </c>
      <c r="F110" s="206">
        <f>[1]!s_stmnote_bank_682($C$6,F6,1,2,1000000)</f>
        <v>311454</v>
      </c>
      <c r="G110" s="206">
        <f>[1]!s_stmnote_bank_682($C$6,G6,1,2,1000000)</f>
        <v>391372</v>
      </c>
      <c r="H110" s="206">
        <f>[1]!s_stmnote_bank_682($C$6,H6,1,2,1000000)</f>
        <v>458385</v>
      </c>
      <c r="I110" s="206">
        <f>[1]!s_stmnote_bank_682($C$6,I6,1,2,1000000)</f>
        <v>525020</v>
      </c>
      <c r="J110" s="206">
        <f>[1]!s_stmnote_bank_682($C$6,J6,1,2,1000000)</f>
        <v>663131</v>
      </c>
      <c r="K110" s="206">
        <f>[1]!s_stmnote_bank_682($C$6,K6,1,2,1000000)</f>
        <v>0</v>
      </c>
    </row>
    <row r="111" spans="2:11" ht="13.5" x14ac:dyDescent="0.4">
      <c r="B111" s="255"/>
      <c r="C111" s="256" t="s">
        <v>322</v>
      </c>
      <c r="E111" s="206">
        <f>-[1]!s_stmnote_bank_22n($C$6,E6,1,1000000)</f>
        <v>-21042.773000000001</v>
      </c>
      <c r="F111" s="206">
        <f>-[1]!s_stmnote_bank_22n($C$6,F6,1,1000000)</f>
        <v>-25856</v>
      </c>
      <c r="G111" s="206">
        <f>-[1]!s_stmnote_bank_22n($C$6,G6,1,1000000)</f>
        <v>-24172</v>
      </c>
      <c r="H111" s="206">
        <f>-[1]!s_stmnote_bank_22n($C$6,H6,1,1000000)</f>
        <v>-28025</v>
      </c>
      <c r="I111" s="206">
        <f>-[1]!s_stmnote_bank_22n($C$6,I6,1,1000000)</f>
        <v>-38119</v>
      </c>
      <c r="J111" s="206">
        <f>-[1]!s_stmnote_bank_22n($C$6,J6,1,1000000)</f>
        <v>-43634</v>
      </c>
      <c r="K111" s="206">
        <f>-[1]!s_stmnote_bank_22n($C$6,K6,1,1000000)</f>
        <v>0</v>
      </c>
    </row>
    <row r="112" spans="2:11" ht="13.5" x14ac:dyDescent="0.4">
      <c r="B112" s="258"/>
      <c r="C112" s="259" t="s">
        <v>323</v>
      </c>
      <c r="E112" s="260">
        <f t="shared" ref="E112:I112" si="20">E113-E111</f>
        <v>889825.005</v>
      </c>
      <c r="F112" s="260">
        <f t="shared" si="20"/>
        <v>1023187</v>
      </c>
      <c r="G112" s="260">
        <f t="shared" si="20"/>
        <v>1166310</v>
      </c>
      <c r="H112" s="260">
        <f t="shared" si="20"/>
        <v>1299455</v>
      </c>
      <c r="I112" s="260">
        <f t="shared" si="20"/>
        <v>1513543</v>
      </c>
      <c r="J112" s="260">
        <f>J113-J111</f>
        <v>1795278</v>
      </c>
      <c r="K112" s="260"/>
    </row>
    <row r="113" spans="2:11" ht="13.9" thickBot="1" x14ac:dyDescent="0.45">
      <c r="B113" s="258"/>
      <c r="C113" s="261" t="s">
        <v>324</v>
      </c>
      <c r="E113" s="229">
        <f t="shared" ref="E113:K113" si="21">E18</f>
        <v>868782.23199999996</v>
      </c>
      <c r="F113" s="229">
        <f t="shared" si="21"/>
        <v>997331</v>
      </c>
      <c r="G113" s="229">
        <f t="shared" si="21"/>
        <v>1142138</v>
      </c>
      <c r="H113" s="229">
        <f t="shared" si="21"/>
        <v>1271430</v>
      </c>
      <c r="I113" s="229">
        <f t="shared" si="21"/>
        <v>1475424</v>
      </c>
      <c r="J113" s="229">
        <f t="shared" si="21"/>
        <v>1751644</v>
      </c>
      <c r="K113" s="229">
        <f t="shared" si="21"/>
        <v>1850311</v>
      </c>
    </row>
    <row r="114" spans="2:11" s="231" customFormat="1" ht="13.5" x14ac:dyDescent="0.4">
      <c r="C114" s="230" t="s">
        <v>281</v>
      </c>
      <c r="E114" s="232">
        <f t="shared" ref="E114:J114" si="22">IF(E108=0,0,E112-E107-E110)</f>
        <v>-2.9103830456733704E-11</v>
      </c>
      <c r="F114" s="232">
        <f t="shared" si="22"/>
        <v>0</v>
      </c>
      <c r="G114" s="232">
        <f t="shared" si="22"/>
        <v>0</v>
      </c>
      <c r="H114" s="232">
        <f t="shared" si="22"/>
        <v>0</v>
      </c>
      <c r="I114" s="232">
        <f t="shared" si="22"/>
        <v>0</v>
      </c>
      <c r="J114" s="232">
        <f t="shared" si="22"/>
        <v>0</v>
      </c>
      <c r="K114" s="232">
        <f>IF(K108=0,0,K112-K107-K110)</f>
        <v>0</v>
      </c>
    </row>
    <row r="115" spans="2:11" x14ac:dyDescent="0.4">
      <c r="E115" s="211"/>
      <c r="F115" s="211"/>
      <c r="G115" s="211"/>
      <c r="H115" s="211"/>
      <c r="I115" s="211"/>
      <c r="J115" s="211"/>
      <c r="K115" s="211"/>
    </row>
    <row r="116" spans="2:11" x14ac:dyDescent="0.4">
      <c r="E116" s="211"/>
      <c r="F116" s="211"/>
      <c r="G116" s="211"/>
      <c r="H116" s="211"/>
      <c r="I116" s="211"/>
      <c r="J116" s="211"/>
      <c r="K116" s="211"/>
    </row>
    <row r="117" spans="2:11" ht="13.9" thickBot="1" x14ac:dyDescent="0.45">
      <c r="B117" s="253" t="s">
        <v>325</v>
      </c>
      <c r="C117" s="262"/>
      <c r="E117" s="211"/>
      <c r="F117" s="211"/>
      <c r="G117" s="211"/>
      <c r="H117" s="211"/>
      <c r="I117" s="211"/>
      <c r="J117" s="211"/>
      <c r="K117" s="211"/>
    </row>
    <row r="118" spans="2:11" ht="13.5" x14ac:dyDescent="0.4">
      <c r="B118" s="257"/>
      <c r="C118" s="256" t="s">
        <v>326</v>
      </c>
      <c r="E118" s="251">
        <f t="shared" ref="E118:J118" si="23">E119+E120</f>
        <v>520257</v>
      </c>
      <c r="F118" s="251">
        <f t="shared" si="23"/>
        <v>601497</v>
      </c>
      <c r="G118" s="251">
        <f t="shared" si="23"/>
        <v>539042</v>
      </c>
      <c r="H118" s="251">
        <f t="shared" si="23"/>
        <v>606356</v>
      </c>
      <c r="I118" s="251">
        <f t="shared" si="23"/>
        <v>661490</v>
      </c>
      <c r="J118" s="251">
        <f t="shared" si="23"/>
        <v>840616</v>
      </c>
      <c r="K118" s="251"/>
    </row>
    <row r="119" spans="2:11" ht="13.5" x14ac:dyDescent="0.4">
      <c r="B119" s="257"/>
      <c r="C119" s="256" t="s">
        <v>327</v>
      </c>
      <c r="E119" s="206">
        <f>[1]!s_stmnote_bank_614($C$6,E6,1,2,1000000)</f>
        <v>441296</v>
      </c>
      <c r="F119" s="206">
        <f>[1]!s_stmnote_bank_614($C$6,F6,1,2,1000000)</f>
        <v>443377</v>
      </c>
      <c r="G119" s="206">
        <f>[1]!s_stmnote_bank_614($C$6,G6,1,2,1000000)</f>
        <v>434902</v>
      </c>
      <c r="H119" s="206">
        <f>[1]!s_stmnote_bank_614($C$6,H6,1,2,1000000)</f>
        <v>486562</v>
      </c>
      <c r="I119" s="206">
        <f>[1]!s_stmnote_bank_614($C$6,I6,1,2,1000000)</f>
        <v>515929</v>
      </c>
      <c r="J119" s="206">
        <f>[1]!s_stmnote_bank_614($C$6,J6,1,2,1000000)</f>
        <v>656760</v>
      </c>
      <c r="K119" s="206">
        <f>[1]!s_stmnote_bank_614($C$6,K6,1,2,1000000)</f>
        <v>0</v>
      </c>
    </row>
    <row r="120" spans="2:11" ht="13.5" x14ac:dyDescent="0.4">
      <c r="B120" s="257"/>
      <c r="C120" s="256" t="s">
        <v>328</v>
      </c>
      <c r="E120" s="206">
        <f>[1]!s_stmnote_bank_612($C$6,E6,1,2,1000000)</f>
        <v>78961</v>
      </c>
      <c r="F120" s="206">
        <f>[1]!s_stmnote_bank_612($C$6,F6,1,2,1000000)</f>
        <v>158120</v>
      </c>
      <c r="G120" s="206">
        <f>[1]!s_stmnote_bank_612($C$6,G6,1,2,1000000)</f>
        <v>104140</v>
      </c>
      <c r="H120" s="206">
        <f>[1]!s_stmnote_bank_612($C$6,H6,1,2,1000000)</f>
        <v>119794</v>
      </c>
      <c r="I120" s="206">
        <f>[1]!s_stmnote_bank_612($C$6,I6,1,2,1000000)</f>
        <v>145561</v>
      </c>
      <c r="J120" s="206">
        <f>[1]!s_stmnote_bank_612($C$6,J6,1,2,1000000)</f>
        <v>183856</v>
      </c>
      <c r="K120" s="206">
        <f>[1]!s_stmnote_bank_612($C$6,K6,1,2,1000000)</f>
        <v>0</v>
      </c>
    </row>
    <row r="121" spans="2:11" ht="13.5" x14ac:dyDescent="0.4">
      <c r="B121" s="263"/>
      <c r="C121" s="256" t="s">
        <v>329</v>
      </c>
      <c r="E121" s="264">
        <f t="shared" ref="E121:J121" si="24">E122+E123</f>
        <v>705021</v>
      </c>
      <c r="F121" s="264">
        <f t="shared" si="24"/>
        <v>825444</v>
      </c>
      <c r="G121" s="264">
        <f t="shared" si="24"/>
        <v>974821</v>
      </c>
      <c r="H121" s="264">
        <f t="shared" si="24"/>
        <v>1106655</v>
      </c>
      <c r="I121" s="264">
        <f t="shared" si="24"/>
        <v>1221688</v>
      </c>
      <c r="J121" s="264">
        <f t="shared" si="24"/>
        <v>1172244</v>
      </c>
      <c r="K121" s="264"/>
    </row>
    <row r="122" spans="2:11" ht="13.5" x14ac:dyDescent="0.4">
      <c r="B122" s="263"/>
      <c r="C122" s="256" t="s">
        <v>327</v>
      </c>
      <c r="E122" s="206">
        <f>[1]!s_stmnote_bank_613($C$6,E6,1,2,1000000)</f>
        <v>548472</v>
      </c>
      <c r="F122" s="206">
        <f>[1]!s_stmnote_bank_613($C$6,F6,1,2,1000000)</f>
        <v>669551</v>
      </c>
      <c r="G122" s="206">
        <f>[1]!s_stmnote_bank_613($C$6,G6,1,2,1000000)</f>
        <v>768315</v>
      </c>
      <c r="H122" s="206">
        <f>[1]!s_stmnote_bank_613($C$6,H6,1,2,1000000)</f>
        <v>881295</v>
      </c>
      <c r="I122" s="206">
        <f>[1]!s_stmnote_bank_613($C$6,I6,1,2,1000000)</f>
        <v>1028124</v>
      </c>
      <c r="J122" s="206">
        <f>[1]!s_stmnote_bank_613($C$6,J6,1,2,1000000)</f>
        <v>996440</v>
      </c>
      <c r="K122" s="206">
        <f>[1]!s_stmnote_bank_613($C$6,K6,1,2,1000000)</f>
        <v>0</v>
      </c>
    </row>
    <row r="123" spans="2:11" ht="13.5" x14ac:dyDescent="0.4">
      <c r="B123" s="263"/>
      <c r="C123" s="256" t="s">
        <v>328</v>
      </c>
      <c r="E123" s="206">
        <f>[1]!s_stmnote_bank_611($C$6,E6,1,2,1000000)</f>
        <v>156549</v>
      </c>
      <c r="F123" s="206">
        <f>[1]!s_stmnote_bank_611($C$6,F6,1,2,1000000)</f>
        <v>155893</v>
      </c>
      <c r="G123" s="206">
        <f>[1]!s_stmnote_bank_611($C$6,G6,1,2,1000000)</f>
        <v>206506</v>
      </c>
      <c r="H123" s="206">
        <f>[1]!s_stmnote_bank_611($C$6,H6,1,2,1000000)</f>
        <v>225360</v>
      </c>
      <c r="I123" s="206">
        <f>[1]!s_stmnote_bank_611($C$6,I6,1,2,1000000)</f>
        <v>193564</v>
      </c>
      <c r="J123" s="206">
        <f>[1]!s_stmnote_bank_611($C$6,J6,1,2,1000000)</f>
        <v>175804</v>
      </c>
      <c r="K123" s="206">
        <f>[1]!s_stmnote_bank_611($C$6,K6,1,2,1000000)</f>
        <v>0</v>
      </c>
    </row>
    <row r="124" spans="2:11" ht="13.5" x14ac:dyDescent="0.4">
      <c r="B124" s="263"/>
      <c r="C124" s="256" t="s">
        <v>330</v>
      </c>
      <c r="E124" s="225">
        <f>[1]!s_stmnote_bank_615($C$6,E6,1,2,1000000)</f>
        <v>0</v>
      </c>
      <c r="F124" s="225">
        <f>[1]!s_stmnote_bank_615($C$6,F6,1,2,1000000)</f>
        <v>0</v>
      </c>
      <c r="G124" s="225">
        <f>[1]!s_stmnote_bank_615($C$6,G6,1,2,1000000)</f>
        <v>91415</v>
      </c>
      <c r="H124" s="225">
        <f>[1]!s_stmnote_bank_615($C$6,H6,1,2,1000000)</f>
        <v>72326</v>
      </c>
      <c r="I124" s="225">
        <f>[1]!s_stmnote_bank_615($C$6,I6,1,2,1000000)</f>
        <v>110665</v>
      </c>
      <c r="J124" s="225">
        <v>108027</v>
      </c>
      <c r="K124" s="225">
        <f>[1]!s_stmnote_bank_615($C$6,K6,1,2,1000000)</f>
        <v>0</v>
      </c>
    </row>
    <row r="125" spans="2:11" ht="13.5" x14ac:dyDescent="0.4">
      <c r="B125" s="263"/>
      <c r="C125" s="265" t="s">
        <v>331</v>
      </c>
      <c r="E125" s="211">
        <f t="shared" ref="E125:J126" si="25">E119+E122</f>
        <v>989768</v>
      </c>
      <c r="F125" s="211">
        <f t="shared" si="25"/>
        <v>1112928</v>
      </c>
      <c r="G125" s="211">
        <f t="shared" si="25"/>
        <v>1203217</v>
      </c>
      <c r="H125" s="211">
        <f t="shared" si="25"/>
        <v>1367857</v>
      </c>
      <c r="I125" s="211">
        <f t="shared" si="25"/>
        <v>1544053</v>
      </c>
      <c r="J125" s="211">
        <f t="shared" si="25"/>
        <v>1653200</v>
      </c>
      <c r="K125" s="211"/>
    </row>
    <row r="126" spans="2:11" ht="13.5" x14ac:dyDescent="0.4">
      <c r="B126" s="263"/>
      <c r="C126" s="256" t="s">
        <v>332</v>
      </c>
      <c r="E126" s="211">
        <f t="shared" si="25"/>
        <v>235510</v>
      </c>
      <c r="F126" s="211">
        <f t="shared" si="25"/>
        <v>314013</v>
      </c>
      <c r="G126" s="211">
        <f t="shared" si="25"/>
        <v>310646</v>
      </c>
      <c r="H126" s="211">
        <f t="shared" si="25"/>
        <v>345154</v>
      </c>
      <c r="I126" s="211">
        <f t="shared" si="25"/>
        <v>339125</v>
      </c>
      <c r="J126" s="211">
        <f t="shared" si="25"/>
        <v>359660</v>
      </c>
      <c r="K126" s="211"/>
    </row>
    <row r="127" spans="2:11" ht="13.9" thickBot="1" x14ac:dyDescent="0.45">
      <c r="B127" s="263"/>
      <c r="C127" s="266" t="s">
        <v>333</v>
      </c>
      <c r="E127" s="229">
        <f t="shared" ref="E127:K127" si="26">E40</f>
        <v>1178800.3289999999</v>
      </c>
      <c r="F127" s="229">
        <f t="shared" si="26"/>
        <v>1426941</v>
      </c>
      <c r="G127" s="229">
        <f t="shared" si="26"/>
        <v>1605278</v>
      </c>
      <c r="H127" s="229">
        <f t="shared" si="26"/>
        <v>1785337</v>
      </c>
      <c r="I127" s="229">
        <f t="shared" si="26"/>
        <v>1993843</v>
      </c>
      <c r="J127" s="229">
        <f t="shared" si="26"/>
        <v>2120887</v>
      </c>
      <c r="K127" s="229">
        <f t="shared" si="26"/>
        <v>2243298</v>
      </c>
    </row>
    <row r="128" spans="2:11" s="231" customFormat="1" ht="13.5" x14ac:dyDescent="0.4">
      <c r="B128" s="267"/>
      <c r="C128" s="230" t="s">
        <v>281</v>
      </c>
      <c r="E128" s="232">
        <f>IF(E119=0,0,E127-E118-E121-E124)</f>
        <v>-46477.671000000089</v>
      </c>
      <c r="F128" s="232">
        <f t="shared" ref="F128:K128" si="27">IF(F119=0,0,F127-F118-F121-F124)</f>
        <v>0</v>
      </c>
      <c r="G128" s="232">
        <f t="shared" si="27"/>
        <v>0</v>
      </c>
      <c r="H128" s="232">
        <f t="shared" si="27"/>
        <v>0</v>
      </c>
      <c r="I128" s="232">
        <f t="shared" si="27"/>
        <v>0</v>
      </c>
      <c r="J128" s="232">
        <f>IF(J119=0,0,J127-J118-J121-J124)</f>
        <v>0</v>
      </c>
      <c r="K128" s="232">
        <f t="shared" si="27"/>
        <v>0</v>
      </c>
    </row>
    <row r="129" spans="2:11" x14ac:dyDescent="0.4">
      <c r="B129" s="263"/>
      <c r="C129" s="263"/>
      <c r="E129" s="211"/>
      <c r="F129" s="211"/>
      <c r="G129" s="211"/>
      <c r="H129" s="211"/>
      <c r="I129" s="211"/>
      <c r="J129" s="211"/>
      <c r="K129" s="211"/>
    </row>
    <row r="130" spans="2:11" x14ac:dyDescent="0.4">
      <c r="E130" s="211"/>
      <c r="F130" s="211"/>
      <c r="G130" s="211"/>
      <c r="H130" s="211"/>
      <c r="I130" s="211"/>
      <c r="J130" s="211"/>
      <c r="K130" s="211"/>
    </row>
    <row r="131" spans="2:11" ht="13.5" x14ac:dyDescent="0.4">
      <c r="B131" s="253" t="s">
        <v>334</v>
      </c>
      <c r="E131" s="211"/>
      <c r="F131" s="211"/>
      <c r="G131" s="211"/>
      <c r="H131" s="211"/>
      <c r="I131" s="211"/>
      <c r="J131" s="211"/>
      <c r="K131" s="211"/>
    </row>
    <row r="132" spans="2:11" ht="13.5" thickBot="1" x14ac:dyDescent="0.45">
      <c r="B132" s="268"/>
      <c r="C132" s="198"/>
      <c r="E132" s="211">
        <f t="shared" ref="E132:F132" si="28">SUM(E134,E139,E144,E145)</f>
        <v>1581800</v>
      </c>
      <c r="F132" s="211">
        <f t="shared" si="28"/>
        <v>1966972</v>
      </c>
      <c r="G132" s="211">
        <f>SUM(G134,G139,G144,G145)</f>
        <v>2354888</v>
      </c>
      <c r="H132" s="211">
        <f t="shared" ref="H132:I132" si="29">SUM(H134,H139,H144,H145)</f>
        <v>2528762</v>
      </c>
      <c r="I132" s="211">
        <f t="shared" si="29"/>
        <v>2949241</v>
      </c>
      <c r="J132" s="211">
        <f>SUM(J134,J139,J144,J145)</f>
        <v>3658902</v>
      </c>
      <c r="K132" s="211"/>
    </row>
    <row r="133" spans="2:11" ht="13.5" x14ac:dyDescent="0.4">
      <c r="B133" s="269"/>
      <c r="C133" s="270" t="s">
        <v>335</v>
      </c>
      <c r="E133" s="271">
        <v>1581800</v>
      </c>
      <c r="F133" s="271">
        <v>1966972</v>
      </c>
      <c r="G133" s="271">
        <v>2354888</v>
      </c>
      <c r="H133" s="271">
        <v>2528762</v>
      </c>
      <c r="I133" s="271">
        <v>2949241</v>
      </c>
      <c r="J133" s="271">
        <v>3658902</v>
      </c>
      <c r="K133" s="271">
        <f>[1]!s_stmnote_bank_57($C$6,K6,1,1000000)</f>
        <v>0</v>
      </c>
    </row>
    <row r="134" spans="2:11" ht="13.5" x14ac:dyDescent="0.4">
      <c r="B134" s="269"/>
      <c r="C134" s="272" t="s">
        <v>336</v>
      </c>
      <c r="E134" s="273">
        <v>849126</v>
      </c>
      <c r="F134" s="273">
        <v>983834</v>
      </c>
      <c r="G134" s="273">
        <v>1128800</v>
      </c>
      <c r="H134" s="273">
        <v>1268646</v>
      </c>
      <c r="I134" s="273">
        <v>1455886</v>
      </c>
      <c r="J134" s="273">
        <v>1751843</v>
      </c>
      <c r="K134" s="273"/>
    </row>
    <row r="135" spans="2:11" ht="13.5" x14ac:dyDescent="0.4">
      <c r="B135" s="257"/>
      <c r="C135" s="274" t="s">
        <v>318</v>
      </c>
      <c r="E135" s="220"/>
      <c r="F135" s="220"/>
      <c r="G135" s="220"/>
      <c r="H135" s="220"/>
      <c r="I135" s="220"/>
      <c r="J135" s="220"/>
      <c r="K135" s="220"/>
    </row>
    <row r="136" spans="2:11" ht="13.5" x14ac:dyDescent="0.4">
      <c r="B136" s="257"/>
      <c r="C136" s="274" t="s">
        <v>337</v>
      </c>
      <c r="E136" s="206"/>
      <c r="F136" s="206"/>
      <c r="G136" s="206"/>
      <c r="H136" s="206"/>
      <c r="I136" s="206"/>
      <c r="J136" s="206"/>
      <c r="K136" s="206">
        <f>[1]!s_stmnote_bank_711($C$6,K6,1,2,1000000)</f>
        <v>0</v>
      </c>
    </row>
    <row r="137" spans="2:11" ht="13.5" x14ac:dyDescent="0.4">
      <c r="B137" s="268"/>
      <c r="C137" s="274" t="s">
        <v>338</v>
      </c>
      <c r="E137" s="206"/>
      <c r="F137" s="206"/>
      <c r="G137" s="206"/>
      <c r="H137" s="206"/>
      <c r="I137" s="206"/>
      <c r="J137" s="206"/>
      <c r="K137" s="206">
        <f>[1]!s_stmnote_bank_713($C$6,K6,1,2,1000000)</f>
        <v>0</v>
      </c>
    </row>
    <row r="138" spans="2:11" ht="13.5" x14ac:dyDescent="0.4">
      <c r="B138" s="268"/>
      <c r="C138" s="275" t="s">
        <v>339</v>
      </c>
      <c r="E138" s="221"/>
      <c r="F138" s="221"/>
      <c r="G138" s="221"/>
      <c r="H138" s="221"/>
      <c r="I138" s="221"/>
      <c r="J138" s="221"/>
      <c r="K138" s="221">
        <f>[1]!s_stmnote_bank_712($C$6,K6,1,2,1000000)</f>
        <v>0</v>
      </c>
    </row>
    <row r="139" spans="2:11" ht="13.5" x14ac:dyDescent="0.4">
      <c r="B139" s="268"/>
      <c r="C139" s="276" t="s">
        <v>340</v>
      </c>
      <c r="E139" s="277">
        <v>210928</v>
      </c>
      <c r="F139" s="277">
        <v>295557</v>
      </c>
      <c r="G139" s="277">
        <v>548717</v>
      </c>
      <c r="H139" s="277">
        <v>565889</v>
      </c>
      <c r="I139" s="277">
        <v>773425</v>
      </c>
      <c r="J139" s="277">
        <v>1155338</v>
      </c>
      <c r="K139" s="277"/>
    </row>
    <row r="140" spans="2:11" ht="13.5" x14ac:dyDescent="0.4">
      <c r="B140" s="268"/>
      <c r="C140" s="274" t="s">
        <v>341</v>
      </c>
      <c r="E140" s="206"/>
      <c r="F140" s="206"/>
      <c r="G140" s="206"/>
      <c r="H140" s="206"/>
      <c r="I140" s="206"/>
      <c r="J140" s="206"/>
      <c r="K140" s="206"/>
    </row>
    <row r="141" spans="2:11" ht="13.5" x14ac:dyDescent="0.4">
      <c r="B141" s="268"/>
      <c r="C141" s="274" t="s">
        <v>342</v>
      </c>
      <c r="E141" s="206"/>
      <c r="F141" s="206"/>
      <c r="G141" s="206"/>
      <c r="H141" s="206"/>
      <c r="I141" s="206"/>
      <c r="J141" s="206"/>
      <c r="K141" s="206"/>
    </row>
    <row r="142" spans="2:11" ht="13.5" x14ac:dyDescent="0.4">
      <c r="B142" s="268"/>
      <c r="C142" s="278" t="s">
        <v>343</v>
      </c>
      <c r="E142" s="206"/>
      <c r="F142" s="206"/>
      <c r="G142" s="206"/>
      <c r="H142" s="206"/>
      <c r="I142" s="206"/>
      <c r="J142" s="206"/>
      <c r="K142" s="206"/>
    </row>
    <row r="143" spans="2:11" ht="13.5" x14ac:dyDescent="0.4">
      <c r="B143" s="268"/>
      <c r="C143" s="275" t="s">
        <v>344</v>
      </c>
      <c r="E143" s="225"/>
      <c r="F143" s="225"/>
      <c r="G143" s="225"/>
      <c r="H143" s="225"/>
      <c r="I143" s="225"/>
      <c r="J143" s="225"/>
      <c r="K143" s="225"/>
    </row>
    <row r="144" spans="2:11" ht="13.5" x14ac:dyDescent="0.4">
      <c r="B144" s="268"/>
      <c r="C144" s="276" t="s">
        <v>345</v>
      </c>
      <c r="E144" s="279">
        <v>209141</v>
      </c>
      <c r="F144" s="279">
        <v>262644</v>
      </c>
      <c r="G144" s="279">
        <v>304775</v>
      </c>
      <c r="H144" s="279">
        <v>334135</v>
      </c>
      <c r="I144" s="279">
        <v>342443</v>
      </c>
      <c r="J144" s="279">
        <v>356866</v>
      </c>
      <c r="K144" s="279"/>
    </row>
    <row r="145" spans="2:11" ht="13.5" x14ac:dyDescent="0.4">
      <c r="B145" s="268"/>
      <c r="C145" s="272" t="s">
        <v>346</v>
      </c>
      <c r="E145" s="277">
        <v>312605</v>
      </c>
      <c r="F145" s="277">
        <v>424937</v>
      </c>
      <c r="G145" s="277">
        <v>372596</v>
      </c>
      <c r="H145" s="277">
        <v>360092</v>
      </c>
      <c r="I145" s="277">
        <v>377487</v>
      </c>
      <c r="J145" s="277">
        <v>394855</v>
      </c>
      <c r="K145" s="277"/>
    </row>
    <row r="146" spans="2:11" ht="13.5" x14ac:dyDescent="0.4">
      <c r="B146" s="268"/>
      <c r="C146" s="274" t="s">
        <v>347</v>
      </c>
      <c r="E146" s="220"/>
      <c r="F146" s="220"/>
      <c r="G146" s="220"/>
      <c r="H146" s="220"/>
      <c r="I146" s="220"/>
      <c r="J146" s="220"/>
      <c r="K146" s="220"/>
    </row>
    <row r="147" spans="2:11" ht="13.5" x14ac:dyDescent="0.4">
      <c r="B147" s="268"/>
      <c r="C147" s="274" t="s">
        <v>233</v>
      </c>
      <c r="E147" s="206"/>
      <c r="F147" s="206"/>
      <c r="G147" s="206"/>
      <c r="H147" s="206"/>
      <c r="I147" s="206"/>
      <c r="J147" s="206"/>
      <c r="K147" s="206"/>
    </row>
    <row r="148" spans="2:11" ht="13.5" x14ac:dyDescent="0.4">
      <c r="B148" s="268"/>
      <c r="C148" s="275" t="s">
        <v>348</v>
      </c>
      <c r="E148" s="221"/>
      <c r="F148" s="221"/>
      <c r="G148" s="221"/>
      <c r="H148" s="221"/>
      <c r="I148" s="221"/>
      <c r="J148" s="221"/>
      <c r="K148" s="221"/>
    </row>
    <row r="149" spans="2:11" ht="13.9" thickBot="1" x14ac:dyDescent="0.45">
      <c r="B149" s="268"/>
      <c r="C149" s="280" t="s">
        <v>349</v>
      </c>
      <c r="E149" s="210"/>
      <c r="F149" s="210"/>
      <c r="G149" s="210"/>
      <c r="H149" s="210"/>
      <c r="I149" s="210"/>
      <c r="J149" s="210"/>
      <c r="K149" s="210"/>
    </row>
    <row r="150" spans="2:11" x14ac:dyDescent="0.4">
      <c r="B150" s="268"/>
      <c r="C150" s="263"/>
      <c r="E150" s="211"/>
      <c r="F150" s="211"/>
      <c r="G150" s="211"/>
      <c r="H150" s="211"/>
      <c r="I150" s="211"/>
      <c r="J150" s="211"/>
      <c r="K150" s="211"/>
    </row>
    <row r="151" spans="2:11" ht="13.5" thickBot="1" x14ac:dyDescent="0.45">
      <c r="B151" s="278"/>
      <c r="C151" s="281"/>
      <c r="E151" s="211"/>
      <c r="F151" s="211"/>
      <c r="G151" s="211"/>
      <c r="H151" s="211"/>
      <c r="I151" s="211"/>
      <c r="J151" s="211"/>
      <c r="K151" s="211"/>
    </row>
    <row r="152" spans="2:11" ht="13.5" x14ac:dyDescent="0.4">
      <c r="B152" s="268"/>
      <c r="C152" s="282" t="s">
        <v>350</v>
      </c>
      <c r="E152" s="283">
        <v>1464990</v>
      </c>
      <c r="F152" s="283">
        <v>1830598</v>
      </c>
      <c r="G152" s="283">
        <v>2201188</v>
      </c>
      <c r="H152" s="283">
        <v>2332517</v>
      </c>
      <c r="I152" s="283">
        <v>2697768</v>
      </c>
      <c r="J152" s="283">
        <v>3352365</v>
      </c>
      <c r="K152" s="283">
        <f>[1]!s_stmnote_bank_59($C$6,K6,1,1000000)</f>
        <v>0</v>
      </c>
    </row>
    <row r="153" spans="2:11" ht="13.5" x14ac:dyDescent="0.4">
      <c r="B153" s="268"/>
      <c r="C153" s="272" t="s">
        <v>351</v>
      </c>
      <c r="E153" s="273">
        <v>1115498</v>
      </c>
      <c r="F153" s="273">
        <v>1283275</v>
      </c>
      <c r="G153" s="273">
        <v>1497953</v>
      </c>
      <c r="H153" s="273">
        <v>1684370</v>
      </c>
      <c r="I153" s="273">
        <v>1874760</v>
      </c>
      <c r="J153" s="273">
        <v>2091143</v>
      </c>
      <c r="K153" s="273"/>
    </row>
    <row r="154" spans="2:11" ht="13.5" x14ac:dyDescent="0.4">
      <c r="B154" s="268"/>
      <c r="C154" s="274" t="s">
        <v>326</v>
      </c>
      <c r="E154" s="211"/>
      <c r="F154" s="211"/>
      <c r="G154" s="211"/>
      <c r="H154" s="211"/>
      <c r="I154" s="211"/>
      <c r="J154" s="211"/>
      <c r="K154" s="211">
        <f t="shared" ref="K154" si="30">K155+K156</f>
        <v>0</v>
      </c>
    </row>
    <row r="155" spans="2:11" ht="13.5" x14ac:dyDescent="0.4">
      <c r="B155" s="268"/>
      <c r="C155" s="274" t="s">
        <v>352</v>
      </c>
      <c r="E155" s="206"/>
      <c r="F155" s="206"/>
      <c r="G155" s="206"/>
      <c r="H155" s="206"/>
      <c r="I155" s="206"/>
      <c r="J155" s="206"/>
      <c r="K155" s="206">
        <f>[1]!s_stmnote_bank_624($C$6,K6,1,2,1000000)</f>
        <v>0</v>
      </c>
    </row>
    <row r="156" spans="2:11" ht="13.5" x14ac:dyDescent="0.4">
      <c r="B156" s="268"/>
      <c r="C156" s="274" t="s">
        <v>353</v>
      </c>
      <c r="E156" s="206"/>
      <c r="F156" s="206"/>
      <c r="G156" s="206"/>
      <c r="H156" s="206"/>
      <c r="I156" s="206"/>
      <c r="J156" s="206"/>
      <c r="K156" s="206">
        <f>[1]!s_stmnote_bank_622($C$6,K6,1,2,1000000)</f>
        <v>0</v>
      </c>
    </row>
    <row r="157" spans="2:11" ht="13.5" x14ac:dyDescent="0.4">
      <c r="B157" s="268"/>
      <c r="C157" s="274" t="s">
        <v>329</v>
      </c>
      <c r="E157" s="284"/>
      <c r="F157" s="284"/>
      <c r="G157" s="284"/>
      <c r="H157" s="284"/>
      <c r="I157" s="284"/>
      <c r="J157" s="284"/>
      <c r="K157" s="284">
        <f t="shared" ref="K157" si="31">K158+K159</f>
        <v>0</v>
      </c>
    </row>
    <row r="158" spans="2:11" ht="13.5" x14ac:dyDescent="0.4">
      <c r="B158" s="268"/>
      <c r="C158" s="274" t="s">
        <v>354</v>
      </c>
      <c r="E158" s="206"/>
      <c r="F158" s="206"/>
      <c r="G158" s="206"/>
      <c r="H158" s="206"/>
      <c r="I158" s="206"/>
      <c r="J158" s="206"/>
      <c r="K158" s="206">
        <f>[1]!s_stmnote_bank_623($C$6,K6,1,2,1000000)</f>
        <v>0</v>
      </c>
    </row>
    <row r="159" spans="2:11" ht="13.5" x14ac:dyDescent="0.4">
      <c r="B159" s="268"/>
      <c r="C159" s="274" t="s">
        <v>355</v>
      </c>
      <c r="E159" s="206"/>
      <c r="F159" s="206"/>
      <c r="G159" s="206"/>
      <c r="H159" s="206"/>
      <c r="I159" s="206"/>
      <c r="J159" s="206"/>
      <c r="K159" s="206">
        <f>[1]!s_stmnote_bank_621($C$6,K6,1,2,1000000)</f>
        <v>0</v>
      </c>
    </row>
    <row r="160" spans="2:11" ht="13.5" x14ac:dyDescent="0.4">
      <c r="B160" s="268"/>
      <c r="C160" s="275" t="s">
        <v>356</v>
      </c>
      <c r="E160" s="221"/>
      <c r="F160" s="221"/>
      <c r="G160" s="221"/>
      <c r="H160" s="221"/>
      <c r="I160" s="221"/>
      <c r="J160" s="221"/>
      <c r="K160" s="221">
        <f>[1]!s_stmnote_bank_625($C$6,K6,1,2,1000000)</f>
        <v>0</v>
      </c>
    </row>
    <row r="161" spans="2:11" ht="13.5" x14ac:dyDescent="0.4">
      <c r="B161" s="268"/>
      <c r="C161" s="276" t="s">
        <v>357</v>
      </c>
      <c r="E161" s="273">
        <v>16000</v>
      </c>
      <c r="F161" s="273">
        <v>42576</v>
      </c>
      <c r="G161" s="273">
        <v>47849</v>
      </c>
      <c r="H161" s="273">
        <v>56611</v>
      </c>
      <c r="I161" s="273">
        <v>154641</v>
      </c>
      <c r="J161" s="273">
        <v>345449</v>
      </c>
      <c r="K161" s="273"/>
    </row>
    <row r="162" spans="2:11" ht="13.5" x14ac:dyDescent="0.4">
      <c r="B162" s="268"/>
      <c r="C162" s="285" t="s">
        <v>358</v>
      </c>
      <c r="E162" s="273">
        <v>333492</v>
      </c>
      <c r="F162" s="273">
        <v>504747</v>
      </c>
      <c r="G162" s="273">
        <v>655386</v>
      </c>
      <c r="H162" s="273">
        <v>591536</v>
      </c>
      <c r="I162" s="273">
        <v>668367</v>
      </c>
      <c r="J162" s="273">
        <v>915773</v>
      </c>
      <c r="K162" s="273"/>
    </row>
    <row r="163" spans="2:11" ht="13.5" x14ac:dyDescent="0.4">
      <c r="B163" s="268"/>
      <c r="C163" s="274" t="s">
        <v>359</v>
      </c>
      <c r="E163" s="273"/>
      <c r="F163" s="273"/>
      <c r="G163" s="273"/>
      <c r="H163" s="273"/>
      <c r="I163" s="273"/>
      <c r="J163" s="273"/>
      <c r="K163" s="273"/>
    </row>
    <row r="164" spans="2:11" ht="13.5" x14ac:dyDescent="0.4">
      <c r="B164" s="268"/>
      <c r="C164" s="274" t="s">
        <v>254</v>
      </c>
      <c r="E164" s="220"/>
      <c r="F164" s="220"/>
      <c r="G164" s="220"/>
      <c r="H164" s="220"/>
      <c r="I164" s="220"/>
      <c r="J164" s="220"/>
      <c r="K164" s="220"/>
    </row>
    <row r="165" spans="2:11" ht="13.5" x14ac:dyDescent="0.4">
      <c r="B165" s="268"/>
      <c r="C165" s="274" t="s">
        <v>360</v>
      </c>
      <c r="E165" s="220"/>
      <c r="F165" s="220"/>
      <c r="G165" s="220"/>
      <c r="H165" s="220"/>
      <c r="I165" s="220"/>
      <c r="J165" s="220"/>
      <c r="K165" s="220"/>
    </row>
    <row r="166" spans="2:11" ht="13.5" x14ac:dyDescent="0.4">
      <c r="B166" s="268"/>
      <c r="C166" s="286" t="s">
        <v>361</v>
      </c>
      <c r="E166" s="287"/>
      <c r="F166" s="287"/>
      <c r="G166" s="287"/>
      <c r="H166" s="287"/>
      <c r="I166" s="287"/>
      <c r="J166" s="287"/>
      <c r="K166" s="287"/>
    </row>
    <row r="167" spans="2:11" ht="13.9" thickBot="1" x14ac:dyDescent="0.45">
      <c r="B167" s="268"/>
      <c r="C167" s="280" t="s">
        <v>362</v>
      </c>
      <c r="E167" s="210"/>
      <c r="F167" s="210"/>
      <c r="G167" s="210"/>
      <c r="H167" s="210"/>
      <c r="I167" s="210"/>
      <c r="J167" s="210"/>
      <c r="K167" s="210"/>
    </row>
    <row r="168" spans="2:11" x14ac:dyDescent="0.4">
      <c r="E168" s="211"/>
      <c r="F168" s="211"/>
      <c r="G168" s="211"/>
      <c r="H168" s="211"/>
      <c r="I168" s="211"/>
      <c r="J168" s="211"/>
      <c r="K168" s="211"/>
    </row>
    <row r="169" spans="2:11" ht="13.5" x14ac:dyDescent="0.4">
      <c r="B169" s="253" t="s">
        <v>363</v>
      </c>
      <c r="E169" s="211"/>
      <c r="F169" s="211"/>
      <c r="G169" s="211"/>
      <c r="H169" s="211"/>
      <c r="I169" s="211"/>
      <c r="J169" s="211"/>
      <c r="K169" s="211"/>
    </row>
    <row r="170" spans="2:11" ht="13.5" thickBot="1" x14ac:dyDescent="0.45">
      <c r="B170" s="268"/>
      <c r="C170" s="198"/>
      <c r="E170" s="211">
        <f t="shared" ref="E170:J170" si="32">E172+E177+E182+E183</f>
        <v>77884</v>
      </c>
      <c r="F170" s="211">
        <f t="shared" si="32"/>
        <v>103971</v>
      </c>
      <c r="G170" s="211">
        <f t="shared" si="32"/>
        <v>120082</v>
      </c>
      <c r="H170" s="211">
        <f t="shared" si="32"/>
        <v>133926</v>
      </c>
      <c r="I170" s="211">
        <f t="shared" si="32"/>
        <v>141907</v>
      </c>
      <c r="J170" s="211">
        <f t="shared" si="32"/>
        <v>143450</v>
      </c>
      <c r="K170" s="211"/>
    </row>
    <row r="171" spans="2:11" ht="13.5" x14ac:dyDescent="0.4">
      <c r="B171" s="200"/>
      <c r="C171" s="270" t="s">
        <v>364</v>
      </c>
      <c r="E171" s="235">
        <v>77884</v>
      </c>
      <c r="F171" s="235">
        <v>103971</v>
      </c>
      <c r="G171" s="235">
        <v>120082</v>
      </c>
      <c r="H171" s="235">
        <v>133926</v>
      </c>
      <c r="I171" s="235">
        <v>141907</v>
      </c>
      <c r="J171" s="235">
        <v>143450</v>
      </c>
      <c r="K171" s="235">
        <f t="shared" ref="K171" si="33">K69</f>
        <v>38671</v>
      </c>
    </row>
    <row r="172" spans="2:11" ht="13.5" x14ac:dyDescent="0.4">
      <c r="B172" s="269"/>
      <c r="C172" s="272" t="s">
        <v>365</v>
      </c>
      <c r="E172" s="288">
        <v>50918</v>
      </c>
      <c r="F172" s="289">
        <v>65520</v>
      </c>
      <c r="G172" s="289">
        <v>70608</v>
      </c>
      <c r="H172" s="289">
        <v>79880</v>
      </c>
      <c r="I172" s="289">
        <v>83971</v>
      </c>
      <c r="J172" s="289">
        <v>79714</v>
      </c>
      <c r="K172" s="289">
        <f t="shared" ref="K172" si="34">K173+K176</f>
        <v>0</v>
      </c>
    </row>
    <row r="173" spans="2:11" ht="13.5" x14ac:dyDescent="0.4">
      <c r="B173" s="257"/>
      <c r="C173" s="274" t="s">
        <v>366</v>
      </c>
      <c r="E173" s="290"/>
      <c r="F173" s="290"/>
      <c r="G173" s="290"/>
      <c r="H173" s="290"/>
      <c r="I173" s="290"/>
      <c r="J173" s="290"/>
      <c r="K173" s="290"/>
    </row>
    <row r="174" spans="2:11" ht="13.5" x14ac:dyDescent="0.4">
      <c r="B174" s="257"/>
      <c r="C174" s="274" t="s">
        <v>367</v>
      </c>
      <c r="E174" s="290"/>
      <c r="F174" s="290"/>
      <c r="G174" s="290"/>
      <c r="H174" s="290"/>
      <c r="I174" s="290"/>
      <c r="J174" s="290"/>
      <c r="K174" s="220"/>
    </row>
    <row r="175" spans="2:11" ht="13.5" x14ac:dyDescent="0.4">
      <c r="B175" s="268"/>
      <c r="C175" s="274" t="s">
        <v>338</v>
      </c>
      <c r="E175" s="206"/>
      <c r="F175" s="206"/>
      <c r="G175" s="206"/>
      <c r="H175" s="206"/>
      <c r="I175" s="206"/>
      <c r="J175" s="206"/>
      <c r="K175" s="206"/>
    </row>
    <row r="176" spans="2:11" ht="13.5" x14ac:dyDescent="0.4">
      <c r="B176" s="268"/>
      <c r="C176" s="275" t="s">
        <v>339</v>
      </c>
      <c r="E176" s="206"/>
      <c r="F176" s="206"/>
      <c r="G176" s="206"/>
      <c r="H176" s="206"/>
      <c r="I176" s="206"/>
      <c r="J176" s="206"/>
      <c r="K176" s="221"/>
    </row>
    <row r="177" spans="2:11" ht="13.5" x14ac:dyDescent="0.4">
      <c r="B177" s="268"/>
      <c r="C177" s="276" t="s">
        <v>340</v>
      </c>
      <c r="E177" s="277">
        <v>7822</v>
      </c>
      <c r="F177" s="277">
        <v>13689</v>
      </c>
      <c r="G177" s="277">
        <v>27349</v>
      </c>
      <c r="H177" s="277">
        <v>29494</v>
      </c>
      <c r="I177" s="277">
        <v>38801</v>
      </c>
      <c r="J177" s="277">
        <v>46560</v>
      </c>
      <c r="K177" s="277"/>
    </row>
    <row r="178" spans="2:11" ht="13.5" x14ac:dyDescent="0.4">
      <c r="B178" s="268"/>
      <c r="C178" s="274" t="s">
        <v>341</v>
      </c>
      <c r="E178" s="206"/>
      <c r="F178" s="206"/>
      <c r="G178" s="206"/>
      <c r="H178" s="206"/>
      <c r="I178" s="206"/>
      <c r="J178" s="206"/>
      <c r="K178" s="206"/>
    </row>
    <row r="179" spans="2:11" ht="13.5" x14ac:dyDescent="0.4">
      <c r="B179" s="268"/>
      <c r="C179" s="274" t="s">
        <v>342</v>
      </c>
      <c r="E179" s="206"/>
      <c r="F179" s="206"/>
      <c r="G179" s="206"/>
      <c r="H179" s="206"/>
      <c r="I179" s="206"/>
      <c r="J179" s="206"/>
      <c r="K179" s="206"/>
    </row>
    <row r="180" spans="2:11" ht="13.5" x14ac:dyDescent="0.4">
      <c r="B180" s="268"/>
      <c r="C180" s="278" t="s">
        <v>343</v>
      </c>
      <c r="E180" s="206"/>
      <c r="F180" s="206"/>
      <c r="G180" s="206"/>
      <c r="H180" s="206"/>
      <c r="I180" s="206"/>
      <c r="J180" s="206"/>
      <c r="K180" s="206"/>
    </row>
    <row r="181" spans="2:11" ht="13.5" x14ac:dyDescent="0.4">
      <c r="B181" s="268"/>
      <c r="C181" s="275" t="s">
        <v>344</v>
      </c>
      <c r="E181" s="225"/>
      <c r="F181" s="225"/>
      <c r="G181" s="225"/>
      <c r="H181" s="225"/>
      <c r="I181" s="225"/>
      <c r="J181" s="225"/>
      <c r="K181" s="225"/>
    </row>
    <row r="182" spans="2:11" ht="13.5" x14ac:dyDescent="0.4">
      <c r="B182" s="268"/>
      <c r="C182" s="276" t="s">
        <v>345</v>
      </c>
      <c r="E182" s="279">
        <v>3106</v>
      </c>
      <c r="F182" s="279">
        <v>3901</v>
      </c>
      <c r="G182" s="279">
        <v>4535</v>
      </c>
      <c r="H182" s="279">
        <v>5034</v>
      </c>
      <c r="I182" s="279">
        <v>5120</v>
      </c>
      <c r="J182" s="279">
        <v>5306</v>
      </c>
      <c r="K182" s="279"/>
    </row>
    <row r="183" spans="2:11" ht="13.5" x14ac:dyDescent="0.4">
      <c r="B183" s="268"/>
      <c r="C183" s="272" t="s">
        <v>346</v>
      </c>
      <c r="E183" s="291">
        <v>16038</v>
      </c>
      <c r="F183" s="279">
        <v>20861</v>
      </c>
      <c r="G183" s="291">
        <v>17590</v>
      </c>
      <c r="H183" s="291">
        <v>19518</v>
      </c>
      <c r="I183" s="291">
        <v>14015</v>
      </c>
      <c r="J183" s="291">
        <v>11870</v>
      </c>
      <c r="K183" s="291"/>
    </row>
    <row r="184" spans="2:11" ht="13.5" x14ac:dyDescent="0.4">
      <c r="B184" s="268"/>
      <c r="C184" s="274" t="s">
        <v>347</v>
      </c>
      <c r="E184" s="220"/>
      <c r="F184" s="220"/>
      <c r="G184" s="220"/>
      <c r="H184" s="220"/>
      <c r="I184" s="220"/>
      <c r="J184" s="220"/>
      <c r="K184" s="220"/>
    </row>
    <row r="185" spans="2:11" ht="13.5" x14ac:dyDescent="0.4">
      <c r="B185" s="268"/>
      <c r="C185" s="274" t="s">
        <v>233</v>
      </c>
      <c r="E185" s="206"/>
      <c r="F185" s="206"/>
      <c r="G185" s="206"/>
      <c r="H185" s="206"/>
      <c r="I185" s="206"/>
      <c r="J185" s="206"/>
      <c r="K185" s="206"/>
    </row>
    <row r="186" spans="2:11" ht="13.5" x14ac:dyDescent="0.4">
      <c r="B186" s="268"/>
      <c r="C186" s="275" t="s">
        <v>348</v>
      </c>
      <c r="E186" s="221"/>
      <c r="F186" s="221"/>
      <c r="G186" s="221"/>
      <c r="H186" s="221"/>
      <c r="I186" s="221"/>
      <c r="J186" s="221"/>
      <c r="K186" s="221"/>
    </row>
    <row r="187" spans="2:11" ht="13.9" thickBot="1" x14ac:dyDescent="0.45">
      <c r="B187" s="268"/>
      <c r="C187" s="280" t="s">
        <v>368</v>
      </c>
      <c r="E187" s="210"/>
      <c r="F187" s="210"/>
      <c r="G187" s="210"/>
      <c r="H187" s="210"/>
      <c r="I187" s="210"/>
      <c r="J187" s="210"/>
      <c r="K187" s="210"/>
    </row>
    <row r="188" spans="2:11" s="231" customFormat="1" ht="13.5" x14ac:dyDescent="0.4">
      <c r="B188" s="292"/>
      <c r="C188" s="230" t="s">
        <v>281</v>
      </c>
      <c r="E188" s="232"/>
      <c r="F188" s="232"/>
      <c r="G188" s="232"/>
      <c r="H188" s="232"/>
      <c r="I188" s="232"/>
      <c r="J188" s="232"/>
      <c r="K188" s="232">
        <v>0</v>
      </c>
    </row>
    <row r="189" spans="2:11" x14ac:dyDescent="0.4">
      <c r="B189" s="268"/>
      <c r="C189" s="263"/>
      <c r="E189" s="211"/>
      <c r="F189" s="211"/>
      <c r="G189" s="211"/>
      <c r="H189" s="211"/>
      <c r="I189" s="211"/>
      <c r="J189" s="211"/>
      <c r="K189" s="211"/>
    </row>
    <row r="190" spans="2:11" ht="13.5" thickBot="1" x14ac:dyDescent="0.45">
      <c r="B190" s="278"/>
      <c r="C190" s="281"/>
      <c r="E190" s="211"/>
      <c r="F190" s="211"/>
      <c r="G190" s="211"/>
      <c r="H190" s="211"/>
      <c r="I190" s="211"/>
      <c r="J190" s="211"/>
      <c r="K190" s="211"/>
    </row>
    <row r="191" spans="2:11" ht="13.5" x14ac:dyDescent="0.4">
      <c r="B191" s="268"/>
      <c r="C191" s="282" t="s">
        <v>369</v>
      </c>
      <c r="E191" s="235">
        <v>-38448</v>
      </c>
      <c r="F191" s="235">
        <v>-54012</v>
      </c>
      <c r="G191" s="235">
        <v>-69220</v>
      </c>
      <c r="H191" s="235">
        <v>-75667</v>
      </c>
      <c r="I191" s="235">
        <v>-75448</v>
      </c>
      <c r="J191" s="235">
        <v>-78162</v>
      </c>
      <c r="K191" s="235">
        <f t="shared" ref="K191" si="35">K70</f>
        <v>-23468</v>
      </c>
    </row>
    <row r="192" spans="2:11" ht="13.5" x14ac:dyDescent="0.4">
      <c r="B192" s="268"/>
      <c r="C192" s="272" t="s">
        <v>370</v>
      </c>
      <c r="E192" s="293">
        <v>-23442</v>
      </c>
      <c r="F192" s="293">
        <v>-31446</v>
      </c>
      <c r="G192" s="293">
        <v>-37617</v>
      </c>
      <c r="H192" s="293">
        <v>-45911</v>
      </c>
      <c r="I192" s="293">
        <v>-47538</v>
      </c>
      <c r="J192" s="293">
        <v>-41451</v>
      </c>
      <c r="K192" s="293"/>
    </row>
    <row r="193" spans="2:11" s="207" customFormat="1" ht="13.5" x14ac:dyDescent="0.4">
      <c r="B193" s="294"/>
      <c r="C193" s="295" t="s">
        <v>326</v>
      </c>
      <c r="E193" s="296"/>
      <c r="F193" s="296"/>
      <c r="G193" s="296"/>
      <c r="H193" s="296"/>
      <c r="I193" s="296"/>
      <c r="J193" s="296"/>
      <c r="K193" s="296"/>
    </row>
    <row r="194" spans="2:11" ht="13.5" x14ac:dyDescent="0.4">
      <c r="B194" s="268"/>
      <c r="C194" s="274" t="s">
        <v>352</v>
      </c>
      <c r="E194" s="206"/>
      <c r="F194" s="206"/>
      <c r="G194" s="206"/>
      <c r="H194" s="206"/>
      <c r="I194" s="206"/>
      <c r="J194" s="206"/>
      <c r="K194" s="206"/>
    </row>
    <row r="195" spans="2:11" ht="13.5" x14ac:dyDescent="0.4">
      <c r="B195" s="268"/>
      <c r="C195" s="274" t="s">
        <v>353</v>
      </c>
      <c r="E195" s="206"/>
      <c r="F195" s="206"/>
      <c r="G195" s="206"/>
      <c r="H195" s="206"/>
      <c r="I195" s="206"/>
      <c r="J195" s="206"/>
      <c r="K195" s="206"/>
    </row>
    <row r="196" spans="2:11" s="207" customFormat="1" ht="13.5" x14ac:dyDescent="0.4">
      <c r="B196" s="294"/>
      <c r="C196" s="295" t="s">
        <v>329</v>
      </c>
      <c r="E196" s="297"/>
      <c r="F196" s="297"/>
      <c r="G196" s="297"/>
      <c r="H196" s="297"/>
      <c r="I196" s="297"/>
      <c r="J196" s="297"/>
      <c r="K196" s="297"/>
    </row>
    <row r="197" spans="2:11" ht="13.5" x14ac:dyDescent="0.4">
      <c r="B197" s="268"/>
      <c r="C197" s="274" t="s">
        <v>354</v>
      </c>
      <c r="E197" s="206"/>
      <c r="F197" s="206"/>
      <c r="G197" s="206"/>
      <c r="H197" s="206"/>
      <c r="I197" s="206"/>
      <c r="J197" s="206"/>
      <c r="K197" s="206"/>
    </row>
    <row r="198" spans="2:11" ht="13.5" x14ac:dyDescent="0.4">
      <c r="B198" s="268"/>
      <c r="C198" s="274" t="s">
        <v>355</v>
      </c>
      <c r="E198" s="206"/>
      <c r="F198" s="206"/>
      <c r="G198" s="206"/>
      <c r="H198" s="206"/>
      <c r="I198" s="206"/>
      <c r="J198" s="206"/>
      <c r="K198" s="206"/>
    </row>
    <row r="199" spans="2:11" ht="13.5" x14ac:dyDescent="0.4">
      <c r="B199" s="268"/>
      <c r="C199" s="275" t="s">
        <v>356</v>
      </c>
      <c r="E199" s="211"/>
      <c r="F199" s="211"/>
      <c r="G199" s="211"/>
      <c r="H199" s="211"/>
      <c r="I199" s="211"/>
      <c r="J199" s="297"/>
      <c r="K199" s="211"/>
    </row>
    <row r="200" spans="2:11" ht="13.5" x14ac:dyDescent="0.4">
      <c r="B200" s="268"/>
      <c r="C200" s="276" t="s">
        <v>357</v>
      </c>
      <c r="E200" s="273">
        <v>-753</v>
      </c>
      <c r="F200" s="273">
        <v>-1953</v>
      </c>
      <c r="G200" s="273">
        <v>-2095</v>
      </c>
      <c r="H200" s="273">
        <v>-2568</v>
      </c>
      <c r="I200" s="273">
        <v>-6570</v>
      </c>
      <c r="J200" s="273">
        <v>-11299</v>
      </c>
      <c r="K200" s="273"/>
    </row>
    <row r="201" spans="2:11" ht="13.5" x14ac:dyDescent="0.4">
      <c r="B201" s="268"/>
      <c r="C201" s="285" t="s">
        <v>358</v>
      </c>
      <c r="E201" s="298">
        <v>-14249</v>
      </c>
      <c r="F201" s="298">
        <v>-20309</v>
      </c>
      <c r="G201" s="298">
        <v>-29508</v>
      </c>
      <c r="H201" s="298">
        <v>-27188</v>
      </c>
      <c r="I201" s="298">
        <v>-21340</v>
      </c>
      <c r="J201" s="298">
        <v>-25412</v>
      </c>
      <c r="K201" s="298"/>
    </row>
    <row r="202" spans="2:11" ht="13.5" x14ac:dyDescent="0.4">
      <c r="B202" s="268"/>
      <c r="C202" s="274" t="s">
        <v>359</v>
      </c>
      <c r="E202" s="220"/>
      <c r="F202" s="220"/>
      <c r="G202" s="220"/>
      <c r="H202" s="220"/>
      <c r="I202" s="220"/>
      <c r="J202" s="220"/>
      <c r="K202" s="220"/>
    </row>
    <row r="203" spans="2:11" ht="13.5" x14ac:dyDescent="0.4">
      <c r="B203" s="268"/>
      <c r="C203" s="274" t="s">
        <v>254</v>
      </c>
      <c r="E203" s="206"/>
      <c r="F203" s="206"/>
      <c r="G203" s="206"/>
      <c r="H203" s="206"/>
      <c r="I203" s="206"/>
      <c r="J203" s="206"/>
      <c r="K203" s="206"/>
    </row>
    <row r="204" spans="2:11" ht="13.5" x14ac:dyDescent="0.4">
      <c r="B204" s="268"/>
      <c r="C204" s="274" t="s">
        <v>360</v>
      </c>
      <c r="E204" s="206"/>
      <c r="F204" s="206"/>
      <c r="G204" s="206"/>
      <c r="H204" s="206"/>
      <c r="I204" s="206"/>
      <c r="J204" s="206"/>
      <c r="K204" s="206"/>
    </row>
    <row r="205" spans="2:11" ht="13.5" x14ac:dyDescent="0.4">
      <c r="B205" s="268"/>
      <c r="C205" s="286" t="s">
        <v>361</v>
      </c>
      <c r="E205" s="287"/>
      <c r="F205" s="287"/>
      <c r="G205" s="287"/>
      <c r="H205" s="287"/>
      <c r="I205" s="287"/>
      <c r="J205" s="287"/>
      <c r="K205" s="287"/>
    </row>
    <row r="206" spans="2:11" ht="13.9" thickBot="1" x14ac:dyDescent="0.45">
      <c r="B206" s="268"/>
      <c r="C206" s="280" t="s">
        <v>371</v>
      </c>
      <c r="E206" s="299"/>
      <c r="F206" s="299"/>
      <c r="G206" s="299"/>
      <c r="H206" s="299"/>
      <c r="I206" s="299"/>
      <c r="J206" s="299"/>
      <c r="K206" s="299"/>
    </row>
    <row r="207" spans="2:11" s="301" customFormat="1" ht="13.5" x14ac:dyDescent="0.4">
      <c r="B207" s="300"/>
      <c r="C207" s="230" t="s">
        <v>281</v>
      </c>
      <c r="E207" s="232">
        <v>0</v>
      </c>
      <c r="F207" s="232">
        <v>0</v>
      </c>
      <c r="G207" s="232">
        <v>0</v>
      </c>
      <c r="H207" s="232">
        <f t="shared" ref="H207" si="36">IF(H192=0,0,H191-H192-H200-H201)</f>
        <v>0</v>
      </c>
      <c r="I207" s="232">
        <f>IF(I192=0,0,I191-I192-I200-I201)</f>
        <v>0</v>
      </c>
      <c r="J207" s="232">
        <f>IF(J192=0,0,J191-J192-J200-J201)</f>
        <v>0</v>
      </c>
      <c r="K207" s="232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372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373</v>
      </c>
      <c r="E212" s="304">
        <f>[1]!s_stmnote_bank_58($C$6,E6,1)/100</f>
        <v>4.9200000000000001E-2</v>
      </c>
      <c r="F212" s="304">
        <f>[1]!s_stmnote_bank_58($C$6,F6,1)/100</f>
        <v>5.2900000000000003E-2</v>
      </c>
      <c r="G212" s="304">
        <f>[1]!s_stmnote_bank_58($C$6,G6,1)/100</f>
        <v>5.0999999999999997E-2</v>
      </c>
      <c r="H212" s="305">
        <f t="shared" ref="H212:J213" si="37">H171/H133</f>
        <v>5.2961093214782567E-2</v>
      </c>
      <c r="I212" s="305">
        <f t="shared" si="37"/>
        <v>4.811644758770138E-2</v>
      </c>
      <c r="J212" s="305">
        <f t="shared" si="37"/>
        <v>3.9205750796277132E-2</v>
      </c>
      <c r="K212" s="304"/>
    </row>
    <row r="213" spans="2:11" ht="13.5" x14ac:dyDescent="0.4">
      <c r="B213" s="269"/>
      <c r="C213" s="286" t="s">
        <v>365</v>
      </c>
      <c r="E213" s="306">
        <f>E172/E134</f>
        <v>5.996518773421141E-2</v>
      </c>
      <c r="F213" s="306">
        <f t="shared" ref="F213:G213" si="38">F172/F134</f>
        <v>6.6596600646043946E-2</v>
      </c>
      <c r="G213" s="306">
        <f t="shared" si="38"/>
        <v>6.2551381998582567E-2</v>
      </c>
      <c r="H213" s="306">
        <f t="shared" si="37"/>
        <v>6.2964767161209662E-2</v>
      </c>
      <c r="I213" s="306">
        <f t="shared" si="37"/>
        <v>5.7676906021487943E-2</v>
      </c>
      <c r="J213" s="306">
        <f t="shared" si="37"/>
        <v>4.5502936050776238E-2</v>
      </c>
      <c r="K213" s="306"/>
    </row>
    <row r="214" spans="2:11" ht="13.5" x14ac:dyDescent="0.4">
      <c r="B214" s="257"/>
      <c r="C214" s="274" t="s">
        <v>318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319</v>
      </c>
      <c r="E215" s="306" t="e">
        <f t="shared" ref="E215:J218" si="39">E174/E136</f>
        <v>#DIV/0!</v>
      </c>
      <c r="F215" s="306" t="e">
        <f t="shared" si="39"/>
        <v>#DIV/0!</v>
      </c>
      <c r="G215" s="306" t="e">
        <f t="shared" si="39"/>
        <v>#DIV/0!</v>
      </c>
      <c r="H215" s="306" t="e">
        <f t="shared" si="39"/>
        <v>#DIV/0!</v>
      </c>
      <c r="I215" s="306" t="e">
        <f t="shared" si="39"/>
        <v>#DIV/0!</v>
      </c>
      <c r="J215" s="306" t="e">
        <f t="shared" si="39"/>
        <v>#DIV/0!</v>
      </c>
      <c r="K215" s="309"/>
    </row>
    <row r="216" spans="2:11" ht="13.5" x14ac:dyDescent="0.4">
      <c r="B216" s="268"/>
      <c r="C216" s="274" t="s">
        <v>338</v>
      </c>
      <c r="E216" s="306" t="e">
        <f t="shared" si="39"/>
        <v>#DIV/0!</v>
      </c>
      <c r="F216" s="306" t="e">
        <f t="shared" si="39"/>
        <v>#DIV/0!</v>
      </c>
      <c r="G216" s="306" t="e">
        <f t="shared" si="39"/>
        <v>#DIV/0!</v>
      </c>
      <c r="H216" s="306" t="e">
        <f t="shared" si="39"/>
        <v>#DIV/0!</v>
      </c>
      <c r="I216" s="306" t="e">
        <f t="shared" si="39"/>
        <v>#DIV/0!</v>
      </c>
      <c r="J216" s="306" t="e">
        <f t="shared" si="39"/>
        <v>#DIV/0!</v>
      </c>
      <c r="K216" s="309"/>
    </row>
    <row r="217" spans="2:11" ht="13.5" x14ac:dyDescent="0.4">
      <c r="B217" s="268"/>
      <c r="C217" s="275" t="s">
        <v>339</v>
      </c>
      <c r="E217" s="306" t="e">
        <f t="shared" si="39"/>
        <v>#DIV/0!</v>
      </c>
      <c r="F217" s="306" t="e">
        <f t="shared" si="39"/>
        <v>#DIV/0!</v>
      </c>
      <c r="G217" s="306" t="e">
        <f t="shared" si="39"/>
        <v>#DIV/0!</v>
      </c>
      <c r="H217" s="306" t="e">
        <f t="shared" si="39"/>
        <v>#DIV/0!</v>
      </c>
      <c r="I217" s="306" t="e">
        <f t="shared" si="39"/>
        <v>#DIV/0!</v>
      </c>
      <c r="J217" s="306" t="e">
        <f t="shared" si="39"/>
        <v>#DIV/0!</v>
      </c>
      <c r="K217" s="310"/>
    </row>
    <row r="218" spans="2:11" ht="13.5" x14ac:dyDescent="0.4">
      <c r="B218" s="268"/>
      <c r="C218" s="311" t="s">
        <v>340</v>
      </c>
      <c r="E218" s="308">
        <f t="shared" si="39"/>
        <v>3.7083744216035802E-2</v>
      </c>
      <c r="F218" s="308">
        <f t="shared" si="39"/>
        <v>4.6315939057440698E-2</v>
      </c>
      <c r="G218" s="308">
        <f t="shared" si="39"/>
        <v>4.9841721688958063E-2</v>
      </c>
      <c r="H218" s="308">
        <f t="shared" si="39"/>
        <v>5.2119762002795604E-2</v>
      </c>
      <c r="I218" s="308">
        <f t="shared" si="39"/>
        <v>5.0167760287034943E-2</v>
      </c>
      <c r="J218" s="308">
        <f t="shared" si="39"/>
        <v>4.0299894922524837E-2</v>
      </c>
      <c r="K218" s="307"/>
    </row>
    <row r="219" spans="2:11" ht="13.5" x14ac:dyDescent="0.4">
      <c r="B219" s="268"/>
      <c r="C219" s="274" t="s">
        <v>341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342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343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344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345</v>
      </c>
      <c r="E223" s="308">
        <f t="shared" ref="E223:J224" si="40">E182/E144</f>
        <v>1.4851224771804668E-2</v>
      </c>
      <c r="F223" s="308">
        <f t="shared" si="40"/>
        <v>1.4852804556738399E-2</v>
      </c>
      <c r="G223" s="308">
        <f t="shared" si="40"/>
        <v>1.4879829382331228E-2</v>
      </c>
      <c r="H223" s="308">
        <f t="shared" si="40"/>
        <v>1.5065766830771994E-2</v>
      </c>
      <c r="I223" s="308">
        <f t="shared" si="40"/>
        <v>1.4951393370575541E-2</v>
      </c>
      <c r="J223" s="308">
        <f t="shared" si="40"/>
        <v>1.4868325926258035E-2</v>
      </c>
      <c r="K223" s="312"/>
    </row>
    <row r="224" spans="2:11" ht="13.5" x14ac:dyDescent="0.4">
      <c r="B224" s="268"/>
      <c r="C224" s="286" t="s">
        <v>346</v>
      </c>
      <c r="E224" s="308">
        <f t="shared" si="40"/>
        <v>5.1304361734457224E-2</v>
      </c>
      <c r="F224" s="308">
        <f t="shared" si="40"/>
        <v>4.909198304689872E-2</v>
      </c>
      <c r="G224" s="308">
        <f t="shared" si="40"/>
        <v>4.7209309815456957E-2</v>
      </c>
      <c r="H224" s="308">
        <f t="shared" si="40"/>
        <v>5.4202814836208521E-2</v>
      </c>
      <c r="I224" s="308">
        <f t="shared" si="40"/>
        <v>3.7127106363927763E-2</v>
      </c>
      <c r="J224" s="308">
        <f t="shared" si="40"/>
        <v>3.0061668207316612E-2</v>
      </c>
      <c r="K224" s="306"/>
    </row>
    <row r="225" spans="2:11" ht="13.5" x14ac:dyDescent="0.4">
      <c r="B225" s="292"/>
      <c r="C225" s="274" t="s">
        <v>347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233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348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374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375</v>
      </c>
      <c r="E231" s="314">
        <f>[1]!s_stmnote_bank_60($C$6,E6,1)/100</f>
        <v>2.6200000000000001E-2</v>
      </c>
      <c r="F231" s="314">
        <f>[1]!s_stmnote_bank_60($C$6,F6,1)/100</f>
        <v>2.9500000000000002E-2</v>
      </c>
      <c r="G231" s="314">
        <f>[1]!s_stmnote_bank_60($C$6,G6,1)/100</f>
        <v>3.1400000000000004E-2</v>
      </c>
      <c r="H231" s="314">
        <f>[1]!s_stmnote_bank_60($C$6,H6,1)/100</f>
        <v>3.2400000000000005E-2</v>
      </c>
      <c r="I231" s="314">
        <f>[1]!s_stmnote_bank_60($C$6,I6,1)/100</f>
        <v>2.7999999999999997E-2</v>
      </c>
      <c r="J231" s="314">
        <f>[1]!s_stmnote_bank_60($C$6,J6,1)/100</f>
        <v>2.3300000000000001E-2</v>
      </c>
      <c r="K231" s="314"/>
    </row>
    <row r="232" spans="2:11" ht="13.5" x14ac:dyDescent="0.4">
      <c r="B232" s="268"/>
      <c r="C232" s="315" t="s">
        <v>376</v>
      </c>
      <c r="E232" s="308">
        <f>-E192/E153</f>
        <v>2.1014829251150606E-2</v>
      </c>
      <c r="F232" s="308">
        <f>-F192/F153</f>
        <v>2.4504490463852252E-2</v>
      </c>
      <c r="G232" s="308">
        <f>-G192/G153</f>
        <v>2.5112269877626336E-2</v>
      </c>
      <c r="H232" s="308">
        <f>-H192/H153</f>
        <v>2.7257075345678207E-2</v>
      </c>
      <c r="I232" s="308">
        <f t="shared" ref="I232" si="41">-I192/I153</f>
        <v>2.5356845676246558E-2</v>
      </c>
      <c r="J232" s="308">
        <f>-J192/J153</f>
        <v>1.9822173806382442E-2</v>
      </c>
      <c r="K232" s="308"/>
    </row>
    <row r="233" spans="2:11" s="244" customFormat="1" ht="13.5" x14ac:dyDescent="0.4">
      <c r="B233" s="269"/>
      <c r="C233" s="278" t="s">
        <v>326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352</v>
      </c>
      <c r="E234" s="312" t="e">
        <f t="shared" ref="E234:J238" si="42">-E194/E155</f>
        <v>#DIV/0!</v>
      </c>
      <c r="F234" s="312" t="e">
        <f t="shared" si="42"/>
        <v>#DIV/0!</v>
      </c>
      <c r="G234" s="312" t="e">
        <f t="shared" si="42"/>
        <v>#DIV/0!</v>
      </c>
      <c r="H234" s="312" t="e">
        <f t="shared" si="42"/>
        <v>#DIV/0!</v>
      </c>
      <c r="I234" s="312" t="e">
        <f t="shared" si="42"/>
        <v>#DIV/0!</v>
      </c>
      <c r="J234" s="312" t="e">
        <f t="shared" si="42"/>
        <v>#DIV/0!</v>
      </c>
      <c r="K234" s="309"/>
    </row>
    <row r="235" spans="2:11" s="244" customFormat="1" ht="13.5" x14ac:dyDescent="0.4">
      <c r="B235" s="269"/>
      <c r="C235" s="278" t="s">
        <v>353</v>
      </c>
      <c r="E235" s="312" t="e">
        <f t="shared" si="42"/>
        <v>#DIV/0!</v>
      </c>
      <c r="F235" s="312" t="e">
        <f t="shared" si="42"/>
        <v>#DIV/0!</v>
      </c>
      <c r="G235" s="312" t="e">
        <f t="shared" si="42"/>
        <v>#DIV/0!</v>
      </c>
      <c r="H235" s="312" t="e">
        <f t="shared" si="42"/>
        <v>#DIV/0!</v>
      </c>
      <c r="I235" s="312" t="e">
        <f t="shared" si="42"/>
        <v>#DIV/0!</v>
      </c>
      <c r="J235" s="312" t="e">
        <f t="shared" si="42"/>
        <v>#DIV/0!</v>
      </c>
      <c r="K235" s="309"/>
    </row>
    <row r="236" spans="2:11" s="244" customFormat="1" ht="13.5" x14ac:dyDescent="0.4">
      <c r="B236" s="269"/>
      <c r="C236" s="278" t="s">
        <v>329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354</v>
      </c>
      <c r="E237" s="312" t="e">
        <f t="shared" si="42"/>
        <v>#DIV/0!</v>
      </c>
      <c r="F237" s="312" t="e">
        <f t="shared" si="42"/>
        <v>#DIV/0!</v>
      </c>
      <c r="G237" s="312" t="e">
        <f t="shared" si="42"/>
        <v>#DIV/0!</v>
      </c>
      <c r="H237" s="312" t="e">
        <f t="shared" si="42"/>
        <v>#DIV/0!</v>
      </c>
      <c r="I237" s="312" t="e">
        <f t="shared" si="42"/>
        <v>#DIV/0!</v>
      </c>
      <c r="J237" s="312" t="e">
        <f t="shared" si="42"/>
        <v>#DIV/0!</v>
      </c>
      <c r="K237" s="309"/>
    </row>
    <row r="238" spans="2:11" s="244" customFormat="1" ht="13.5" x14ac:dyDescent="0.4">
      <c r="B238" s="269"/>
      <c r="C238" s="278" t="s">
        <v>355</v>
      </c>
      <c r="E238" s="312" t="e">
        <f t="shared" si="42"/>
        <v>#DIV/0!</v>
      </c>
      <c r="F238" s="312" t="e">
        <f t="shared" si="42"/>
        <v>#DIV/0!</v>
      </c>
      <c r="G238" s="312" t="e">
        <f t="shared" si="42"/>
        <v>#DIV/0!</v>
      </c>
      <c r="H238" s="312" t="e">
        <f t="shared" si="42"/>
        <v>#DIV/0!</v>
      </c>
      <c r="I238" s="312" t="e">
        <f t="shared" si="42"/>
        <v>#DIV/0!</v>
      </c>
      <c r="J238" s="312" t="e">
        <f t="shared" si="42"/>
        <v>#DIV/0!</v>
      </c>
      <c r="K238" s="309"/>
    </row>
    <row r="239" spans="2:11" ht="13.5" x14ac:dyDescent="0.4">
      <c r="B239" s="268"/>
      <c r="C239" s="275" t="s">
        <v>330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357</v>
      </c>
      <c r="E240" s="306">
        <f t="shared" ref="E240:J245" si="43">-E200/E161</f>
        <v>4.70625E-2</v>
      </c>
      <c r="F240" s="306">
        <f t="shared" si="43"/>
        <v>4.5870913190529876E-2</v>
      </c>
      <c r="G240" s="306">
        <f t="shared" si="43"/>
        <v>4.3783569144600722E-2</v>
      </c>
      <c r="H240" s="306">
        <f t="shared" si="43"/>
        <v>4.5362208758015228E-2</v>
      </c>
      <c r="I240" s="306">
        <f t="shared" si="43"/>
        <v>4.248549867111568E-2</v>
      </c>
      <c r="J240" s="306">
        <f t="shared" si="43"/>
        <v>3.2708156630935389E-2</v>
      </c>
      <c r="K240" s="306"/>
    </row>
    <row r="241" spans="2:11" ht="13.5" x14ac:dyDescent="0.4">
      <c r="B241" s="268"/>
      <c r="C241" s="285" t="s">
        <v>358</v>
      </c>
      <c r="E241" s="306">
        <f t="shared" si="43"/>
        <v>4.2726662108836196E-2</v>
      </c>
      <c r="F241" s="306">
        <f t="shared" si="43"/>
        <v>4.0235999421492349E-2</v>
      </c>
      <c r="G241" s="306">
        <f t="shared" si="43"/>
        <v>4.5023848541165055E-2</v>
      </c>
      <c r="H241" s="306">
        <f t="shared" si="43"/>
        <v>4.5961699710583968E-2</v>
      </c>
      <c r="I241" s="306">
        <f t="shared" si="43"/>
        <v>3.1928566191927486E-2</v>
      </c>
      <c r="J241" s="306">
        <f t="shared" si="43"/>
        <v>2.7749234799453577E-2</v>
      </c>
      <c r="K241" s="306"/>
    </row>
    <row r="242" spans="2:11" ht="13.5" x14ac:dyDescent="0.4">
      <c r="B242" s="268"/>
      <c r="C242" s="274" t="s">
        <v>359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254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360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361</v>
      </c>
      <c r="E245" s="318"/>
      <c r="F245" s="318"/>
      <c r="G245" s="318"/>
      <c r="H245" s="306" t="e">
        <f t="shared" ref="H245" si="44">-H205/H166</f>
        <v>#DIV/0!</v>
      </c>
      <c r="I245" s="306" t="e">
        <f t="shared" si="43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377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378</v>
      </c>
      <c r="E248" s="320">
        <f>[1]!s_stmnote_bank_144n($C$6,E6,1)/100</f>
        <v>2.4900000000000002E-2</v>
      </c>
      <c r="F248" s="320">
        <f>[1]!s_stmnote_bank_144n($C$6,F6,1)/100</f>
        <v>2.5399999999999999E-2</v>
      </c>
      <c r="G248" s="320">
        <f>[1]!s_stmnote_bank_144n($C$6,G6,1)/100</f>
        <v>2.1600000000000001E-2</v>
      </c>
      <c r="H248" s="320">
        <f>[1]!s_stmnote_bank_144n($C$6,H6,1)/100</f>
        <v>2.3E-2</v>
      </c>
      <c r="I248" s="320">
        <f>[1]!s_stmnote_bank_144n($C$6,I6,1)/100</f>
        <v>2.2499999999999999E-2</v>
      </c>
      <c r="J248" s="320">
        <f>[1]!s_stmnote_bank_144n($C$6,J6,1)/100</f>
        <v>1.78E-2</v>
      </c>
      <c r="K248" s="320"/>
    </row>
    <row r="249" spans="2:11" ht="13.5" x14ac:dyDescent="0.4">
      <c r="C249" s="189" t="s">
        <v>379</v>
      </c>
      <c r="E249" s="321">
        <f t="shared" ref="E249:I249" si="45">E212-E231</f>
        <v>2.3E-2</v>
      </c>
      <c r="F249" s="321">
        <f t="shared" si="45"/>
        <v>2.3400000000000001E-2</v>
      </c>
      <c r="G249" s="321">
        <f t="shared" si="45"/>
        <v>1.9599999999999992E-2</v>
      </c>
      <c r="H249" s="321">
        <f>H212-H231</f>
        <v>2.0561093214782562E-2</v>
      </c>
      <c r="I249" s="321">
        <f t="shared" si="45"/>
        <v>2.0116447587701383E-2</v>
      </c>
      <c r="J249" s="321">
        <f>J212-J231</f>
        <v>1.5905750796277131E-2</v>
      </c>
      <c r="K249" s="321"/>
    </row>
    <row r="250" spans="2:11" ht="13.5" x14ac:dyDescent="0.4">
      <c r="C250" s="226" t="s">
        <v>380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381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382</v>
      </c>
    </row>
    <row r="254" spans="2:11" ht="13.5" x14ac:dyDescent="0.4">
      <c r="C254" s="218" t="s">
        <v>383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151117</v>
      </c>
      <c r="H254" s="325">
        <f>[1]!s_stmnote_bank_coretier1cap($C$6,H6,1,1000000)</f>
        <v>177271</v>
      </c>
      <c r="I254" s="325">
        <f>[1]!s_stmnote_bank_coretier1cap($C$6,I6,1,1000000)</f>
        <v>201835</v>
      </c>
      <c r="J254" s="325">
        <f>[1]!s_stmnote_bank_coretier1cap($C$6,J6,1,1000000)</f>
        <v>218876</v>
      </c>
      <c r="K254" s="325">
        <f>[1]!s_stmnote_bank_coretier1cap($C$6,K6,1,1000000)</f>
        <v>231537</v>
      </c>
    </row>
    <row r="255" spans="2:11" ht="13.5" x14ac:dyDescent="0.4">
      <c r="C255" s="244" t="s">
        <v>384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151121</v>
      </c>
      <c r="H255" s="326">
        <f>[1]!s_stmnote_bank_tier1cap($C$6,H6,1,1000000)</f>
        <v>177281</v>
      </c>
      <c r="I255" s="326">
        <f>[1]!s_stmnote_bank_tier1cap($C$6,I6,1,1000000)</f>
        <v>221827</v>
      </c>
      <c r="J255" s="326">
        <f>[1]!s_stmnote_bank_tier1cap($C$6,J6,1,1000000)</f>
        <v>248873</v>
      </c>
      <c r="K255" s="326">
        <f>[1]!s_stmnote_bank_tier1cap($C$6,K6,1,1000000)</f>
        <v>261548</v>
      </c>
    </row>
    <row r="256" spans="2:11" ht="13.5" x14ac:dyDescent="0.4">
      <c r="C256" s="183" t="s">
        <v>385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175351</v>
      </c>
      <c r="H256" s="326">
        <f>[1]!s_stmnote_bank_netequitycap($C$6,H6,1,1000000)</f>
        <v>212719</v>
      </c>
      <c r="I256" s="326">
        <f>[1]!s_stmnote_bank_netequitycap($C$6,I6,1,1000000)</f>
        <v>259482</v>
      </c>
      <c r="J256" s="326">
        <f>[1]!s_stmnote_bank_netequitycap($C$6,J6,1,1000000)</f>
        <v>287880</v>
      </c>
      <c r="K256" s="326">
        <f>[1]!s_stmnote_bank_netequitycap($C$6,K6,1,1000000)</f>
        <v>330414</v>
      </c>
    </row>
    <row r="257" spans="2:11" ht="13.5" x14ac:dyDescent="0.4">
      <c r="C257" s="224" t="s">
        <v>386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1658861</v>
      </c>
      <c r="H257" s="327">
        <f>[1]!s_stmnote_bank_rweightedassets($C$6,H6,1,1000000)</f>
        <v>1898231</v>
      </c>
      <c r="I257" s="327">
        <f>[1]!s_stmnote_bank_rweightedassets($C$6,I6,1,1000000)</f>
        <v>2185516</v>
      </c>
      <c r="J257" s="327">
        <f>[1]!s_stmnote_bank_rweightedassets($C$6,J6,1,1000000)</f>
        <v>2665037</v>
      </c>
      <c r="K257" s="327">
        <f>[1]!s_stmnote_bank_rweightedassets($C$6,K6,1,1000000)</f>
        <v>2805884</v>
      </c>
    </row>
    <row r="258" spans="2:11" ht="13.5" x14ac:dyDescent="0.4">
      <c r="C258" s="212" t="s">
        <v>387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9.11E-2</v>
      </c>
      <c r="H258" s="328">
        <f>[1]!s_stmnote_bank_capadequacyratio_ct1($C$6,H6,1)/100</f>
        <v>9.3399999999999997E-2</v>
      </c>
      <c r="I258" s="328">
        <f>[1]!s_stmnote_bank_capadequacyratio_ct1($C$6,I6,1)/100</f>
        <v>9.2399999999999996E-2</v>
      </c>
      <c r="J258" s="328">
        <f>[1]!s_stmnote_bank_capadequacyratio_ct1($C$6,J6,1)/100</f>
        <v>8.2100000000000006E-2</v>
      </c>
      <c r="K258" s="328">
        <f>[1]!s_stmnote_bank_capadequacyratio_ct1($C$6,K6,1)/100</f>
        <v>8.2500000000000004E-2</v>
      </c>
    </row>
    <row r="259" spans="2:11" ht="13.5" x14ac:dyDescent="0.4">
      <c r="C259" s="212" t="s">
        <v>388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9.11E-2</v>
      </c>
      <c r="H259" s="329">
        <f>[1]!s_stmnote_bank_capadequacyratio_t1($C$6,H6,1)/100</f>
        <v>9.3399999999999997E-2</v>
      </c>
      <c r="I259" s="329">
        <f>[1]!s_stmnote_bank_capadequacyratio_t1($C$6,I6,1)/100</f>
        <v>0.10150000000000001</v>
      </c>
      <c r="J259" s="329">
        <f>[1]!s_stmnote_bank_capadequacyratio_t1($C$6,J6,1)/100</f>
        <v>9.3399999999999997E-2</v>
      </c>
      <c r="K259" s="329">
        <f>[1]!s_stmnote_bank_capadequacyratio_t1($C$6,K6,1)/100</f>
        <v>9.3200000000000005E-2</v>
      </c>
    </row>
    <row r="260" spans="2:11" ht="13.9" thickBot="1" x14ac:dyDescent="0.45">
      <c r="C260" s="228" t="s">
        <v>389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0.1057</v>
      </c>
      <c r="H260" s="330">
        <f>[1]!s_stmnote_bank_capadequacyratio($C$6,H6,1)/100</f>
        <v>0.11210000000000001</v>
      </c>
      <c r="I260" s="330">
        <f>[1]!s_stmnote_bank_capadequacyratio($C$6,I6,1)/100</f>
        <v>0.11869999999999999</v>
      </c>
      <c r="J260" s="330">
        <f>[1]!s_stmnote_bank_capadequacyratio($C$6,J6,1)/100</f>
        <v>0.10800000000000001</v>
      </c>
      <c r="K260" s="330">
        <f>[1]!s_stmnote_bank_capadequacyratio($C$6,K6,1)/100</f>
        <v>0.11779999999999999</v>
      </c>
    </row>
    <row r="263" spans="2:11" ht="13.5" x14ac:dyDescent="0.4">
      <c r="B263" s="253" t="s">
        <v>390</v>
      </c>
      <c r="C263" s="331"/>
    </row>
    <row r="264" spans="2:11" ht="13.5" thickBot="1" x14ac:dyDescent="0.45">
      <c r="B264" s="278"/>
      <c r="C264" s="262"/>
      <c r="F264" s="332">
        <f>SUM(F265:F269)</f>
        <v>24172</v>
      </c>
      <c r="G264" s="332">
        <f t="shared" ref="G264:J264" si="46">SUM(G265:G269)</f>
        <v>28025</v>
      </c>
      <c r="H264" s="332">
        <f t="shared" si="46"/>
        <v>38119</v>
      </c>
      <c r="I264" s="332">
        <f t="shared" si="46"/>
        <v>38324</v>
      </c>
      <c r="J264" s="332">
        <f t="shared" si="46"/>
        <v>43634</v>
      </c>
    </row>
    <row r="265" spans="2:11" ht="13.5" x14ac:dyDescent="0.4">
      <c r="B265" s="263"/>
      <c r="C265" s="270" t="s">
        <v>391</v>
      </c>
      <c r="E265" s="333">
        <v>21043</v>
      </c>
      <c r="F265" s="333">
        <v>25856</v>
      </c>
      <c r="G265" s="333">
        <v>24172</v>
      </c>
      <c r="H265" s="333">
        <v>28025</v>
      </c>
      <c r="I265" s="333">
        <v>38119</v>
      </c>
      <c r="J265" s="333">
        <v>38119</v>
      </c>
      <c r="K265" s="334"/>
    </row>
    <row r="266" spans="2:11" ht="13.5" x14ac:dyDescent="0.4">
      <c r="B266" s="263"/>
      <c r="C266" s="274" t="s">
        <v>392</v>
      </c>
      <c r="E266" s="335">
        <v>6322</v>
      </c>
      <c r="F266" s="335">
        <v>6719</v>
      </c>
      <c r="G266" s="335">
        <v>10548</v>
      </c>
      <c r="H266" s="335">
        <v>20071</v>
      </c>
      <c r="I266" s="335">
        <v>9953</v>
      </c>
      <c r="J266" s="335">
        <v>22798</v>
      </c>
      <c r="K266" s="336"/>
    </row>
    <row r="267" spans="2:11" ht="13.5" x14ac:dyDescent="0.4">
      <c r="B267" s="278"/>
      <c r="C267" s="274" t="s">
        <v>393</v>
      </c>
      <c r="E267" s="326">
        <v>-909</v>
      </c>
      <c r="F267" s="326">
        <v>-2240</v>
      </c>
      <c r="G267" s="326">
        <v>-4096</v>
      </c>
      <c r="H267" s="326">
        <v>-5579</v>
      </c>
      <c r="I267" s="326">
        <v>-3111</v>
      </c>
      <c r="J267" s="326">
        <v>-5632</v>
      </c>
      <c r="K267" s="337"/>
    </row>
    <row r="268" spans="2:11" ht="13.5" x14ac:dyDescent="0.4">
      <c r="B268" s="278"/>
      <c r="C268" s="274" t="s">
        <v>394</v>
      </c>
      <c r="E268" s="326">
        <v>0</v>
      </c>
      <c r="F268" s="326">
        <v>-3620.0000000000005</v>
      </c>
      <c r="G268" s="326">
        <v>-1804</v>
      </c>
      <c r="H268" s="326">
        <v>-3583</v>
      </c>
      <c r="I268" s="326">
        <v>-5909</v>
      </c>
      <c r="J268" s="326">
        <v>-10835</v>
      </c>
      <c r="K268" s="337"/>
    </row>
    <row r="269" spans="2:11" ht="13.5" x14ac:dyDescent="0.4">
      <c r="B269" s="263"/>
      <c r="C269" s="274" t="s">
        <v>330</v>
      </c>
      <c r="E269" s="338">
        <v>-600</v>
      </c>
      <c r="F269" s="338">
        <v>-2543</v>
      </c>
      <c r="G269" s="338">
        <v>-795</v>
      </c>
      <c r="H269" s="338">
        <v>-815</v>
      </c>
      <c r="I269" s="338">
        <v>-728</v>
      </c>
      <c r="J269" s="338">
        <v>-816</v>
      </c>
      <c r="K269" s="339"/>
    </row>
    <row r="270" spans="2:11" ht="13.5" x14ac:dyDescent="0.4">
      <c r="B270" s="263"/>
      <c r="C270" s="315" t="s">
        <v>395</v>
      </c>
      <c r="E270" s="340">
        <v>25856</v>
      </c>
      <c r="F270" s="340">
        <v>24172</v>
      </c>
      <c r="G270" s="340">
        <v>28025</v>
      </c>
      <c r="H270" s="340">
        <v>38119</v>
      </c>
      <c r="I270" s="340">
        <v>38324</v>
      </c>
      <c r="J270" s="340">
        <v>43634</v>
      </c>
      <c r="K270" s="341"/>
    </row>
    <row r="271" spans="2:11" ht="13.9" thickBot="1" x14ac:dyDescent="0.45">
      <c r="B271" s="263"/>
      <c r="C271" s="342" t="s">
        <v>396</v>
      </c>
      <c r="E271" s="343">
        <v>27048</v>
      </c>
      <c r="F271" s="343">
        <v>31982</v>
      </c>
      <c r="G271" s="343">
        <v>30258</v>
      </c>
      <c r="H271" s="343">
        <v>34237</v>
      </c>
      <c r="I271" s="343">
        <v>45188</v>
      </c>
      <c r="J271" s="343">
        <v>51731</v>
      </c>
      <c r="K271" s="344"/>
    </row>
    <row r="273" spans="2:11" x14ac:dyDescent="0.4">
      <c r="K273" s="213"/>
    </row>
    <row r="274" spans="2:11" ht="13.5" x14ac:dyDescent="0.4">
      <c r="B274" s="253" t="s">
        <v>397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398</v>
      </c>
      <c r="E276" s="325">
        <f>[1]!s_stmnote_bank($C$6,"31",E6,1000000)</f>
        <v>874566</v>
      </c>
      <c r="F276" s="325">
        <f>[1]!s_stmnote_bank($C$6,"31",F6,1000000)</f>
        <v>1001284</v>
      </c>
      <c r="G276" s="325">
        <f>[1]!s_stmnote_bank($C$6,"31",G6,1000000)</f>
        <v>1140392</v>
      </c>
      <c r="H276" s="325">
        <f>[1]!s_stmnote_bank($C$6,"31",H6,1000000)</f>
        <v>1241912</v>
      </c>
      <c r="I276" s="325">
        <f>[1]!s_stmnote_bank($C$6,"31",I6,1000000)</f>
        <v>1422656</v>
      </c>
      <c r="J276" s="325">
        <f>[1]!s_stmnote_bank($C$6,"31",J6,1000000)</f>
        <v>1698723</v>
      </c>
      <c r="K276" s="325">
        <f>[1]!s_stmnote_bank($C$6,"31",K6,1000000)</f>
        <v>0</v>
      </c>
    </row>
    <row r="277" spans="2:11" ht="13.5" x14ac:dyDescent="0.4">
      <c r="B277" s="278"/>
      <c r="C277" s="274" t="s">
        <v>399</v>
      </c>
      <c r="E277" s="326">
        <f>[1]!s_stmnote_bank($C$6,"34",E6,1000000)</f>
        <v>9532</v>
      </c>
      <c r="F277" s="326">
        <f>[1]!s_stmnote_bank($C$6,"34",F6,1000000)</f>
        <v>14290</v>
      </c>
      <c r="G277" s="326">
        <f>[1]!s_stmnote_bank($C$6,"34",G6,1000000)</f>
        <v>15889</v>
      </c>
      <c r="H277" s="326">
        <f>[1]!s_stmnote_bank($C$6,"34",H6,1000000)</f>
        <v>42018</v>
      </c>
      <c r="I277" s="326">
        <f>[1]!s_stmnote_bank($C$6,"34",I6,1000000)</f>
        <v>66512</v>
      </c>
      <c r="J277" s="326">
        <f>[1]!s_stmnote_bank($C$6,"34",J6,1000000)</f>
        <v>67853</v>
      </c>
      <c r="K277" s="326">
        <f>[1]!s_stmnote_bank($C$6,"34",K6,1000000)</f>
        <v>0</v>
      </c>
    </row>
    <row r="278" spans="2:11" ht="13.5" x14ac:dyDescent="0.4">
      <c r="B278" s="278"/>
      <c r="C278" s="274" t="s">
        <v>400</v>
      </c>
      <c r="E278" s="326">
        <f>[1]!s_stmnote_bank($C$6,"37",E6,1000000)</f>
        <v>1229</v>
      </c>
      <c r="F278" s="326">
        <f>[1]!s_stmnote_bank($C$6,"37",F6,1000000)</f>
        <v>3431</v>
      </c>
      <c r="G278" s="326">
        <f>[1]!s_stmnote_bank($C$6,"37",G6,1000000)</f>
        <v>5768</v>
      </c>
      <c r="H278" s="326">
        <f>[1]!s_stmnote_bank($C$6,"37",H6,1000000)</f>
        <v>8685</v>
      </c>
      <c r="I278" s="326">
        <f>[1]!s_stmnote_bank($C$6,"37",I6,1000000)</f>
        <v>11109</v>
      </c>
      <c r="J278" s="326">
        <f>[1]!s_stmnote_bank($C$6,"37",J6,1000000)</f>
        <v>11367</v>
      </c>
      <c r="K278" s="326">
        <f>[1]!s_stmnote_bank($C$6,"37",K6,1000000)</f>
        <v>0</v>
      </c>
    </row>
    <row r="279" spans="2:11" ht="13.5" x14ac:dyDescent="0.4">
      <c r="B279" s="278"/>
      <c r="C279" s="274" t="s">
        <v>401</v>
      </c>
      <c r="E279" s="326">
        <f>[1]!s_stmnote_bank($C$6,"40",E6,1000000)</f>
        <v>1881</v>
      </c>
      <c r="F279" s="326">
        <f>[1]!s_stmnote_bank($C$6,"40",F6,1000000)</f>
        <v>1975</v>
      </c>
      <c r="G279" s="326">
        <f>[1]!s_stmnote_bank($C$6,"40",G6,1000000)</f>
        <v>2496</v>
      </c>
      <c r="H279" s="326">
        <f>[1]!s_stmnote_bank($C$6,"40",H6,1000000)</f>
        <v>4864</v>
      </c>
      <c r="I279" s="326">
        <f>[1]!s_stmnote_bank($C$6,"40",I6,1000000)</f>
        <v>10572</v>
      </c>
      <c r="J279" s="326">
        <f>[1]!s_stmnote_bank($C$6,"40",J6,1000000)</f>
        <v>14078</v>
      </c>
      <c r="K279" s="326">
        <f>[1]!s_stmnote_bank($C$6,"40",K6,1000000)</f>
        <v>0</v>
      </c>
    </row>
    <row r="280" spans="2:11" ht="13.5" x14ac:dyDescent="0.4">
      <c r="B280" s="278"/>
      <c r="C280" s="274" t="s">
        <v>402</v>
      </c>
      <c r="E280" s="345">
        <f>[1]!s_stmnote_bank($C$6,"43",E6,1000000)</f>
        <v>2617</v>
      </c>
      <c r="F280" s="345">
        <f>[1]!s_stmnote_bank($C$6,"43",F6,1000000)</f>
        <v>2207</v>
      </c>
      <c r="G280" s="345">
        <f>[1]!s_stmnote_bank($C$6,"43",G6,1000000)</f>
        <v>1765</v>
      </c>
      <c r="H280" s="345">
        <f>[1]!s_stmnote_bank($C$6,"43",H6,1000000)</f>
        <v>1976</v>
      </c>
      <c r="I280" s="345">
        <f>[1]!s_stmnote_bank($C$6,"43",I6,1000000)</f>
        <v>2694</v>
      </c>
      <c r="J280" s="345">
        <f>[1]!s_stmnote_bank($C$6,"43",J6,1000000)</f>
        <v>3257</v>
      </c>
      <c r="K280" s="345">
        <f>[1]!s_stmnote_bank($C$6,"43",K6,1000000)</f>
        <v>0</v>
      </c>
    </row>
    <row r="281" spans="2:11" ht="13.5" x14ac:dyDescent="0.4">
      <c r="B281" s="263"/>
      <c r="C281" s="315" t="s">
        <v>403</v>
      </c>
      <c r="E281" s="346">
        <f>[1]!s_stmnote_bank_26($C$6,E6,1,1000000)</f>
        <v>5734</v>
      </c>
      <c r="F281" s="346">
        <f>[1]!s_stmnote_bank_26($C$6,F6,1,1000000)</f>
        <v>7613</v>
      </c>
      <c r="G281" s="346">
        <f>[1]!s_stmnote_bank_26($C$6,G6,1,1000000)</f>
        <v>10029</v>
      </c>
      <c r="H281" s="346">
        <f>[1]!s_stmnote_bank_26($C$6,H6,1,1000000)</f>
        <v>15525</v>
      </c>
      <c r="I281" s="346">
        <f>[1]!s_stmnote_bank_26($C$6,I6,1,1000000)</f>
        <v>24375</v>
      </c>
      <c r="J281" s="346">
        <f>[1]!s_stmnote_bank_26($C$6,J6,1,1000000)</f>
        <v>28702</v>
      </c>
      <c r="K281" s="346">
        <f>[1]!s_stmnote_bank_26($C$6,K6,1,1000000)</f>
        <v>29195</v>
      </c>
    </row>
    <row r="282" spans="2:11" ht="13.5" x14ac:dyDescent="0.4">
      <c r="B282" s="263"/>
      <c r="C282" s="263" t="s">
        <v>323</v>
      </c>
      <c r="E282" s="347">
        <f t="shared" ref="E282:K282" si="47">E112</f>
        <v>889825.005</v>
      </c>
      <c r="F282" s="347">
        <f t="shared" si="47"/>
        <v>1023187</v>
      </c>
      <c r="G282" s="347">
        <f t="shared" si="47"/>
        <v>1166310</v>
      </c>
      <c r="H282" s="347">
        <f t="shared" si="47"/>
        <v>1299455</v>
      </c>
      <c r="I282" s="347">
        <f t="shared" si="47"/>
        <v>1513543</v>
      </c>
      <c r="J282" s="347">
        <f t="shared" si="47"/>
        <v>1795278</v>
      </c>
      <c r="K282" s="347">
        <f t="shared" si="47"/>
        <v>0</v>
      </c>
    </row>
    <row r="283" spans="2:11" ht="13.9" thickBot="1" x14ac:dyDescent="0.45">
      <c r="B283" s="263"/>
      <c r="C283" s="280" t="s">
        <v>404</v>
      </c>
      <c r="E283" s="330">
        <f>[1]!s_stmnote_bank_5n($C$6,E6,1)/100</f>
        <v>6.4000000000000003E-3</v>
      </c>
      <c r="F283" s="330">
        <f>[1]!s_stmnote_bank_5n($C$6,F6,1)/100</f>
        <v>7.4000000000000003E-3</v>
      </c>
      <c r="G283" s="330">
        <f>[1]!s_stmnote_bank_5n($C$6,G6,1)/100</f>
        <v>8.6E-3</v>
      </c>
      <c r="H283" s="330">
        <f>[1]!s_stmnote_bank_5n($C$6,H6,1)/100</f>
        <v>1.1899999999999999E-2</v>
      </c>
      <c r="I283" s="330">
        <f>[1]!s_stmnote_bank_5n($C$6,I6,1)/100</f>
        <v>1.61E-2</v>
      </c>
      <c r="J283" s="330">
        <f>[1]!s_stmnote_bank_5n($C$6,J6,1)/100</f>
        <v>1.6E-2</v>
      </c>
      <c r="K283" s="330">
        <f>[1]!s_stmnote_bank_5n($C$6,K6,1)/100</f>
        <v>1.54E-2</v>
      </c>
    </row>
    <row r="284" spans="2:11" s="231" customFormat="1" ht="13.5" x14ac:dyDescent="0.4">
      <c r="B284" s="348"/>
      <c r="C284" s="230" t="s">
        <v>281</v>
      </c>
      <c r="E284" s="349">
        <f>IF(E278=0,0,E282-SUM(E276:E280))</f>
        <v>5.0000000046566129E-3</v>
      </c>
      <c r="F284" s="349">
        <f t="shared" ref="F284:I284" si="48">IF(F278=0,0,F282-SUM(F276:F280))</f>
        <v>0</v>
      </c>
      <c r="G284" s="349">
        <f>IF(G278=0,0,G282-SUM(G276:G280))</f>
        <v>0</v>
      </c>
      <c r="H284" s="349">
        <f t="shared" si="48"/>
        <v>0</v>
      </c>
      <c r="I284" s="349">
        <f t="shared" si="48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405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406</v>
      </c>
      <c r="E288" s="355">
        <f>[1]!s_stmnote_bank_0001($C$6,E6,1,1000000)</f>
        <v>5308.6570000000002</v>
      </c>
      <c r="F288" s="355">
        <f>[1]!s_stmnote_bank_0001($C$6,F6,1,1000000)</f>
        <v>10000</v>
      </c>
      <c r="G288" s="355">
        <f>[1]!s_stmnote_bank_0001($C$6,G6,1,1000000)</f>
        <v>13049</v>
      </c>
      <c r="H288" s="355">
        <f>[1]!s_stmnote_bank_0001($C$6,H6,1,1000000)</f>
        <v>26605</v>
      </c>
      <c r="I288" s="355">
        <f>[1]!s_stmnote_bank_0001($C$6,I6,1,1000000)</f>
        <v>26661</v>
      </c>
      <c r="J288" s="355">
        <f>[1]!s_stmnote_bank_0001($C$6,J6,1,1000000)</f>
        <v>15825</v>
      </c>
      <c r="K288" s="325">
        <f>[1]!s_stmnote_bank_0001($C$6,K6,1,1000000)</f>
        <v>0</v>
      </c>
    </row>
    <row r="289" spans="2:11" ht="13.5" x14ac:dyDescent="0.4">
      <c r="B289" s="278"/>
      <c r="C289" s="354" t="s">
        <v>407</v>
      </c>
      <c r="E289" s="326">
        <f>[1]!s_stmnote_bank_0002($C$6,E6,1,1000000)</f>
        <v>715.69399999999996</v>
      </c>
      <c r="F289" s="326">
        <f>[1]!s_stmnote_bank_0002($C$6,F6,1,1000000)</f>
        <v>3555</v>
      </c>
      <c r="G289" s="326">
        <f>[1]!s_stmnote_bank_0002($C$6,G6,1,1000000)</f>
        <v>5602</v>
      </c>
      <c r="H289" s="326">
        <f>[1]!s_stmnote_bank_0002($C$6,H6,1,1000000)</f>
        <v>14318</v>
      </c>
      <c r="I289" s="326">
        <f>[1]!s_stmnote_bank_0002($C$6,I6,1,1000000)</f>
        <v>23439</v>
      </c>
      <c r="J289" s="326">
        <f>[1]!s_stmnote_bank_0002($C$6,J6,1,1000000)</f>
        <v>20880</v>
      </c>
      <c r="K289" s="326">
        <f>[1]!s_stmnote_bank_0002($C$6,K6,1,1000000)</f>
        <v>0</v>
      </c>
    </row>
    <row r="290" spans="2:11" ht="13.5" x14ac:dyDescent="0.4">
      <c r="B290" s="278"/>
      <c r="C290" s="354" t="s">
        <v>408</v>
      </c>
      <c r="E290" s="356">
        <f>[1]!s_stmnote_bank_0003($C$6,E6,1,1000000)</f>
        <v>701.57399999999996</v>
      </c>
      <c r="F290" s="356">
        <f>[1]!s_stmnote_bank_0003($C$6,F6,1,1000000)</f>
        <v>619</v>
      </c>
      <c r="G290" s="356">
        <f>[1]!s_stmnote_bank_0003($C$6,G6,1,1000000)</f>
        <v>1928</v>
      </c>
      <c r="H290" s="356">
        <f>[1]!s_stmnote_bank_0003($C$6,H6,1,1000000)</f>
        <v>3820</v>
      </c>
      <c r="I290" s="356">
        <f>[1]!s_stmnote_bank_0003($C$6,I6,1,1000000)</f>
        <v>11296</v>
      </c>
      <c r="J290" s="356">
        <f>[1]!s_stmnote_bank_0003($C$6,J6,1,1000000)</f>
        <v>13883</v>
      </c>
      <c r="K290" s="326">
        <f>[1]!s_stmnote_bank_0003($C$6,K7,1,1000000)</f>
        <v>0</v>
      </c>
    </row>
    <row r="291" spans="2:11" ht="13.5" x14ac:dyDescent="0.4">
      <c r="B291" s="278"/>
      <c r="C291" s="354" t="s">
        <v>409</v>
      </c>
      <c r="E291" s="326">
        <f>[1]!s_stmnote_bank_0004($C$6,E6,1,1000000)</f>
        <v>3424.2979999999998</v>
      </c>
      <c r="F291" s="326">
        <f>[1]!s_stmnote_bank_0004($C$6,F6,1,1000000)</f>
        <v>2794</v>
      </c>
      <c r="G291" s="326">
        <f>[1]!s_stmnote_bank_0004($C$6,G6,1,1000000)</f>
        <v>976</v>
      </c>
      <c r="H291" s="326">
        <f>[1]!s_stmnote_bank_0004($C$6,H6,1,1000000)</f>
        <v>402</v>
      </c>
      <c r="I291" s="326">
        <f>[1]!s_stmnote_bank_0004($C$6,I6,1,1000000)</f>
        <v>437</v>
      </c>
      <c r="J291" s="326">
        <f>[1]!s_stmnote_bank_0004($C$6,J6,1,1000000)</f>
        <v>952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410</v>
      </c>
      <c r="E292" s="358">
        <f t="shared" ref="E292:K292" si="49">SUM(E288:E291)</f>
        <v>10150.223</v>
      </c>
      <c r="F292" s="358">
        <f t="shared" si="49"/>
        <v>16968</v>
      </c>
      <c r="G292" s="358">
        <f t="shared" si="49"/>
        <v>21555</v>
      </c>
      <c r="H292" s="358">
        <f>SUM(H288:H291)</f>
        <v>45145</v>
      </c>
      <c r="I292" s="358">
        <f t="shared" si="49"/>
        <v>61833</v>
      </c>
      <c r="J292" s="358">
        <f>SUM(J288:J291)</f>
        <v>51540</v>
      </c>
      <c r="K292" s="358">
        <f t="shared" si="49"/>
        <v>0</v>
      </c>
    </row>
    <row r="293" spans="2:11" x14ac:dyDescent="0.4">
      <c r="B293" s="278"/>
      <c r="C293" s="350"/>
      <c r="E293" s="241"/>
      <c r="F293" s="241"/>
      <c r="G293" s="241"/>
      <c r="H293" s="241"/>
      <c r="I293" s="241"/>
      <c r="J293" s="241"/>
    </row>
    <row r="294" spans="2:11" ht="13.9" thickBot="1" x14ac:dyDescent="0.45">
      <c r="B294" s="263" t="s">
        <v>411</v>
      </c>
    </row>
    <row r="295" spans="2:11" x14ac:dyDescent="0.4">
      <c r="B295" s="278"/>
      <c r="C295" s="359" t="s">
        <v>412</v>
      </c>
      <c r="E295" s="360"/>
      <c r="F295" s="325">
        <f>[1]!s_div_aualaccmdiv($C$6,2012,1000000)</f>
        <v>2345.2178199999998</v>
      </c>
      <c r="G295" s="325">
        <f>[1]!s_div_aualaccmdiv($C$6,2013,1000000)</f>
        <v>8028.8043399999988</v>
      </c>
      <c r="H295" s="325">
        <f>[1]!s_div_aualaccmdiv($C$6,2014,1000000)</f>
        <v>8682.3116699999991</v>
      </c>
      <c r="I295" s="325">
        <f>[1]!s_div_aualaccmdiv($C$6,2015,1000000)</f>
        <v>8869.0280500000008</v>
      </c>
      <c r="J295" s="325">
        <f>[1]!s_div_aualaccmdiv($C$6,2016,1000000)</f>
        <v>4574.5513099999998</v>
      </c>
      <c r="K295" s="360"/>
    </row>
    <row r="296" spans="2:11" ht="13.9" thickBot="1" x14ac:dyDescent="0.45">
      <c r="C296" s="252" t="s">
        <v>413</v>
      </c>
      <c r="E296" s="361"/>
      <c r="F296" s="362">
        <f>[1]!s_div_cashbeforetax($C$6,F6)</f>
        <v>5.7999999999999996E-2</v>
      </c>
      <c r="G296" s="362">
        <f>[1]!s_div_cashbeforetax($C$6,G6)</f>
        <v>0.17199999999999999</v>
      </c>
      <c r="H296" s="362">
        <f>[1]!s_div_cashbeforetax($C$6,H6)</f>
        <v>0.186</v>
      </c>
      <c r="I296" s="362">
        <f>[1]!s_div_cashbeforetax($C$6,I6)</f>
        <v>0.19</v>
      </c>
      <c r="J296" s="362">
        <f>[1]!s_div_cashbeforetax($C$6,J6)</f>
        <v>9.8000000000000004E-2</v>
      </c>
      <c r="K296" s="361"/>
    </row>
    <row r="299" spans="2:11" ht="13.9" thickBot="1" x14ac:dyDescent="0.45">
      <c r="B299" s="253" t="s">
        <v>414</v>
      </c>
    </row>
    <row r="300" spans="2:11" x14ac:dyDescent="0.4">
      <c r="B300" s="278"/>
      <c r="C300" s="359" t="s">
        <v>415</v>
      </c>
      <c r="E300" s="363">
        <f>[1]!s_stmnote_bank_6n($C$6,E6,1)/100</f>
        <v>0.7167</v>
      </c>
      <c r="F300" s="363">
        <f>[1]!s_stmnote_bank_6n($C$6,F6,1)/100</f>
        <v>0.71519999999999995</v>
      </c>
      <c r="G300" s="363">
        <f>[1]!s_stmnote_bank_6n($C$6,G6,1)/100</f>
        <v>0.72589999999999999</v>
      </c>
      <c r="H300" s="363">
        <f>[1]!s_stmnote_bank_6n($C$6,H6,1)/100</f>
        <v>0.70099999999999996</v>
      </c>
      <c r="I300" s="363">
        <f>[1]!s_stmnote_bank_6n($C$6,I6,1)/100</f>
        <v>0.7359</v>
      </c>
      <c r="J300" s="363">
        <f>[1]!s_stmnote_bank_6n($C$6,J6,1)/100</f>
        <v>0.84647499999999998</v>
      </c>
      <c r="K300" s="363">
        <f>[1]!s_stmnote_bank_6n($C$6,K6,1)/100</f>
        <v>0.845333</v>
      </c>
    </row>
    <row r="302" spans="2:11" s="429" customFormat="1" ht="12.4" customHeight="1" thickBot="1" x14ac:dyDescent="0.45"/>
    <row r="303" spans="2:11" ht="13.5" thickTop="1" x14ac:dyDescent="0.4"/>
    <row r="304" spans="2:11" ht="13.5" x14ac:dyDescent="0.4">
      <c r="B304" s="183" t="s">
        <v>416</v>
      </c>
      <c r="C304" s="364"/>
      <c r="D304" s="364"/>
      <c r="E304" s="364"/>
      <c r="F304" s="364"/>
      <c r="G304" s="364"/>
      <c r="H304" s="364"/>
      <c r="I304" s="365"/>
      <c r="J304" s="364"/>
      <c r="K304" s="364"/>
    </row>
    <row r="305" spans="3:12" x14ac:dyDescent="0.4">
      <c r="C305" s="366"/>
      <c r="E305" s="182">
        <v>40908</v>
      </c>
      <c r="F305" s="367">
        <v>41274</v>
      </c>
      <c r="G305" s="367">
        <v>41639</v>
      </c>
      <c r="H305" s="367">
        <v>42004</v>
      </c>
      <c r="I305" s="367">
        <v>42369</v>
      </c>
      <c r="J305" s="367">
        <v>42551</v>
      </c>
      <c r="K305" s="368">
        <v>42735</v>
      </c>
      <c r="L305" s="367">
        <v>42916</v>
      </c>
    </row>
    <row r="306" spans="3:12" x14ac:dyDescent="0.4">
      <c r="C306" s="366" t="s">
        <v>417</v>
      </c>
      <c r="F306" s="366">
        <v>563.65</v>
      </c>
      <c r="G306" s="369">
        <v>676.71</v>
      </c>
      <c r="H306" s="369">
        <v>733.05</v>
      </c>
      <c r="I306" s="369">
        <v>769.48</v>
      </c>
      <c r="J306" s="369">
        <v>874.38</v>
      </c>
      <c r="K306" s="370">
        <v>874.38</v>
      </c>
      <c r="L306" s="369">
        <v>939.13</v>
      </c>
    </row>
    <row r="307" spans="3:12" x14ac:dyDescent="0.4">
      <c r="C307" s="366" t="s">
        <v>418</v>
      </c>
      <c r="F307" s="366">
        <v>184.28</v>
      </c>
      <c r="G307" s="371">
        <v>200.28</v>
      </c>
      <c r="H307" s="371">
        <v>219.55</v>
      </c>
      <c r="I307" s="371">
        <v>289.93</v>
      </c>
      <c r="J307" s="371">
        <v>158.88999999999999</v>
      </c>
      <c r="K307" s="370">
        <v>302.69</v>
      </c>
      <c r="L307" s="371">
        <v>156.24</v>
      </c>
    </row>
    <row r="308" spans="3:12" x14ac:dyDescent="0.4">
      <c r="C308" s="366" t="s">
        <v>419</v>
      </c>
      <c r="F308" s="366">
        <v>-38.909999999999997</v>
      </c>
      <c r="G308" s="366">
        <v>-16.18</v>
      </c>
      <c r="H308" s="366">
        <v>-15.16</v>
      </c>
      <c r="I308" s="366">
        <v>-18.329999999999998</v>
      </c>
      <c r="J308" s="366">
        <v>-10.82</v>
      </c>
      <c r="K308" s="366">
        <v>-17.89</v>
      </c>
      <c r="L308" s="366">
        <v>-9.7799999999999994</v>
      </c>
    </row>
    <row r="309" spans="3:12" ht="13.5" x14ac:dyDescent="0.4">
      <c r="C309" s="372" t="s">
        <v>420</v>
      </c>
      <c r="F309" s="366">
        <v>-26.5</v>
      </c>
      <c r="G309" s="369">
        <v>-118.1</v>
      </c>
      <c r="H309" s="369">
        <v>-158.11000000000001</v>
      </c>
      <c r="I309" s="369">
        <v>-152.68</v>
      </c>
      <c r="J309" s="369">
        <v>-94.38</v>
      </c>
      <c r="K309" s="370">
        <v>-212.25</v>
      </c>
      <c r="L309" s="369">
        <v>-82.37</v>
      </c>
    </row>
    <row r="310" spans="3:12" ht="13.5" x14ac:dyDescent="0.4">
      <c r="C310" s="372" t="s">
        <v>421</v>
      </c>
      <c r="F310" s="366">
        <v>-5.77</v>
      </c>
      <c r="G310" s="369">
        <v>-7.78</v>
      </c>
      <c r="H310" s="369">
        <v>-10.61</v>
      </c>
      <c r="I310" s="369">
        <v>-14.71</v>
      </c>
      <c r="J310" s="369">
        <v>-6.48</v>
      </c>
      <c r="K310" s="370">
        <v>-10.31</v>
      </c>
      <c r="L310" s="369">
        <v>-5.8</v>
      </c>
    </row>
    <row r="311" spans="3:12" x14ac:dyDescent="0.4">
      <c r="C311" s="366" t="s">
        <v>422</v>
      </c>
      <c r="F311" s="366">
        <v>3.23</v>
      </c>
      <c r="G311" s="369">
        <v>4.67</v>
      </c>
      <c r="H311" s="369">
        <v>4.41</v>
      </c>
      <c r="I311" s="369">
        <v>5</v>
      </c>
      <c r="J311" s="369">
        <v>3.07</v>
      </c>
      <c r="K311" s="370">
        <v>8.08</v>
      </c>
      <c r="L311" s="369">
        <v>3.25</v>
      </c>
    </row>
    <row r="312" spans="3:12" x14ac:dyDescent="0.4">
      <c r="C312" s="366" t="s">
        <v>423</v>
      </c>
      <c r="F312" s="366">
        <v>-9</v>
      </c>
      <c r="G312" s="369">
        <v>-12.45</v>
      </c>
      <c r="H312" s="369">
        <v>-15.02</v>
      </c>
      <c r="I312" s="369">
        <v>-19.71</v>
      </c>
      <c r="J312" s="369">
        <v>-9.5500000000000007</v>
      </c>
      <c r="K312" s="370">
        <v>-19.59</v>
      </c>
      <c r="L312" s="369">
        <v>-9.0500000000000007</v>
      </c>
    </row>
    <row r="313" spans="3:12" x14ac:dyDescent="0.4">
      <c r="C313" s="366" t="s">
        <v>424</v>
      </c>
      <c r="F313" s="364"/>
      <c r="G313" s="369"/>
      <c r="H313" s="369"/>
      <c r="I313" s="369"/>
      <c r="J313" s="369"/>
      <c r="K313" s="370">
        <v>1.2</v>
      </c>
      <c r="L313" s="369"/>
    </row>
    <row r="314" spans="3:12" x14ac:dyDescent="0.4">
      <c r="C314" s="366" t="s">
        <v>425</v>
      </c>
      <c r="F314" s="364"/>
      <c r="G314" s="366"/>
      <c r="H314" s="369"/>
      <c r="I314" s="369"/>
      <c r="J314" s="369"/>
      <c r="K314" s="365"/>
      <c r="L314" s="369"/>
    </row>
    <row r="315" spans="3:12" x14ac:dyDescent="0.4">
      <c r="C315" s="366" t="s">
        <v>426</v>
      </c>
      <c r="F315" s="366">
        <v>-0.04</v>
      </c>
      <c r="G315" s="369">
        <v>-1.88</v>
      </c>
      <c r="H315" s="369">
        <v>0.76</v>
      </c>
      <c r="I315" s="369">
        <v>0.69</v>
      </c>
      <c r="J315" s="369">
        <v>1.66</v>
      </c>
      <c r="K315" s="370">
        <v>936.62</v>
      </c>
      <c r="L315" s="369">
        <v>-1.37</v>
      </c>
    </row>
    <row r="316" spans="3:12" x14ac:dyDescent="0.4">
      <c r="C316" s="366" t="s">
        <v>427</v>
      </c>
      <c r="F316" s="373">
        <v>676.71</v>
      </c>
      <c r="G316" s="373">
        <v>733.05</v>
      </c>
      <c r="H316" s="373">
        <v>769.48</v>
      </c>
      <c r="I316" s="373">
        <v>874.38</v>
      </c>
      <c r="J316" s="373">
        <v>923.25</v>
      </c>
      <c r="K316" s="374">
        <v>939.13</v>
      </c>
      <c r="L316" s="373">
        <v>996.05</v>
      </c>
    </row>
    <row r="317" spans="3:12" x14ac:dyDescent="0.4">
      <c r="C317" s="366" t="s">
        <v>428</v>
      </c>
      <c r="E317" s="184">
        <v>219.86</v>
      </c>
      <c r="F317" s="375">
        <v>269.95</v>
      </c>
      <c r="G317" s="375">
        <v>343.1</v>
      </c>
      <c r="H317" s="375">
        <v>430.17</v>
      </c>
      <c r="I317" s="375">
        <v>562.05999999999995</v>
      </c>
      <c r="J317" s="375">
        <v>613.64</v>
      </c>
      <c r="K317" s="376">
        <v>624</v>
      </c>
      <c r="L317" s="375">
        <v>659.53</v>
      </c>
    </row>
    <row r="318" spans="3:12" x14ac:dyDescent="0.4">
      <c r="C318" s="364" t="s">
        <v>429</v>
      </c>
      <c r="E318" s="184">
        <v>25617.5</v>
      </c>
      <c r="F318" s="377">
        <v>29472.99</v>
      </c>
      <c r="G318" s="377">
        <v>32663.68</v>
      </c>
      <c r="H318" s="377">
        <v>34317.35</v>
      </c>
      <c r="I318" s="377">
        <v>37220.06</v>
      </c>
      <c r="J318" s="377">
        <v>39837.56</v>
      </c>
      <c r="K318" s="378">
        <v>41029.589999999997</v>
      </c>
      <c r="L318" s="377">
        <v>43701.47</v>
      </c>
    </row>
    <row r="319" spans="3:12" x14ac:dyDescent="0.4">
      <c r="C319" s="366"/>
      <c r="F319" s="379"/>
      <c r="G319" s="380"/>
      <c r="H319" s="380"/>
      <c r="I319" s="380"/>
      <c r="J319" s="380"/>
      <c r="K319" s="381"/>
      <c r="L319" s="380"/>
    </row>
    <row r="320" spans="3:12" ht="13.5" x14ac:dyDescent="0.4">
      <c r="C320" s="364"/>
      <c r="E320" s="185" t="s">
        <v>216</v>
      </c>
      <c r="F320" s="382">
        <v>2012</v>
      </c>
      <c r="G320" s="382">
        <v>2013</v>
      </c>
      <c r="H320" s="382">
        <v>2014</v>
      </c>
      <c r="I320" s="382">
        <v>2015</v>
      </c>
      <c r="J320" s="382" t="s">
        <v>214</v>
      </c>
      <c r="K320" s="383">
        <v>2016</v>
      </c>
      <c r="L320" s="382" t="s">
        <v>215</v>
      </c>
    </row>
    <row r="321" spans="2:12" ht="13.5" x14ac:dyDescent="0.4">
      <c r="C321" s="364"/>
      <c r="E321" s="183" t="s">
        <v>217</v>
      </c>
      <c r="F321" s="379">
        <v>184.28</v>
      </c>
      <c r="G321" s="379">
        <v>200.28</v>
      </c>
      <c r="H321" s="379">
        <v>219.55</v>
      </c>
      <c r="I321" s="379">
        <v>289.93</v>
      </c>
      <c r="J321" s="379">
        <v>158.88999999999999</v>
      </c>
      <c r="K321" s="384">
        <v>302.69</v>
      </c>
      <c r="L321" s="379">
        <v>156.24</v>
      </c>
    </row>
    <row r="322" spans="2:12" ht="13.5" x14ac:dyDescent="0.4">
      <c r="C322" s="364"/>
      <c r="E322" s="183" t="s">
        <v>218</v>
      </c>
      <c r="F322" s="379">
        <v>-35.5</v>
      </c>
      <c r="G322" s="379">
        <v>-130.54999999999998</v>
      </c>
      <c r="H322" s="379">
        <v>-173.13000000000002</v>
      </c>
      <c r="I322" s="379">
        <v>-172.39000000000001</v>
      </c>
      <c r="J322" s="379">
        <v>-103.92999999999999</v>
      </c>
      <c r="K322" s="384">
        <v>-231.84</v>
      </c>
      <c r="L322" s="379">
        <v>-91.42</v>
      </c>
    </row>
    <row r="323" spans="2:12" ht="13.5" x14ac:dyDescent="0.4">
      <c r="C323" s="364"/>
      <c r="E323" s="183" t="s">
        <v>219</v>
      </c>
      <c r="F323" s="384">
        <v>3.23</v>
      </c>
      <c r="G323" s="380">
        <v>4.67</v>
      </c>
      <c r="H323" s="380">
        <v>4.41</v>
      </c>
      <c r="I323" s="380">
        <v>5</v>
      </c>
      <c r="J323" s="380">
        <v>3.07</v>
      </c>
      <c r="K323" s="381">
        <v>8.08</v>
      </c>
      <c r="L323" s="380">
        <v>3.25</v>
      </c>
    </row>
    <row r="324" spans="2:12" x14ac:dyDescent="0.4">
      <c r="C324" s="364"/>
      <c r="F324" s="384"/>
      <c r="G324" s="380"/>
      <c r="H324" s="380"/>
      <c r="I324" s="380"/>
      <c r="J324" s="380"/>
      <c r="K324" s="385"/>
      <c r="L324" s="380"/>
    </row>
    <row r="325" spans="2:12" x14ac:dyDescent="0.4">
      <c r="C325" s="364"/>
      <c r="F325" s="384">
        <v>2012</v>
      </c>
      <c r="G325" s="386">
        <v>2013</v>
      </c>
      <c r="H325" s="386">
        <v>2014</v>
      </c>
      <c r="I325" s="386">
        <v>2015</v>
      </c>
      <c r="J325" s="386" t="s">
        <v>214</v>
      </c>
      <c r="K325" s="387">
        <v>2016</v>
      </c>
      <c r="L325" s="386" t="s">
        <v>215</v>
      </c>
    </row>
    <row r="326" spans="2:12" ht="13.5" x14ac:dyDescent="0.4">
      <c r="E326" s="183" t="s">
        <v>220</v>
      </c>
      <c r="F326" s="184">
        <v>85.589999999999975</v>
      </c>
      <c r="G326" s="184">
        <v>203.70000000000002</v>
      </c>
      <c r="H326" s="184">
        <v>260.20000000000005</v>
      </c>
      <c r="I326" s="184">
        <v>304.27999999999997</v>
      </c>
      <c r="J326" s="184">
        <v>155.51000000000005</v>
      </c>
      <c r="K326" s="184">
        <v>293.78000000000009</v>
      </c>
      <c r="L326" s="184">
        <v>126.94999999999997</v>
      </c>
    </row>
    <row r="327" spans="2:12" ht="13.5" x14ac:dyDescent="0.4">
      <c r="E327" s="183" t="s">
        <v>221</v>
      </c>
      <c r="F327" s="186">
        <v>3.3410754367131832E-3</v>
      </c>
      <c r="G327" s="186">
        <v>6.9114127884547854E-3</v>
      </c>
      <c r="H327" s="186">
        <v>7.9660344455982929E-3</v>
      </c>
      <c r="I327" s="186">
        <v>8.8666519996444936E-3</v>
      </c>
      <c r="J327" s="183" t="e">
        <f>NA()</f>
        <v>#N/A</v>
      </c>
      <c r="K327" s="186">
        <v>7.8930555189862701E-3</v>
      </c>
      <c r="L327" s="186" t="e">
        <f>NA()</f>
        <v>#N/A</v>
      </c>
    </row>
    <row r="328" spans="2:12" s="429" customFormat="1" ht="13.5" thickBot="1" x14ac:dyDescent="0.45"/>
    <row r="329" spans="2:12" ht="13.9" thickTop="1" x14ac:dyDescent="0.4">
      <c r="B329" s="15" t="s">
        <v>447</v>
      </c>
    </row>
    <row r="330" spans="2:12" ht="13.5" thickBot="1" x14ac:dyDescent="0.45"/>
    <row r="331" spans="2:12" ht="14.25" thickBot="1" x14ac:dyDescent="0.45">
      <c r="E331" s="388" t="s">
        <v>439</v>
      </c>
      <c r="F331" s="389">
        <v>42916</v>
      </c>
      <c r="G331" s="389">
        <v>42735</v>
      </c>
      <c r="H331" s="390" t="s">
        <v>440</v>
      </c>
      <c r="I331" s="391"/>
      <c r="J331" s="389">
        <v>42916</v>
      </c>
      <c r="K331" s="389">
        <v>42735</v>
      </c>
      <c r="L331" s="390" t="s">
        <v>441</v>
      </c>
    </row>
    <row r="332" spans="2:12" ht="13.5" x14ac:dyDescent="0.4">
      <c r="E332" s="392" t="s">
        <v>442</v>
      </c>
      <c r="F332" s="393">
        <v>1969.32</v>
      </c>
      <c r="G332" s="393">
        <v>1792.21</v>
      </c>
      <c r="H332" s="394">
        <v>177.1099999999999</v>
      </c>
      <c r="I332" s="395" t="s">
        <v>443</v>
      </c>
      <c r="J332" s="396">
        <v>14502.1</v>
      </c>
      <c r="K332" s="396">
        <v>14077.99</v>
      </c>
      <c r="L332" s="397">
        <v>424.1099999999999</v>
      </c>
    </row>
    <row r="333" spans="2:12" ht="13.9" x14ac:dyDescent="0.4">
      <c r="E333" s="398" t="s">
        <v>430</v>
      </c>
      <c r="F333" s="399">
        <v>83.2</v>
      </c>
      <c r="G333" s="400">
        <v>103.14</v>
      </c>
      <c r="H333" s="401">
        <v>-19.939999999999998</v>
      </c>
      <c r="I333" s="181" t="s">
        <v>430</v>
      </c>
      <c r="J333" s="402">
        <v>10670.11</v>
      </c>
      <c r="K333" s="402">
        <v>10039.620000000001</v>
      </c>
      <c r="L333" s="403">
        <v>630.48999999999978</v>
      </c>
    </row>
    <row r="334" spans="2:12" ht="13.9" x14ac:dyDescent="0.4">
      <c r="E334" s="398" t="s">
        <v>431</v>
      </c>
      <c r="F334" s="399">
        <v>25.88</v>
      </c>
      <c r="G334" s="399">
        <v>4.74</v>
      </c>
      <c r="H334" s="401">
        <v>21.14</v>
      </c>
      <c r="I334" s="181" t="s">
        <v>431</v>
      </c>
      <c r="J334" s="402">
        <v>299.89</v>
      </c>
      <c r="K334" s="402">
        <v>285.05</v>
      </c>
      <c r="L334" s="403">
        <v>14.839999999999975</v>
      </c>
    </row>
    <row r="335" spans="2:12" ht="13.9" x14ac:dyDescent="0.4">
      <c r="E335" s="398" t="s">
        <v>432</v>
      </c>
      <c r="F335" s="399">
        <v>340.34</v>
      </c>
      <c r="G335" s="399">
        <v>320.85000000000002</v>
      </c>
      <c r="H335" s="401">
        <v>19.489999999999952</v>
      </c>
      <c r="I335" s="181" t="s">
        <v>432</v>
      </c>
      <c r="J335" s="402">
        <v>2920.27</v>
      </c>
      <c r="K335" s="402">
        <v>3065.91</v>
      </c>
      <c r="L335" s="401">
        <v>-145.63999999999987</v>
      </c>
    </row>
    <row r="336" spans="2:12" ht="13.9" x14ac:dyDescent="0.4">
      <c r="E336" s="398" t="s">
        <v>433</v>
      </c>
      <c r="F336" s="399">
        <v>306.95</v>
      </c>
      <c r="G336" s="399">
        <v>562.04999999999995</v>
      </c>
      <c r="H336" s="404">
        <v>-255.09999999999997</v>
      </c>
      <c r="I336" s="181" t="s">
        <v>433</v>
      </c>
      <c r="J336" s="181">
        <v>611.83000000000004</v>
      </c>
      <c r="K336" s="181">
        <v>687.41</v>
      </c>
      <c r="L336" s="401">
        <v>-75.579999999999927</v>
      </c>
    </row>
    <row r="337" spans="5:12" ht="13.9" x14ac:dyDescent="0.4">
      <c r="E337" s="398" t="s">
        <v>434</v>
      </c>
      <c r="F337" s="399">
        <v>1.58</v>
      </c>
      <c r="G337" s="399">
        <v>0.34</v>
      </c>
      <c r="H337" s="401">
        <v>1.24</v>
      </c>
      <c r="I337" s="181"/>
      <c r="J337" s="181"/>
      <c r="K337" s="181"/>
      <c r="L337" s="401"/>
    </row>
    <row r="338" spans="5:12" ht="13.9" x14ac:dyDescent="0.4">
      <c r="E338" s="398" t="s">
        <v>435</v>
      </c>
      <c r="F338" s="399">
        <v>550.87</v>
      </c>
      <c r="G338" s="399">
        <v>180.56</v>
      </c>
      <c r="H338" s="401">
        <v>370.31</v>
      </c>
      <c r="I338" s="181"/>
      <c r="J338" s="181"/>
      <c r="K338" s="181"/>
      <c r="L338" s="401"/>
    </row>
    <row r="339" spans="5:12" ht="14.25" thickBot="1" x14ac:dyDescent="0.45">
      <c r="E339" s="398" t="s">
        <v>436</v>
      </c>
      <c r="F339" s="399">
        <v>660.5</v>
      </c>
      <c r="G339" s="399">
        <v>620.53</v>
      </c>
      <c r="H339" s="401">
        <v>39.970000000000027</v>
      </c>
      <c r="I339" s="181"/>
      <c r="J339" s="181"/>
      <c r="K339" s="181"/>
      <c r="L339" s="401"/>
    </row>
    <row r="340" spans="5:12" ht="13.5" x14ac:dyDescent="0.4">
      <c r="E340" s="405" t="s">
        <v>444</v>
      </c>
      <c r="F340" s="406">
        <v>3939.3800000000006</v>
      </c>
      <c r="G340" s="407">
        <v>3427.5499999999997</v>
      </c>
      <c r="H340" s="408">
        <v>511.83000000000084</v>
      </c>
      <c r="I340" s="407" t="s">
        <v>445</v>
      </c>
      <c r="J340" s="409">
        <v>4130.84</v>
      </c>
      <c r="K340" s="409">
        <v>3878.23</v>
      </c>
      <c r="L340" s="410">
        <v>252.61000000000013</v>
      </c>
    </row>
    <row r="341" spans="5:12" ht="13.9" x14ac:dyDescent="0.4">
      <c r="E341" s="398" t="s">
        <v>430</v>
      </c>
      <c r="F341" s="399">
        <v>401.39</v>
      </c>
      <c r="G341" s="399">
        <v>377.35</v>
      </c>
      <c r="H341" s="404">
        <v>24.039999999999964</v>
      </c>
      <c r="I341" s="181" t="s">
        <v>430</v>
      </c>
      <c r="J341" s="402">
        <v>985.19</v>
      </c>
      <c r="K341" s="402">
        <v>805.72</v>
      </c>
      <c r="L341" s="403">
        <v>179.47000000000003</v>
      </c>
    </row>
    <row r="342" spans="5:12" ht="13.9" x14ac:dyDescent="0.4">
      <c r="E342" s="398" t="s">
        <v>431</v>
      </c>
      <c r="F342" s="399">
        <v>60.16</v>
      </c>
      <c r="G342" s="399">
        <v>44.72</v>
      </c>
      <c r="H342" s="401">
        <v>15.439999999999998</v>
      </c>
      <c r="I342" s="181" t="s">
        <v>432</v>
      </c>
      <c r="J342" s="402">
        <v>150.49</v>
      </c>
      <c r="K342" s="402">
        <v>204.55</v>
      </c>
      <c r="L342" s="401">
        <v>-54.06</v>
      </c>
    </row>
    <row r="343" spans="5:12" ht="13.9" x14ac:dyDescent="0.4">
      <c r="E343" s="398" t="s">
        <v>432</v>
      </c>
      <c r="F343" s="399">
        <v>2808.92</v>
      </c>
      <c r="G343" s="399">
        <v>2254.62</v>
      </c>
      <c r="H343" s="401">
        <v>554.30000000000018</v>
      </c>
      <c r="I343" s="181" t="s">
        <v>437</v>
      </c>
      <c r="J343" s="402">
        <v>208</v>
      </c>
      <c r="K343" s="402">
        <v>443</v>
      </c>
      <c r="L343" s="401">
        <v>-235</v>
      </c>
    </row>
    <row r="344" spans="5:12" ht="13.9" x14ac:dyDescent="0.4">
      <c r="E344" s="398" t="s">
        <v>433</v>
      </c>
      <c r="F344" s="399">
        <v>603.57000000000005</v>
      </c>
      <c r="G344" s="399">
        <v>663.8</v>
      </c>
      <c r="H344" s="401">
        <v>-60.229999999999905</v>
      </c>
      <c r="I344" s="181" t="s">
        <v>438</v>
      </c>
      <c r="J344" s="402">
        <v>2787.16</v>
      </c>
      <c r="K344" s="402">
        <v>2424.96</v>
      </c>
      <c r="L344" s="401">
        <v>362.19999999999982</v>
      </c>
    </row>
    <row r="345" spans="5:12" ht="13.9" x14ac:dyDescent="0.4">
      <c r="E345" s="398" t="s">
        <v>434</v>
      </c>
      <c r="F345" s="399">
        <v>48.71</v>
      </c>
      <c r="G345" s="399">
        <v>68.040000000000006</v>
      </c>
      <c r="H345" s="401">
        <v>-19.330000000000005</v>
      </c>
      <c r="I345" s="181"/>
      <c r="J345" s="181"/>
      <c r="K345" s="181"/>
      <c r="L345" s="401"/>
    </row>
    <row r="346" spans="5:12" ht="13.9" x14ac:dyDescent="0.4">
      <c r="E346" s="398" t="s">
        <v>435</v>
      </c>
      <c r="F346" s="399">
        <v>16.63</v>
      </c>
      <c r="G346" s="399">
        <v>19.02</v>
      </c>
      <c r="H346" s="401">
        <v>-2.3900000000000006</v>
      </c>
      <c r="I346" s="181"/>
      <c r="J346" s="181"/>
      <c r="K346" s="181"/>
      <c r="L346" s="401"/>
    </row>
    <row r="347" spans="5:12" ht="13.9" x14ac:dyDescent="0.4">
      <c r="E347" s="398"/>
      <c r="F347" s="181"/>
      <c r="G347" s="181"/>
      <c r="H347" s="401"/>
      <c r="I347" s="181"/>
      <c r="J347" s="181"/>
      <c r="K347" s="181"/>
      <c r="L347" s="401"/>
    </row>
    <row r="348" spans="5:12" ht="13.9" x14ac:dyDescent="0.4">
      <c r="E348" s="398"/>
      <c r="F348" s="181"/>
      <c r="G348" s="181"/>
      <c r="H348" s="401"/>
      <c r="I348" s="411"/>
      <c r="J348" s="411"/>
      <c r="K348" s="411"/>
      <c r="L348" s="401"/>
    </row>
    <row r="349" spans="5:12" ht="14.25" thickBot="1" x14ac:dyDescent="0.45">
      <c r="E349" s="412"/>
      <c r="F349" s="413"/>
      <c r="G349" s="413"/>
      <c r="H349" s="414"/>
      <c r="I349" s="415"/>
      <c r="J349" s="415"/>
      <c r="K349" s="415"/>
      <c r="L349" s="416"/>
    </row>
    <row r="350" spans="5:12" ht="14.25" thickBot="1" x14ac:dyDescent="0.45">
      <c r="E350" s="181"/>
      <c r="F350" s="181"/>
      <c r="G350" s="181"/>
      <c r="H350" s="417">
        <v>511.83000000000027</v>
      </c>
      <c r="I350" s="411"/>
      <c r="J350" s="411"/>
      <c r="K350" s="411"/>
      <c r="L350" s="417">
        <v>252.60999999999984</v>
      </c>
    </row>
    <row r="351" spans="5:12" ht="13.9" x14ac:dyDescent="0.4">
      <c r="E351" s="418"/>
      <c r="F351" s="419">
        <v>42916</v>
      </c>
      <c r="G351" s="419">
        <v>42735</v>
      </c>
      <c r="H351" s="420" t="s">
        <v>441</v>
      </c>
      <c r="I351" s="180"/>
      <c r="J351" s="180"/>
      <c r="K351" s="180"/>
      <c r="L351" s="421"/>
    </row>
    <row r="352" spans="5:12" ht="13.9" x14ac:dyDescent="0.4">
      <c r="E352" s="422" t="s">
        <v>446</v>
      </c>
      <c r="F352" s="423">
        <v>12139.890000000001</v>
      </c>
      <c r="G352" s="423">
        <v>11325.83</v>
      </c>
      <c r="H352" s="404">
        <v>814.06000000000131</v>
      </c>
      <c r="I352" s="180"/>
      <c r="J352" s="180"/>
      <c r="K352" s="180"/>
      <c r="L352" s="180"/>
    </row>
    <row r="353" spans="5:12" ht="13.9" x14ac:dyDescent="0.4">
      <c r="E353" s="422" t="s">
        <v>431</v>
      </c>
      <c r="F353" s="423">
        <v>385.92999999999995</v>
      </c>
      <c r="G353" s="423">
        <v>334.51</v>
      </c>
      <c r="H353" s="404">
        <v>51.419999999999959</v>
      </c>
      <c r="I353" s="180"/>
      <c r="J353" s="180"/>
      <c r="K353" s="180"/>
      <c r="L353" s="180"/>
    </row>
    <row r="354" spans="5:12" ht="13.9" x14ac:dyDescent="0.4">
      <c r="E354" s="422" t="s">
        <v>432</v>
      </c>
      <c r="F354" s="423">
        <v>6220.02</v>
      </c>
      <c r="G354" s="423">
        <v>5845.9299999999994</v>
      </c>
      <c r="H354" s="404">
        <v>374.09000000000106</v>
      </c>
      <c r="I354" s="180"/>
      <c r="J354" s="180"/>
      <c r="K354" s="180"/>
      <c r="L354" s="180"/>
    </row>
    <row r="355" spans="5:12" ht="13.9" x14ac:dyDescent="0.4">
      <c r="E355" s="422" t="s">
        <v>433</v>
      </c>
      <c r="F355" s="423">
        <v>1522.35</v>
      </c>
      <c r="G355" s="423">
        <v>1913.2599999999998</v>
      </c>
      <c r="H355" s="404">
        <v>-390.90999999999985</v>
      </c>
      <c r="I355" s="180"/>
      <c r="J355" s="180"/>
      <c r="K355" s="180"/>
      <c r="L355" s="180"/>
    </row>
    <row r="356" spans="5:12" ht="13.9" x14ac:dyDescent="0.4">
      <c r="E356" s="422" t="s">
        <v>434</v>
      </c>
      <c r="F356" s="399">
        <v>50.29</v>
      </c>
      <c r="G356" s="399">
        <v>68.38000000000001</v>
      </c>
      <c r="H356" s="404">
        <v>-18.090000000000011</v>
      </c>
      <c r="I356" s="180"/>
      <c r="J356" s="180"/>
      <c r="K356" s="180"/>
      <c r="L356" s="180"/>
    </row>
    <row r="357" spans="5:12" ht="13.9" x14ac:dyDescent="0.4">
      <c r="E357" s="422" t="s">
        <v>435</v>
      </c>
      <c r="F357" s="424">
        <v>567.5</v>
      </c>
      <c r="G357" s="424">
        <v>199.58</v>
      </c>
      <c r="H357" s="404">
        <v>367.91999999999996</v>
      </c>
      <c r="I357" s="180"/>
      <c r="J357" s="180"/>
      <c r="K357" s="180"/>
      <c r="L357" s="180"/>
    </row>
    <row r="358" spans="5:12" ht="13.9" x14ac:dyDescent="0.4">
      <c r="E358" s="422" t="s">
        <v>436</v>
      </c>
      <c r="F358" s="423">
        <v>660.5</v>
      </c>
      <c r="G358" s="423">
        <v>620.53</v>
      </c>
      <c r="H358" s="404">
        <v>39.970000000000027</v>
      </c>
      <c r="I358" s="180"/>
      <c r="J358" s="180"/>
      <c r="K358" s="180"/>
      <c r="L358" s="180"/>
    </row>
    <row r="359" spans="5:12" ht="13.9" x14ac:dyDescent="0.4">
      <c r="E359" s="422" t="s">
        <v>438</v>
      </c>
      <c r="F359" s="402">
        <v>2787.16</v>
      </c>
      <c r="G359" s="402">
        <v>2424.96</v>
      </c>
      <c r="H359" s="404">
        <v>362.19999999999982</v>
      </c>
      <c r="I359" s="180"/>
      <c r="J359" s="180"/>
      <c r="K359" s="180"/>
      <c r="L359" s="180"/>
    </row>
    <row r="360" spans="5:12" ht="14.25" x14ac:dyDescent="0.4">
      <c r="E360" s="425" t="s">
        <v>437</v>
      </c>
      <c r="F360" s="402">
        <v>208</v>
      </c>
      <c r="G360" s="402">
        <v>443</v>
      </c>
      <c r="H360" s="404">
        <v>-235</v>
      </c>
      <c r="I360" s="180"/>
      <c r="J360" s="180"/>
      <c r="K360" s="180"/>
      <c r="L360" s="180"/>
    </row>
    <row r="361" spans="5:12" ht="13.9" x14ac:dyDescent="0.4">
      <c r="E361" s="426"/>
      <c r="F361" s="181"/>
      <c r="G361" s="181"/>
      <c r="H361" s="404"/>
      <c r="I361" s="180"/>
      <c r="J361" s="180"/>
      <c r="K361" s="180"/>
      <c r="L361" s="180"/>
    </row>
    <row r="362" spans="5:12" ht="13.9" x14ac:dyDescent="0.4">
      <c r="E362" s="426"/>
      <c r="F362" s="181"/>
      <c r="G362" s="181"/>
      <c r="H362" s="404"/>
      <c r="I362" s="180"/>
      <c r="J362" s="180"/>
      <c r="K362" s="180"/>
      <c r="L362" s="180"/>
    </row>
    <row r="363" spans="5:12" ht="14.25" thickBot="1" x14ac:dyDescent="0.45">
      <c r="E363" s="427"/>
      <c r="F363" s="413"/>
      <c r="G363" s="413"/>
      <c r="H363" s="428"/>
      <c r="I363" s="180"/>
      <c r="J363" s="180"/>
      <c r="K363" s="180"/>
      <c r="L363" s="180"/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204" workbookViewId="0">
      <selection activeCell="I351" sqref="I351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6" width="9.73046875" style="183" customWidth="1"/>
    <col min="7" max="9" width="11.265625" style="183" customWidth="1"/>
    <col min="10" max="10" width="14.1328125" style="183" customWidth="1"/>
    <col min="11" max="11" width="12.19921875" style="183" bestFit="1" customWidth="1"/>
    <col min="12" max="12" width="9.132812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222</v>
      </c>
      <c r="C1" s="189" t="s">
        <v>473</v>
      </c>
      <c r="D1" s="189"/>
    </row>
    <row r="2" spans="1:11" s="188" customFormat="1" x14ac:dyDescent="0.35">
      <c r="A2" s="187" t="s">
        <v>224</v>
      </c>
      <c r="C2" s="189" t="s">
        <v>474</v>
      </c>
      <c r="D2" s="189"/>
    </row>
    <row r="3" spans="1:11" s="188" customFormat="1" x14ac:dyDescent="0.35">
      <c r="A3" s="187" t="s">
        <v>226</v>
      </c>
      <c r="C3" s="189" t="s">
        <v>227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601328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228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229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230</v>
      </c>
      <c r="E10" s="468">
        <f>[1]!s_stm07_bs($C$6,"W66934046",E6,1,1000000)</f>
        <v>736999</v>
      </c>
      <c r="F10" s="468">
        <f>[1]!s_stm07_bs($C$6,"W66934046",F6,1,1000000)</f>
        <v>816846</v>
      </c>
      <c r="G10" s="468">
        <f>[1]!s_stm07_bs($C$6,"W66934046",G6,1,1000000)</f>
        <v>896556</v>
      </c>
      <c r="H10" s="468">
        <f>[1]!s_stm07_bs($C$6,"W66934046",H6,1,1000000)</f>
        <v>938055</v>
      </c>
      <c r="I10" s="468">
        <f>[1]!s_stm07_bs($C$6,"W66934046",I6,1,1000000)</f>
        <v>920228</v>
      </c>
      <c r="J10" s="468">
        <f>[1]!s_stm07_bs($C$6,"W66934046",J6,1,1000000)</f>
        <v>991435</v>
      </c>
      <c r="K10" s="468">
        <f>[1]!s_stm07_bs($C$6,"W66934046",K6,1,1000000)</f>
        <v>1010524</v>
      </c>
    </row>
    <row r="11" spans="1:11" ht="13.5" x14ac:dyDescent="0.4">
      <c r="C11" s="207" t="s">
        <v>231</v>
      </c>
      <c r="E11" s="468">
        <f>[1]!s_stm07_bs($C$6,"W49786054",E6,1,1000000)</f>
        <v>96605</v>
      </c>
      <c r="F11" s="468">
        <f>[1]!s_stm07_bs($C$6,"W49786054",F6,1,1000000)</f>
        <v>172322</v>
      </c>
      <c r="G11" s="468">
        <f>[1]!s_stm07_bs($C$6,"W49786054",G6,1,1000000)</f>
        <v>97415</v>
      </c>
      <c r="H11" s="468">
        <f>[1]!s_stm07_bs($C$6,"W49786054",H6,1,1000000)</f>
        <v>174261</v>
      </c>
      <c r="I11" s="468">
        <f>[1]!s_stm07_bs($C$6,"W49786054",I6,1,1000000)</f>
        <v>178087</v>
      </c>
      <c r="J11" s="468">
        <f>[1]!s_stm07_bs($C$6,"W49786054",J6,1,1000000)</f>
        <v>179953</v>
      </c>
      <c r="K11" s="468">
        <f>[1]!s_stm07_bs($C$6,"W49786054",K6,1,1000000)</f>
        <v>182838</v>
      </c>
    </row>
    <row r="12" spans="1:11" ht="13.5" x14ac:dyDescent="0.4">
      <c r="C12" s="207" t="s">
        <v>232</v>
      </c>
      <c r="E12" s="468">
        <f>[1]!s_stm07_bs($C$6,"W45840830",E6,1,1000000)</f>
        <v>0</v>
      </c>
      <c r="F12" s="468">
        <f>[1]!s_stm07_bs($C$6,"W45840830",F6,1,1000000)</f>
        <v>0</v>
      </c>
      <c r="G12" s="468">
        <f>[1]!s_stm07_bs($C$6,"W45840830",G6,1,1000000)</f>
        <v>0</v>
      </c>
      <c r="H12" s="468">
        <f>[1]!s_stm07_bs($C$6,"W45840830",H6,1,1000000)</f>
        <v>0</v>
      </c>
      <c r="I12" s="468">
        <f>[1]!s_stm07_bs($C$6,"W45840830",I6,1,1000000)</f>
        <v>0</v>
      </c>
      <c r="J12" s="468">
        <f>[1]!s_stm07_bs($C$6,"W45840830",J6,1,1000000)</f>
        <v>0</v>
      </c>
      <c r="K12" s="468">
        <f>[1]!s_stm07_bs($C$6,"W45840830",K6,1,1000000)</f>
        <v>0</v>
      </c>
    </row>
    <row r="13" spans="1:11" ht="13.5" x14ac:dyDescent="0.4">
      <c r="C13" s="207" t="s">
        <v>233</v>
      </c>
      <c r="E13" s="468">
        <f>[1]!s_stm07_bs($C$6,"W43801822",E6,1,1000000)</f>
        <v>148726</v>
      </c>
      <c r="F13" s="468">
        <f>[1]!s_stm07_bs($C$6,"W43801822",F6,1,1000000)</f>
        <v>153787</v>
      </c>
      <c r="G13" s="468">
        <f>[1]!s_stm07_bs($C$6,"W43801822",G6,1,1000000)</f>
        <v>197057</v>
      </c>
      <c r="H13" s="468">
        <f>[1]!s_stm07_bs($C$6,"W43801822",H6,1,1000000)</f>
        <v>172318</v>
      </c>
      <c r="I13" s="468">
        <f>[1]!s_stm07_bs($C$6,"W43801822",I6,1,1000000)</f>
        <v>356812</v>
      </c>
      <c r="J13" s="468">
        <f>[1]!s_stm07_bs($C$6,"W43801822",J6,1,1000000)</f>
        <v>467791</v>
      </c>
      <c r="K13" s="468">
        <f>[1]!s_stm07_bs($C$6,"W43801822",K6,1,1000000)</f>
        <v>438515</v>
      </c>
    </row>
    <row r="14" spans="1:11" ht="13.5" x14ac:dyDescent="0.4">
      <c r="C14" s="207" t="s">
        <v>234</v>
      </c>
      <c r="E14" s="468">
        <f>[1]!s_stm07_bs($C$6,"W43784834",E6,1,1000000)</f>
        <v>42837</v>
      </c>
      <c r="F14" s="468">
        <f>[1]!s_stm07_bs($C$6,"W43784834",F6,1,1000000)</f>
        <v>45683</v>
      </c>
      <c r="G14" s="468">
        <f>[1]!s_stm07_bs($C$6,"W43784834",G6,1,1000000)</f>
        <v>59083</v>
      </c>
      <c r="H14" s="468">
        <f>[1]!s_stm07_bs($C$6,"W43784834",H6,1,1000000)</f>
        <v>105702</v>
      </c>
      <c r="I14" s="468">
        <f>[1]!s_stm07_bs($C$6,"W43784834",I6,1,1000000)</f>
        <v>138999</v>
      </c>
      <c r="J14" s="468">
        <f>[1]!s_stm07_bs($C$6,"W43784834",J6,1,1000000)</f>
        <v>179221</v>
      </c>
      <c r="K14" s="468">
        <f>[1]!s_stm07_bs($C$6,"W43784834",K6,1,1000000)</f>
        <v>211891</v>
      </c>
    </row>
    <row r="15" spans="1:11" ht="13.5" x14ac:dyDescent="0.4">
      <c r="C15" s="207" t="s">
        <v>235</v>
      </c>
      <c r="E15" s="468">
        <f>[1]!s_stm07_bs($C$6,"W42630904",E6,1,1000000)</f>
        <v>5585</v>
      </c>
      <c r="F15" s="468">
        <f>[1]!s_stm07_bs($C$6,"W42630904",F6,1,1000000)</f>
        <v>6478</v>
      </c>
      <c r="G15" s="468">
        <f>[1]!s_stm07_bs($C$6,"W42630904",G6,1,1000000)</f>
        <v>14227</v>
      </c>
      <c r="H15" s="468">
        <f>[1]!s_stm07_bs($C$6,"W42630904",H6,1,1000000)</f>
        <v>10656</v>
      </c>
      <c r="I15" s="468">
        <f>[1]!s_stm07_bs($C$6,"W42630904",I6,1,1000000)</f>
        <v>34310</v>
      </c>
      <c r="J15" s="468">
        <f>[1]!s_stm07_bs($C$6,"W42630904",J6,1,1000000)</f>
        <v>37223</v>
      </c>
      <c r="K15" s="468">
        <f>[1]!s_stm07_bs($C$6,"W42630904",K6,1,1000000)</f>
        <v>20955</v>
      </c>
    </row>
    <row r="16" spans="1:11" ht="13.5" x14ac:dyDescent="0.4">
      <c r="C16" s="207" t="s">
        <v>236</v>
      </c>
      <c r="E16" s="468">
        <f>[1]!s_stm07_bs($C$6,"W49720400",E6,1,1000000)</f>
        <v>197909</v>
      </c>
      <c r="F16" s="468">
        <f>[1]!s_stm07_bs($C$6,"W49720400",F6,1,1000000)</f>
        <v>194854</v>
      </c>
      <c r="G16" s="468">
        <f>[1]!s_stm07_bs($C$6,"W49720400",G6,1,1000000)</f>
        <v>271957</v>
      </c>
      <c r="H16" s="468">
        <f>[1]!s_stm07_bs($C$6,"W49720400",H6,1,1000000)</f>
        <v>178454</v>
      </c>
      <c r="I16" s="468">
        <f>[1]!s_stm07_bs($C$6,"W49720400",I6,1,1000000)</f>
        <v>76292</v>
      </c>
      <c r="J16" s="468">
        <f>[1]!s_stm07_bs($C$6,"W49720400",J6,1,1000000)</f>
        <v>68043</v>
      </c>
      <c r="K16" s="468">
        <f>[1]!s_stm07_bs($C$6,"W49720400",K6,1,1000000)</f>
        <v>75150</v>
      </c>
    </row>
    <row r="17" spans="3:11" ht="13.5" x14ac:dyDescent="0.4">
      <c r="C17" s="207" t="s">
        <v>237</v>
      </c>
      <c r="E17" s="468">
        <f>[1]!s_stm07_bs($C$6,"W47342125",E6,1,1000000)</f>
        <v>19773</v>
      </c>
      <c r="F17" s="468">
        <f>[1]!s_stm07_bs($C$6,"W47342125",F6,1,1000000)</f>
        <v>24225</v>
      </c>
      <c r="G17" s="468">
        <f>[1]!s_stm07_bs($C$6,"W47342125",G6,1,1000000)</f>
        <v>29809</v>
      </c>
      <c r="H17" s="468">
        <f>[1]!s_stm07_bs($C$6,"W47342125",H6,1,1000000)</f>
        <v>34790</v>
      </c>
      <c r="I17" s="468">
        <f>[1]!s_stm07_bs($C$6,"W47342125",I6,1,1000000)</f>
        <v>41533</v>
      </c>
      <c r="J17" s="468">
        <f>[1]!s_stm07_bs($C$6,"W47342125",J6,1,1000000)</f>
        <v>47803</v>
      </c>
      <c r="K17" s="468">
        <f>[1]!s_stm07_bs($C$6,"W47342125",K6,1,1000000)</f>
        <v>51809</v>
      </c>
    </row>
    <row r="18" spans="3:11" ht="13.5" x14ac:dyDescent="0.4">
      <c r="C18" s="207" t="s">
        <v>238</v>
      </c>
      <c r="E18" s="468">
        <f>[1]!s_stm07_bs($C$6,"W47456352",E6,1,1000000)</f>
        <v>2505385</v>
      </c>
      <c r="F18" s="468">
        <f>[1]!s_stm07_bs($C$6,"W47456352",F6,1,1000000)</f>
        <v>2879628</v>
      </c>
      <c r="G18" s="468">
        <f>[1]!s_stm07_bs($C$6,"W47456352",G6,1,1000000)</f>
        <v>3193063</v>
      </c>
      <c r="H18" s="468">
        <f>[1]!s_stm07_bs($C$6,"W47456352",H6,1,1000000)</f>
        <v>3354787</v>
      </c>
      <c r="I18" s="468">
        <f>[1]!s_stm07_bs($C$6,"W47456352",I6,1,1000000)</f>
        <v>3634568</v>
      </c>
      <c r="J18" s="468">
        <f>[1]!s_stm07_bs($C$6,"W47456352",J6,1,1000000)</f>
        <v>4009046</v>
      </c>
      <c r="K18" s="468">
        <f>[1]!s_stm07_bs($C$6,"W47456352",K6,1,1000000)</f>
        <v>4244850</v>
      </c>
    </row>
    <row r="19" spans="3:11" ht="13.5" x14ac:dyDescent="0.4">
      <c r="C19" s="207" t="s">
        <v>239</v>
      </c>
      <c r="E19" s="468">
        <f>[1]!s_stm07_bs($C$6,"W47556526",E6,1,1000000)</f>
        <v>183336</v>
      </c>
      <c r="F19" s="468">
        <f>[1]!s_stm07_bs($C$6,"W47556526",F6,1,1000000)</f>
        <v>203752</v>
      </c>
      <c r="G19" s="468">
        <f>[1]!s_stm07_bs($C$6,"W47556526",G6,1,1000000)</f>
        <v>220397</v>
      </c>
      <c r="H19" s="468">
        <f>[1]!s_stm07_bs($C$6,"W47556526",H6,1,1000000)</f>
        <v>210016</v>
      </c>
      <c r="I19" s="468">
        <f>[1]!s_stm07_bs($C$6,"W47556526",I6,1,1000000)</f>
        <v>264739</v>
      </c>
      <c r="J19" s="468">
        <f>[1]!s_stm07_bs($C$6,"W47556526",J6,1,1000000)</f>
        <v>342755</v>
      </c>
      <c r="K19" s="468">
        <f>[1]!s_stm07_bs($C$6,"W47556526",K6,1,1000000)</f>
        <v>384465</v>
      </c>
    </row>
    <row r="20" spans="3:11" ht="13.5" x14ac:dyDescent="0.4">
      <c r="C20" s="207" t="s">
        <v>240</v>
      </c>
      <c r="E20" s="468">
        <f>[1]!s_stm07_bs($C$6,"W40712817",E6,1,1000000)</f>
        <v>544761</v>
      </c>
      <c r="F20" s="468">
        <f>[1]!s_stm07_bs($C$6,"W40712817",F6,1,1000000)</f>
        <v>598615</v>
      </c>
      <c r="G20" s="468">
        <f>[1]!s_stm07_bs($C$6,"W40712817",G6,1,1000000)</f>
        <v>670615</v>
      </c>
      <c r="H20" s="468">
        <f>[1]!s_stm07_bs($C$6,"W40712817",H6,1,1000000)</f>
        <v>635570</v>
      </c>
      <c r="I20" s="468">
        <f>[1]!s_stm07_bs($C$6,"W40712817",I6,1,1000000)</f>
        <v>933683</v>
      </c>
      <c r="J20" s="468">
        <f>[1]!s_stm07_bs($C$6,"W40712817",J6,1,1000000)</f>
        <v>1407449</v>
      </c>
      <c r="K20" s="468">
        <f>[1]!s_stm07_bs($C$6,"W40712817",K6,1,1000000)</f>
        <v>1413756</v>
      </c>
    </row>
    <row r="21" spans="3:11" ht="13.5" x14ac:dyDescent="0.4">
      <c r="C21" s="207" t="s">
        <v>241</v>
      </c>
      <c r="E21" s="468">
        <f>[1]!s_stm07_bs($C$6,"155",E6,1,1000000)</f>
        <v>28256</v>
      </c>
      <c r="F21" s="468">
        <f>[1]!s_stm07_bs($C$6,"155",F6,1,1000000)</f>
        <v>30395</v>
      </c>
      <c r="G21" s="468">
        <f>[1]!s_stm07_bs($C$6,"155",G6,1,1000000)</f>
        <v>119726</v>
      </c>
      <c r="H21" s="468">
        <f>[1]!s_stm07_bs($C$6,"155",H6,1,1000000)</f>
        <v>211588</v>
      </c>
      <c r="I21" s="468">
        <f>[1]!s_stm07_bs($C$6,"155",I6,1,1000000)</f>
        <v>323679</v>
      </c>
      <c r="J21" s="468">
        <f>[1]!s_stm07_bs($C$6,"155",J6,1,1000000)</f>
        <v>385020</v>
      </c>
      <c r="K21" s="468">
        <f>[1]!s_stm07_bs($C$6,"155",K6,1,1000000)</f>
        <v>398746</v>
      </c>
    </row>
    <row r="22" spans="3:11" ht="13.5" x14ac:dyDescent="0.4">
      <c r="C22" s="207" t="s">
        <v>242</v>
      </c>
      <c r="E22" s="468"/>
      <c r="F22" s="468"/>
      <c r="G22" s="468"/>
      <c r="H22" s="468"/>
      <c r="I22" s="468"/>
      <c r="J22" s="468"/>
      <c r="K22" s="468"/>
    </row>
    <row r="23" spans="3:11" ht="13.5" x14ac:dyDescent="0.4">
      <c r="C23" s="207" t="s">
        <v>243</v>
      </c>
      <c r="E23" s="468">
        <f>[1]!s_stm07_bs($C$6,"W43362178",E6,1,1000000)</f>
        <v>1054</v>
      </c>
      <c r="F23" s="468">
        <f>[1]!s_stm07_bs($C$6,"W43362178",F6,1,1000000)</f>
        <v>1158</v>
      </c>
      <c r="G23" s="468">
        <f>[1]!s_stm07_bs($C$6,"W43362178",G6,1,1000000)</f>
        <v>1200</v>
      </c>
      <c r="H23" s="468">
        <f>[1]!s_stm07_bs($C$6,"W43362178",H6,1,1000000)</f>
        <v>547</v>
      </c>
      <c r="I23" s="468">
        <f>[1]!s_stm07_bs($C$6,"W43362178",I6,1,1000000)</f>
        <v>577</v>
      </c>
      <c r="J23" s="468">
        <f>[1]!s_stm07_bs($C$6,"W43362178",J6,1,1000000)</f>
        <v>714</v>
      </c>
      <c r="K23" s="468">
        <f>[1]!s_stm07_bs($C$6,"W43362178",K6,1,1000000)</f>
        <v>749</v>
      </c>
    </row>
    <row r="24" spans="3:11" ht="13.5" x14ac:dyDescent="0.4">
      <c r="C24" s="207" t="s">
        <v>244</v>
      </c>
      <c r="E24" s="468">
        <f>[1]!s_stm07_bs($C$6,"W44672706",E6,1,1000000)</f>
        <v>37017</v>
      </c>
      <c r="F24" s="468">
        <f>[1]!s_stm07_bs($C$6,"W44672706",F6,1,1000000)</f>
        <v>45536</v>
      </c>
      <c r="G24" s="468">
        <f>[1]!s_stm07_bs($C$6,"W44672706",G6,1,1000000)</f>
        <v>57179</v>
      </c>
      <c r="H24" s="468">
        <f>[1]!s_stm07_bs($C$6,"W44672706",H6,1,1000000)</f>
        <v>69767</v>
      </c>
      <c r="I24" s="468">
        <f>[1]!s_stm07_bs($C$6,"W44672706",I6,1,1000000)</f>
        <v>90393</v>
      </c>
      <c r="J24" s="468">
        <f>[1]!s_stm07_bs($C$6,"W44672706",J6,1,1000000)</f>
        <v>114425</v>
      </c>
      <c r="K24" s="468">
        <f>[1]!s_stm07_bs($C$6,"W44672706",K6,1,1000000)</f>
        <v>116600</v>
      </c>
    </row>
    <row r="25" spans="3:11" ht="13.5" x14ac:dyDescent="0.4">
      <c r="C25" s="183" t="s">
        <v>475</v>
      </c>
      <c r="E25" s="356">
        <f>[1]!s_stm07_bs($C$6,"W14444311",E6,1,1000000)</f>
        <v>196</v>
      </c>
      <c r="F25" s="356">
        <f>[1]!s_stm07_bs($C$6,"W14444311",F6,1,1000000)</f>
        <v>182</v>
      </c>
      <c r="G25" s="356">
        <f>[1]!s_stm07_bs($C$6,"W14444311",G6,1,1000000)</f>
        <v>194</v>
      </c>
      <c r="H25" s="356">
        <f>[1]!s_stm07_bs($C$6,"W14444311",H6,1,1000000)</f>
        <v>7276</v>
      </c>
      <c r="I25" s="356">
        <f>[1]!s_stm07_bs($C$6,"W14444311",I6,1,1000000)</f>
        <v>5634</v>
      </c>
      <c r="J25" s="356">
        <f>[1]!s_stm07_bs($C$6,"W14444311",J6,1,1000000)</f>
        <v>8762</v>
      </c>
      <c r="K25" s="356">
        <f>[1]!s_stm07_bs($C$6,"W14444311",K6,1,1000000)</f>
        <v>8797</v>
      </c>
    </row>
    <row r="26" spans="3:11" ht="13.5" x14ac:dyDescent="0.4">
      <c r="C26" s="183" t="s">
        <v>246</v>
      </c>
      <c r="E26" s="468">
        <f>[1]!s_stm07_bs($C$6,"W45280150",E6,1,1000000)</f>
        <v>1165</v>
      </c>
      <c r="F26" s="468">
        <f>[1]!s_stm07_bs($C$6,"W45280150",F6,1,1000000)</f>
        <v>1363</v>
      </c>
      <c r="G26" s="468">
        <f>[1]!s_stm07_bs($C$6,"W45280150",G6,1,1000000)</f>
        <v>1461</v>
      </c>
      <c r="H26" s="468">
        <f>[1]!s_stm07_bs($C$6,"W45280150",H6,1,1000000)</f>
        <v>1707</v>
      </c>
      <c r="I26" s="468">
        <f>[1]!s_stm07_bs($C$6,"W45280150",I6,1,1000000)</f>
        <v>2059</v>
      </c>
      <c r="J26" s="468">
        <f>[1]!s_stm07_bs($C$6,"W45280150",J6,1,1000000)</f>
        <v>2188</v>
      </c>
      <c r="K26" s="468">
        <f>[1]!s_stm07_bs($C$6,"W45280150",K6,1,1000000)</f>
        <v>2275</v>
      </c>
    </row>
    <row r="27" spans="3:11" ht="13.5" x14ac:dyDescent="0.4">
      <c r="C27" s="183" t="s">
        <v>247</v>
      </c>
      <c r="E27" s="468">
        <f>[1]!s_stm07_bs_39($C$6,E6,1,1000000)</f>
        <v>0</v>
      </c>
      <c r="F27" s="468">
        <f>[1]!s_stm07_bs_39($C$6,F6,1,1000000)</f>
        <v>0</v>
      </c>
      <c r="G27" s="468">
        <f>[1]!s_stm07_bs_39($C$6,G6,1,1000000)</f>
        <v>0</v>
      </c>
      <c r="H27" s="468">
        <f>[1]!s_stm07_bs_39($C$6,H6,1,1000000)</f>
        <v>0</v>
      </c>
      <c r="I27" s="468">
        <f>[1]!s_stm07_bs_39($C$6,I6,1,1000000)</f>
        <v>0</v>
      </c>
      <c r="J27" s="468">
        <f>[1]!s_stm07_bs_39($C$6,J6,1,1000000)</f>
        <v>0</v>
      </c>
      <c r="K27" s="468">
        <f>[1]!s_stm07_bs_39($C$6,K6,1,1000000)</f>
        <v>0</v>
      </c>
    </row>
    <row r="28" spans="3:11" ht="13.5" x14ac:dyDescent="0.4">
      <c r="C28" s="183" t="s">
        <v>248</v>
      </c>
      <c r="E28" s="468">
        <f>[1]!s_stm07_bs($C$6,"W41861522",E6,1,1000000)</f>
        <v>7926</v>
      </c>
      <c r="F28" s="468">
        <f>[1]!s_stm07_bs($C$6,"W41861522",F6,1,1000000)</f>
        <v>12501</v>
      </c>
      <c r="G28" s="468">
        <f>[1]!s_stm07_bs($C$6,"W41861522",G6,1,1000000)</f>
        <v>17224</v>
      </c>
      <c r="H28" s="468">
        <f>[1]!s_stm07_bs($C$6,"W41861522",H6,1,1000000)</f>
        <v>16077</v>
      </c>
      <c r="I28" s="468">
        <f>[1]!s_stm07_bs($C$6,"W41861522",I6,1,1000000)</f>
        <v>16684</v>
      </c>
      <c r="J28" s="468">
        <f>[1]!s_stm07_bs($C$6,"W41861522",J6,1,1000000)</f>
        <v>12567</v>
      </c>
      <c r="K28" s="468">
        <f>[1]!s_stm07_bs($C$6,"W41861522",K6,1,1000000)</f>
        <v>15306</v>
      </c>
    </row>
    <row r="29" spans="3:11" ht="13.5" x14ac:dyDescent="0.4">
      <c r="C29" s="183" t="s">
        <v>249</v>
      </c>
      <c r="E29" s="469">
        <f t="shared" ref="E29:J29" si="0">E30-SUM(E10:E28)</f>
        <v>53647</v>
      </c>
      <c r="F29" s="469">
        <f t="shared" si="0"/>
        <v>86054</v>
      </c>
      <c r="G29" s="469">
        <f t="shared" si="0"/>
        <v>113774</v>
      </c>
      <c r="H29" s="469">
        <f t="shared" si="0"/>
        <v>146728</v>
      </c>
      <c r="I29" s="469">
        <f t="shared" si="0"/>
        <v>137085</v>
      </c>
      <c r="J29" s="469">
        <f t="shared" si="0"/>
        <v>148771</v>
      </c>
      <c r="K29" s="469">
        <f>K30-SUM(K10:K28)</f>
        <v>156485</v>
      </c>
    </row>
    <row r="30" spans="3:11" ht="13.9" thickBot="1" x14ac:dyDescent="0.45">
      <c r="C30" s="209" t="s">
        <v>250</v>
      </c>
      <c r="E30" s="470">
        <f>[1]!s_stm07_bs($C$6,"W45407132",E6,1,1000000)</f>
        <v>4611177</v>
      </c>
      <c r="F30" s="470">
        <f>[1]!s_stm07_bs($C$6,"W45407132",F6,1,1000000)</f>
        <v>5273379</v>
      </c>
      <c r="G30" s="470">
        <f>[1]!s_stm07_bs($C$6,"W45407132",G6,1,1000000)</f>
        <v>5960937</v>
      </c>
      <c r="H30" s="470">
        <f>[1]!s_stm07_bs($C$6,"W45407132",H6,1,1000000)</f>
        <v>6268299</v>
      </c>
      <c r="I30" s="470">
        <f>[1]!s_stm07_bs($C$6,"W45407132",I6,1,1000000)</f>
        <v>7155362</v>
      </c>
      <c r="J30" s="470">
        <f>[1]!s_stm07_bs($C$6,"W45407132",J6,1,1000000)</f>
        <v>8403166</v>
      </c>
      <c r="K30" s="470">
        <f>[1]!s_stm07_bs($C$6,"W45407132",K6,1,1000000)</f>
        <v>8733711</v>
      </c>
    </row>
    <row r="31" spans="3:11" x14ac:dyDescent="0.4">
      <c r="F31" s="353"/>
      <c r="G31" s="353"/>
      <c r="H31" s="471"/>
      <c r="I31" s="471"/>
      <c r="J31" s="471"/>
      <c r="K31" s="471"/>
    </row>
    <row r="32" spans="3:11" ht="13.9" thickBot="1" x14ac:dyDescent="0.45">
      <c r="C32" s="212" t="s">
        <v>251</v>
      </c>
      <c r="G32" s="213"/>
      <c r="H32" s="213"/>
      <c r="I32" s="214"/>
      <c r="J32" s="214"/>
      <c r="K32" s="214"/>
    </row>
    <row r="33" spans="3:11" ht="13.5" x14ac:dyDescent="0.4">
      <c r="C33" s="205" t="s">
        <v>252</v>
      </c>
      <c r="E33" s="472">
        <f>[1]!s_stm07_bs($C$6,"W41637162",E6,1,1000000)</f>
        <v>0</v>
      </c>
      <c r="F33" s="472">
        <f>[1]!s_stm07_bs($C$6,"W41637162",F6,1,1000000)</f>
        <v>150</v>
      </c>
      <c r="G33" s="472">
        <f>[1]!s_stm07_bs($C$6,"W41637162",G6,1,1000000)</f>
        <v>5871</v>
      </c>
      <c r="H33" s="472">
        <f>[1]!s_stm07_bs($C$6,"W41637162",H6,1,1000000)</f>
        <v>83669</v>
      </c>
      <c r="I33" s="472">
        <f>[1]!s_stm07_bs($C$6,"W41637162",I6,1,1000000)</f>
        <v>135320</v>
      </c>
      <c r="J33" s="472">
        <f>[1]!s_stm07_bs($C$6,"W41637162",J6,1,1000000)</f>
        <v>443597</v>
      </c>
      <c r="K33" s="472">
        <f>[1]!s_stm07_bs($C$6,"W41637162",K6,1,1000000)</f>
        <v>498614</v>
      </c>
    </row>
    <row r="34" spans="3:11" ht="13.5" x14ac:dyDescent="0.4">
      <c r="C34" s="207" t="s">
        <v>253</v>
      </c>
      <c r="E34" s="468">
        <f>[1]!s_stm07_bs($C$6,"W49756518",E6,1,1000000)</f>
        <v>662707</v>
      </c>
      <c r="F34" s="468">
        <f>[1]!s_stm07_bs($C$6,"W49756518",F6,1,1000000)</f>
        <v>709082</v>
      </c>
      <c r="G34" s="468">
        <f>[1]!s_stm07_bs($C$6,"W49756518",G6,1,1000000)</f>
        <v>756108</v>
      </c>
      <c r="H34" s="468">
        <f>[1]!s_stm07_bs($C$6,"W49756518",H6,1,1000000)</f>
        <v>1022037</v>
      </c>
      <c r="I34" s="468">
        <f>[1]!s_stm07_bs($C$6,"W49756518",I6,1,1000000)</f>
        <v>1214210</v>
      </c>
      <c r="J34" s="468">
        <f>[1]!s_stm07_bs($C$6,"W49756518",J6,1,1000000)</f>
        <v>1253987</v>
      </c>
      <c r="K34" s="468">
        <f>[1]!s_stm07_bs($C$6,"W49756518",K6,1,1000000)</f>
        <v>1290305</v>
      </c>
    </row>
    <row r="35" spans="3:11" ht="13.5" x14ac:dyDescent="0.4">
      <c r="C35" s="207" t="s">
        <v>254</v>
      </c>
      <c r="E35" s="468">
        <f>[1]!s_stm07_bs($C$6,"W45694480",E6,1,1000000)</f>
        <v>164178</v>
      </c>
      <c r="F35" s="468">
        <f>[1]!s_stm07_bs($C$6,"W45694480",F6,1,1000000)</f>
        <v>204197</v>
      </c>
      <c r="G35" s="468">
        <f>[1]!s_stm07_bs($C$6,"W45694480",G6,1,1000000)</f>
        <v>209216</v>
      </c>
      <c r="H35" s="468">
        <f>[1]!s_stm07_bs($C$6,"W45694480",H6,1,1000000)</f>
        <v>212996</v>
      </c>
      <c r="I35" s="468">
        <f>[1]!s_stm07_bs($C$6,"W45694480",I6,1,1000000)</f>
        <v>241844</v>
      </c>
      <c r="J35" s="468">
        <f>[1]!s_stm07_bs($C$6,"W45694480",J6,1,1000000)</f>
        <v>354267</v>
      </c>
      <c r="K35" s="468">
        <f>[1]!s_stm07_bs($C$6,"W45694480",K6,1,1000000)</f>
        <v>403875</v>
      </c>
    </row>
    <row r="36" spans="3:11" ht="13.5" x14ac:dyDescent="0.4">
      <c r="C36" s="207" t="s">
        <v>255</v>
      </c>
      <c r="E36" s="468">
        <f>[1]!s_stm07_bs($C$6,"W49459692",E6,1,1000000)</f>
        <v>12928</v>
      </c>
      <c r="F36" s="468">
        <f>[1]!s_stm07_bs($C$6,"W49459692",F6,1,1000000)</f>
        <v>15410</v>
      </c>
      <c r="G36" s="468">
        <f>[1]!s_stm07_bs($C$6,"W49459692",G6,1,1000000)</f>
        <v>11965</v>
      </c>
      <c r="H36" s="468">
        <f>[1]!s_stm07_bs($C$6,"W49459692",H6,1,1000000)</f>
        <v>18749</v>
      </c>
      <c r="I36" s="468">
        <f>[1]!s_stm07_bs($C$6,"W49459692",I6,1,1000000)</f>
        <v>29297</v>
      </c>
      <c r="J36" s="468">
        <f>[1]!s_stm07_bs($C$6,"W49459692",J6,1,1000000)</f>
        <v>49700</v>
      </c>
      <c r="K36" s="468">
        <f>[1]!s_stm07_bs($C$6,"W49459692",K6,1,1000000)</f>
        <v>56812</v>
      </c>
    </row>
    <row r="37" spans="3:11" ht="13.5" x14ac:dyDescent="0.4">
      <c r="C37" s="207" t="s">
        <v>256</v>
      </c>
      <c r="E37" s="468">
        <f>[1]!s_stm07_bs($C$6,"W43138898",E6,1,1000000)</f>
        <v>5993</v>
      </c>
      <c r="F37" s="468">
        <f>[1]!s_stm07_bs($C$6,"W43138898",F6,1,1000000)</f>
        <v>7650</v>
      </c>
      <c r="G37" s="468">
        <f>[1]!s_stm07_bs($C$6,"W43138898",G6,1,1000000)</f>
        <v>16675</v>
      </c>
      <c r="H37" s="468">
        <f>[1]!s_stm07_bs($C$6,"W43138898",H6,1,1000000)</f>
        <v>10074</v>
      </c>
      <c r="I37" s="468">
        <f>[1]!s_stm07_bs($C$6,"W43138898",I6,1,1000000)</f>
        <v>33164</v>
      </c>
      <c r="J37" s="468">
        <f>[1]!s_stm07_bs($C$6,"W43138898",J6,1,1000000)</f>
        <v>34599</v>
      </c>
      <c r="K37" s="468">
        <f>[1]!s_stm07_bs($C$6,"W43138898",K6,1,1000000)</f>
        <v>18950</v>
      </c>
    </row>
    <row r="38" spans="3:11" ht="13.5" x14ac:dyDescent="0.4">
      <c r="C38" s="207" t="s">
        <v>257</v>
      </c>
      <c r="E38" s="468">
        <f>[1]!s_stm07_bs($C$6,"W47648264",E6,1,1000000)</f>
        <v>27614</v>
      </c>
      <c r="F38" s="468">
        <f>[1]!s_stm07_bs($C$6,"W47648264",F6,1,1000000)</f>
        <v>29560</v>
      </c>
      <c r="G38" s="468">
        <f>[1]!s_stm07_bs($C$6,"W47648264",G6,1,1000000)</f>
        <v>155368</v>
      </c>
      <c r="H38" s="468">
        <f>[1]!s_stm07_bs($C$6,"W47648264",H6,1,1000000)</f>
        <v>89573</v>
      </c>
      <c r="I38" s="468">
        <f>[1]!s_stm07_bs($C$6,"W47648264",I6,1,1000000)</f>
        <v>49865</v>
      </c>
      <c r="J38" s="468">
        <f>[1]!s_stm07_bs($C$6,"W47648264",J6,1,1000000)</f>
        <v>179209</v>
      </c>
      <c r="K38" s="468">
        <f>[1]!s_stm07_bs($C$6,"W47648264",K6,1,1000000)</f>
        <v>74293</v>
      </c>
    </row>
    <row r="39" spans="3:11" ht="13.5" x14ac:dyDescent="0.4">
      <c r="C39" s="216" t="s">
        <v>258</v>
      </c>
      <c r="E39" s="473"/>
      <c r="F39" s="474"/>
      <c r="G39" s="474">
        <v>24619</v>
      </c>
      <c r="H39" s="474">
        <v>38601</v>
      </c>
      <c r="I39" s="474">
        <v>89265</v>
      </c>
      <c r="J39" s="474">
        <v>318950</v>
      </c>
      <c r="K39" s="474">
        <v>375805</v>
      </c>
    </row>
    <row r="40" spans="3:11" ht="13.5" x14ac:dyDescent="0.4">
      <c r="C40" s="207" t="s">
        <v>259</v>
      </c>
      <c r="E40" s="468">
        <f>[1]!s_stm07_bs($C$6,"W47888059",E6,1,1000000)</f>
        <v>3283232</v>
      </c>
      <c r="F40" s="468">
        <f>[1]!s_stm07_bs($C$6,"W47888059",F6,1,1000000)</f>
        <v>3728412</v>
      </c>
      <c r="G40" s="468">
        <f>[1]!s_stm07_bs($C$6,"W47888059",G6,1,1000000)</f>
        <v>4157833</v>
      </c>
      <c r="H40" s="468">
        <f>[1]!s_stm07_bs($C$6,"W47888059",H6,1,1000000)</f>
        <v>4029668</v>
      </c>
      <c r="I40" s="468">
        <f>[1]!s_stm07_bs($C$6,"W47888059",I6,1,1000000)</f>
        <v>4484814</v>
      </c>
      <c r="J40" s="468">
        <f>[1]!s_stm07_bs($C$6,"W47888059",J6,1,1000000)</f>
        <v>4728589</v>
      </c>
      <c r="K40" s="468">
        <f>[1]!s_stm07_bs($C$6,"W47888059",K6,1,1000000)</f>
        <v>4937673</v>
      </c>
    </row>
    <row r="41" spans="3:11" ht="13.5" x14ac:dyDescent="0.4">
      <c r="C41" s="207" t="s">
        <v>260</v>
      </c>
      <c r="E41" s="468">
        <f>[1]!s_stm07_bs($C$6,"W40315239",E6,1,1000000)</f>
        <v>6920</v>
      </c>
      <c r="F41" s="468">
        <f>[1]!s_stm07_bs($C$6,"W40315239",F6,1,1000000)</f>
        <v>6899</v>
      </c>
      <c r="G41" s="468">
        <f>[1]!s_stm07_bs($C$6,"W40315239",G6,1,1000000)</f>
        <v>5673</v>
      </c>
      <c r="H41" s="468">
        <f>[1]!s_stm07_bs($C$6,"W40315239",H6,1,1000000)</f>
        <v>6163</v>
      </c>
      <c r="I41" s="468">
        <f>[1]!s_stm07_bs($C$6,"W40315239",I6,1,1000000)</f>
        <v>7271</v>
      </c>
      <c r="J41" s="468">
        <f>[1]!s_stm07_bs($C$6,"W40315239",J6,1,1000000)</f>
        <v>7814</v>
      </c>
      <c r="K41" s="468">
        <f>[1]!s_stm07_bs($C$6,"W40315239",K6,1,1000000)</f>
        <v>4281</v>
      </c>
    </row>
    <row r="42" spans="3:11" ht="13.5" x14ac:dyDescent="0.4">
      <c r="C42" s="207" t="s">
        <v>261</v>
      </c>
      <c r="E42" s="468">
        <f>[1]!s_stm07_bs($C$6,"W41970448",E6,1,1000000)</f>
        <v>7366</v>
      </c>
      <c r="F42" s="468">
        <f>[1]!s_stm07_bs($C$6,"W41970448",F6,1,1000000)</f>
        <v>10728</v>
      </c>
      <c r="G42" s="468">
        <f>[1]!s_stm07_bs($C$6,"W41970448",G6,1,1000000)</f>
        <v>9711</v>
      </c>
      <c r="H42" s="468">
        <f>[1]!s_stm07_bs($C$6,"W41970448",H6,1,1000000)</f>
        <v>11190</v>
      </c>
      <c r="I42" s="468">
        <f>[1]!s_stm07_bs($C$6,"W41970448",I6,1,1000000)</f>
        <v>12784</v>
      </c>
      <c r="J42" s="468">
        <f>[1]!s_stm07_bs($C$6,"W41970448",J6,1,1000000)</f>
        <v>9693</v>
      </c>
      <c r="K42" s="468">
        <f>[1]!s_stm07_bs($C$6,"W41970448",K6,1,1000000)</f>
        <v>16553</v>
      </c>
    </row>
    <row r="43" spans="3:11" ht="13.5" x14ac:dyDescent="0.4">
      <c r="C43" s="207" t="s">
        <v>262</v>
      </c>
      <c r="E43" s="468">
        <f>[1]!s_stm07_bs($C$6,"W43255562",E6,1,1000000)</f>
        <v>39053</v>
      </c>
      <c r="F43" s="468">
        <f>[1]!s_stm07_bs($C$6,"W43255562",F6,1,1000000)</f>
        <v>50757</v>
      </c>
      <c r="G43" s="468">
        <f>[1]!s_stm07_bs($C$6,"W43255562",G6,1,1000000)</f>
        <v>59812</v>
      </c>
      <c r="H43" s="468">
        <f>[1]!s_stm07_bs($C$6,"W43255562",H6,1,1000000)</f>
        <v>70892</v>
      </c>
      <c r="I43" s="468">
        <f>[1]!s_stm07_bs($C$6,"W43255562",I6,1,1000000)</f>
        <v>74409</v>
      </c>
      <c r="J43" s="468">
        <f>[1]!s_stm07_bs($C$6,"W43255562",J6,1,1000000)</f>
        <v>79635</v>
      </c>
      <c r="K43" s="468">
        <f>[1]!s_stm07_bs($C$6,"W43255562",K6,1,1000000)</f>
        <v>86590</v>
      </c>
    </row>
    <row r="44" spans="3:11" ht="13.5" x14ac:dyDescent="0.4">
      <c r="C44" s="216" t="s">
        <v>263</v>
      </c>
      <c r="E44" s="468">
        <v>710</v>
      </c>
      <c r="F44" s="468">
        <v>481</v>
      </c>
      <c r="G44" s="468">
        <v>467</v>
      </c>
      <c r="H44" s="468">
        <v>279</v>
      </c>
      <c r="I44" s="468">
        <v>463</v>
      </c>
      <c r="J44" s="468">
        <v>448</v>
      </c>
      <c r="K44" s="468">
        <v>369</v>
      </c>
    </row>
    <row r="45" spans="3:11" ht="13.5" x14ac:dyDescent="0.4">
      <c r="C45" s="207" t="s">
        <v>264</v>
      </c>
      <c r="E45" s="468">
        <f>[1]!s_stm07_bs($C$6,"W41002911",E6,1,1000000)</f>
        <v>81803</v>
      </c>
      <c r="F45" s="468">
        <f>[1]!s_stm07_bs($C$6,"W41002911",F6,1,1000000)</f>
        <v>79572</v>
      </c>
      <c r="G45" s="468">
        <f>[1]!s_stm07_bs($C$6,"W41002911",G6,1,1000000)</f>
        <v>82238</v>
      </c>
      <c r="H45" s="468">
        <f>[1]!s_stm07_bs($C$6,"W41002911",H6,1,1000000)</f>
        <v>129547</v>
      </c>
      <c r="I45" s="468">
        <f>[1]!s_stm07_bs($C$6,"W41002911",I6,1,1000000)</f>
        <v>170106</v>
      </c>
      <c r="J45" s="468">
        <f>[1]!s_stm07_bs($C$6,"W41002911",J6,1,1000000)</f>
        <v>229515</v>
      </c>
      <c r="K45" s="468">
        <f>[1]!s_stm07_bs($C$6,"W41002911",K6,1,1000000)</f>
        <v>228024</v>
      </c>
    </row>
    <row r="46" spans="3:11" ht="13.5" x14ac:dyDescent="0.4">
      <c r="C46" s="183" t="s">
        <v>265</v>
      </c>
      <c r="E46" s="468">
        <f>[1]!s_stm07_bs($C$6,"W47653457",E6,1,1000000)</f>
        <v>21</v>
      </c>
      <c r="F46" s="468">
        <f>[1]!s_stm07_bs($C$6,"W47653457",F6,1,1000000)</f>
        <v>5</v>
      </c>
      <c r="G46" s="468">
        <f>[1]!s_stm07_bs($C$6,"W47653457",G6,1,1000000)</f>
        <v>18</v>
      </c>
      <c r="H46" s="468">
        <f>[1]!s_stm07_bs($C$6,"W47653457",H6,1,1000000)</f>
        <v>32</v>
      </c>
      <c r="I46" s="468">
        <f>[1]!s_stm07_bs($C$6,"W47653457",I6,1,1000000)</f>
        <v>119</v>
      </c>
      <c r="J46" s="468">
        <f>[1]!s_stm07_bs($C$6,"W47653457",J6,1,1000000)</f>
        <v>145</v>
      </c>
      <c r="K46" s="468">
        <f>[1]!s_stm07_bs($C$6,"W47653457",K6,1,1000000)</f>
        <v>156</v>
      </c>
    </row>
    <row r="47" spans="3:11" ht="13.5" x14ac:dyDescent="0.4">
      <c r="C47" s="183" t="s">
        <v>476</v>
      </c>
      <c r="E47" s="469">
        <f t="shared" ref="E47:K47" si="1">E48-SUM(E33:E46)</f>
        <v>45864</v>
      </c>
      <c r="F47" s="469">
        <f t="shared" si="1"/>
        <v>49029</v>
      </c>
      <c r="G47" s="469">
        <f t="shared" si="1"/>
        <v>43879</v>
      </c>
      <c r="H47" s="469">
        <f t="shared" si="1"/>
        <v>71224</v>
      </c>
      <c r="I47" s="469">
        <f t="shared" si="1"/>
        <v>74339</v>
      </c>
      <c r="J47" s="469">
        <f t="shared" si="1"/>
        <v>80611</v>
      </c>
      <c r="K47" s="469">
        <f t="shared" si="1"/>
        <v>89253</v>
      </c>
    </row>
    <row r="48" spans="3:11" ht="13.9" thickBot="1" x14ac:dyDescent="0.45">
      <c r="C48" s="209" t="s">
        <v>267</v>
      </c>
      <c r="E48" s="470">
        <f>[1]!s_stm07_bs($C$6,"W47401840",E6,1,1000000)</f>
        <v>4338389</v>
      </c>
      <c r="F48" s="470">
        <f>[1]!s_stm07_bs($C$6,"W47401840",F6,1,1000000)</f>
        <v>4891932</v>
      </c>
      <c r="G48" s="470">
        <f>[1]!s_stm07_bs($C$6,"W47401840",G6,1,1000000)</f>
        <v>5539453</v>
      </c>
      <c r="H48" s="470">
        <f>[1]!s_stm07_bs($C$6,"W47401840",H6,1,1000000)</f>
        <v>5794694</v>
      </c>
      <c r="I48" s="470">
        <f>[1]!s_stm07_bs($C$6,"W47401840",I6,1,1000000)</f>
        <v>6617270</v>
      </c>
      <c r="J48" s="470">
        <f>[1]!s_stm07_bs($C$6,"W47401840",J6,1,1000000)</f>
        <v>7770759</v>
      </c>
      <c r="K48" s="470">
        <f>[1]!s_stm07_bs($C$6,"W47401840",K6,1,1000000)</f>
        <v>8081553</v>
      </c>
    </row>
    <row r="50" spans="3:11" ht="13.9" thickBot="1" x14ac:dyDescent="0.45">
      <c r="C50" s="212" t="s">
        <v>268</v>
      </c>
      <c r="E50" s="332"/>
      <c r="F50" s="332"/>
      <c r="G50" s="332"/>
      <c r="H50" s="332"/>
      <c r="I50" s="332"/>
      <c r="J50" s="332"/>
      <c r="K50" s="332"/>
    </row>
    <row r="51" spans="3:11" ht="13.5" x14ac:dyDescent="0.4">
      <c r="C51" s="218" t="s">
        <v>269</v>
      </c>
      <c r="E51" s="325">
        <f>[1]!s_stm07_bs($C$6,"W43225999",E6,1,1000000)</f>
        <v>61886</v>
      </c>
      <c r="F51" s="325">
        <f>[1]!s_stm07_bs($C$6,"W43225999",F6,1,1000000)</f>
        <v>74263</v>
      </c>
      <c r="G51" s="325">
        <f>[1]!s_stm07_bs($C$6,"W43225999",G6,1,1000000)</f>
        <v>74263</v>
      </c>
      <c r="H51" s="325">
        <f>[1]!s_stm07_bs($C$6,"W43225999",H6,1,1000000)</f>
        <v>74263</v>
      </c>
      <c r="I51" s="325">
        <f>[1]!s_stm07_bs($C$6,"W43225999",I6,1,1000000)</f>
        <v>74263</v>
      </c>
      <c r="J51" s="325">
        <f>[1]!s_stm07_bs($C$6,"W43225999",J6,1,1000000)</f>
        <v>74263</v>
      </c>
      <c r="K51" s="325">
        <f>[1]!s_stm07_bs($C$6,"W43225999",K6,1,1000000)</f>
        <v>74263</v>
      </c>
    </row>
    <row r="52" spans="3:11" ht="13.5" x14ac:dyDescent="0.4">
      <c r="C52" s="219" t="s">
        <v>477</v>
      </c>
      <c r="E52" s="335">
        <v>0</v>
      </c>
      <c r="F52" s="335">
        <v>0</v>
      </c>
      <c r="G52" s="335">
        <v>0</v>
      </c>
      <c r="H52" s="335">
        <v>0</v>
      </c>
      <c r="I52" s="335">
        <v>14924</v>
      </c>
      <c r="J52" s="335">
        <v>59876</v>
      </c>
      <c r="K52" s="335">
        <v>59876</v>
      </c>
    </row>
    <row r="53" spans="3:11" ht="13.5" x14ac:dyDescent="0.4">
      <c r="C53" s="183" t="s">
        <v>271</v>
      </c>
      <c r="E53" s="326">
        <f>[1]!s_stm07_bs($C$6,"W42156082",E6,1,1000000)</f>
        <v>68818</v>
      </c>
      <c r="F53" s="326">
        <f>[1]!s_stm07_bs($C$6,"W42156082",F6,1,1000000)</f>
        <v>112407</v>
      </c>
      <c r="G53" s="326">
        <f>[1]!s_stm07_bs($C$6,"W42156082",G6,1,1000000)</f>
        <v>108481</v>
      </c>
      <c r="H53" s="326">
        <f>[1]!s_stm07_bs($C$6,"W42156082",H6,1,1000000)</f>
        <v>113496</v>
      </c>
      <c r="I53" s="326">
        <f>[1]!s_stm07_bs($C$6,"W42156082",I6,1,1000000)</f>
        <v>113392</v>
      </c>
      <c r="J53" s="326">
        <f>[1]!s_stm07_bs($C$6,"W42156082",J6,1,1000000)</f>
        <v>113392</v>
      </c>
      <c r="K53" s="326">
        <f>[1]!s_stm07_bs($C$6,"W42156082",K6,1,1000000)</f>
        <v>113392</v>
      </c>
    </row>
    <row r="54" spans="3:11" ht="13.5" x14ac:dyDescent="0.4">
      <c r="C54" s="183" t="s">
        <v>478</v>
      </c>
      <c r="E54" s="326">
        <f>[1]!s_stm07_bs($C$6,"163",E6,1,1000000)</f>
        <v>0</v>
      </c>
      <c r="F54" s="326">
        <f>[1]!s_stm07_bs($C$6,"163",F6,1,1000000)</f>
        <v>0</v>
      </c>
      <c r="G54" s="326">
        <f>[1]!s_stm07_bs($C$6,"163",G6,1,1000000)</f>
        <v>0</v>
      </c>
      <c r="H54" s="326">
        <f>[1]!s_stm07_bs($C$6,"163",H6,1,1000000)</f>
        <v>-2842</v>
      </c>
      <c r="I54" s="326">
        <f>[1]!s_stm07_bs($C$6,"163",I6,1,1000000)</f>
        <v>-307</v>
      </c>
      <c r="J54" s="326">
        <f>[1]!s_stm07_bs($C$6,"163",J6,1,1000000)</f>
        <v>2767</v>
      </c>
      <c r="K54" s="326">
        <f>[1]!s_stm07_bs($C$6,"163",K6,1,1000000)</f>
        <v>3091</v>
      </c>
    </row>
    <row r="55" spans="3:11" ht="13.5" x14ac:dyDescent="0.4">
      <c r="C55" s="183" t="s">
        <v>273</v>
      </c>
      <c r="E55" s="326">
        <f>[1]!s_stm07_bs($C$6,"W48226390",E6,1,1000000)</f>
        <v>67011</v>
      </c>
      <c r="F55" s="326">
        <f>[1]!s_stm07_bs($C$6,"W48226390",F6,1,1000000)</f>
        <v>82947</v>
      </c>
      <c r="G55" s="326">
        <f>[1]!s_stm07_bs($C$6,"W48226390",G6,1,1000000)</f>
        <v>109509</v>
      </c>
      <c r="H55" s="326">
        <f>[1]!s_stm07_bs($C$6,"W48226390",H6,1,1000000)</f>
        <v>142764</v>
      </c>
      <c r="I55" s="326">
        <f>[1]!s_stm07_bs($C$6,"W48226390",I6,1,1000000)</f>
        <v>183862</v>
      </c>
      <c r="J55" s="326">
        <f>[1]!s_stm07_bs($C$6,"W48226390",J6,1,1000000)</f>
        <v>190414</v>
      </c>
      <c r="K55" s="326">
        <f>[1]!s_stm07_bs($C$6,"W48226390",K6,1,1000000)</f>
        <v>190500</v>
      </c>
    </row>
    <row r="56" spans="3:11" ht="13.5" x14ac:dyDescent="0.4">
      <c r="C56" s="183" t="s">
        <v>274</v>
      </c>
      <c r="E56" s="326">
        <f>[1]!s_stm07_bs($C$6,"W44631682",E6,1,1000000)</f>
        <v>29094</v>
      </c>
      <c r="F56" s="326">
        <f>[1]!s_stm07_bs($C$6,"W44631682",F6,1,1000000)</f>
        <v>34309</v>
      </c>
      <c r="G56" s="326">
        <f>[1]!s_stm07_bs($C$6,"W44631682",G6,1,1000000)</f>
        <v>62757</v>
      </c>
      <c r="H56" s="326">
        <f>[1]!s_stm07_bs($C$6,"W44631682",H6,1,1000000)</f>
        <v>71549</v>
      </c>
      <c r="I56" s="326">
        <f>[1]!s_stm07_bs($C$6,"W44631682",I6,1,1000000)</f>
        <v>75653</v>
      </c>
      <c r="J56" s="326">
        <f>[1]!s_stm07_bs($C$6,"W44631682",J6,1,1000000)</f>
        <v>87732</v>
      </c>
      <c r="K56" s="326">
        <f>[1]!s_stm07_bs($C$6,"W44631682",K6,1,1000000)</f>
        <v>87770</v>
      </c>
    </row>
    <row r="57" spans="3:11" ht="13.5" x14ac:dyDescent="0.4">
      <c r="C57" s="183" t="s">
        <v>275</v>
      </c>
      <c r="E57" s="326">
        <f>[1]!s_stm07_bs($C$6,"W43705838",E6,1,1000000)</f>
        <v>46834</v>
      </c>
      <c r="F57" s="326">
        <f>[1]!s_stm07_bs($C$6,"W43705838",F6,1,1000000)</f>
        <v>77868</v>
      </c>
      <c r="G57" s="326">
        <f>[1]!s_stm07_bs($C$6,"W43705838",G6,1,1000000)</f>
        <v>67330</v>
      </c>
      <c r="H57" s="326">
        <f>[1]!s_stm07_bs($C$6,"W43705838",H6,1,1000000)</f>
        <v>71825</v>
      </c>
      <c r="I57" s="326">
        <f>[1]!s_stm07_bs($C$6,"W43705838",I6,1,1000000)</f>
        <v>73098</v>
      </c>
      <c r="J57" s="326">
        <f>[1]!s_stm07_bs($C$6,"W43705838",J6,1,1000000)</f>
        <v>100698</v>
      </c>
      <c r="K57" s="326">
        <f>[1]!s_stm07_bs($C$6,"W43705838",K6,1,1000000)</f>
        <v>119897</v>
      </c>
    </row>
    <row r="58" spans="3:11" ht="13.5" x14ac:dyDescent="0.4">
      <c r="C58" s="183" t="s">
        <v>276</v>
      </c>
      <c r="E58" s="327">
        <f>[1]!s_stm07_bs($C$6,"W43561211",E6,1,1000000)</f>
        <v>-1841</v>
      </c>
      <c r="F58" s="327">
        <f>[1]!s_stm07_bs($C$6,"W43561211",F6,1,1000000)</f>
        <v>-1876</v>
      </c>
      <c r="G58" s="327">
        <f>[1]!s_stm07_bs($C$6,"W43561211",G6,1,1000000)</f>
        <v>-2779</v>
      </c>
      <c r="H58" s="327">
        <f>[1]!s_stm07_bs($C$6,"W43561211",H6,1,1000000)</f>
        <v>0</v>
      </c>
      <c r="I58" s="327">
        <f>[1]!s_stm07_bs($C$6,"W43561211",I6,1,1000000)</f>
        <v>0</v>
      </c>
      <c r="J58" s="327">
        <f>[1]!s_stm07_bs($C$6,"W43561211",J6,1,1000000)</f>
        <v>0</v>
      </c>
      <c r="K58" s="327">
        <f>[1]!s_stm07_bs($C$6,"W43561211",K6,1,1000000)</f>
        <v>0</v>
      </c>
    </row>
    <row r="59" spans="3:11" ht="13.5" x14ac:dyDescent="0.4">
      <c r="C59" s="222" t="s">
        <v>277</v>
      </c>
      <c r="E59" s="475">
        <f>[1]!s_stm07_bs($C$6,"W43740284",E6,1,1000000)</f>
        <v>271802</v>
      </c>
      <c r="F59" s="475">
        <f>[1]!s_stm07_bs($C$6,"W43740284",F6,1,1000000)</f>
        <v>379918</v>
      </c>
      <c r="G59" s="475">
        <f>[1]!s_stm07_bs($C$6,"W43740284",G6,1,1000000)</f>
        <v>419561</v>
      </c>
      <c r="H59" s="475">
        <f>[1]!s_stm07_bs($C$6,"W43740284",H6,1,1000000)</f>
        <v>471055</v>
      </c>
      <c r="I59" s="475">
        <f>[1]!s_stm07_bs($C$6,"W43740284",I6,1,1000000)</f>
        <v>534885</v>
      </c>
      <c r="J59" s="475">
        <f>[1]!s_stm07_bs($C$6,"W43740284",J6,1,1000000)</f>
        <v>629142</v>
      </c>
      <c r="K59" s="475">
        <f>[1]!s_stm07_bs($C$6,"W43740284",K6,1,1000000)</f>
        <v>648789</v>
      </c>
    </row>
    <row r="60" spans="3:11" ht="13.5" x14ac:dyDescent="0.4">
      <c r="C60" s="224" t="s">
        <v>278</v>
      </c>
      <c r="E60" s="345">
        <f>[1]!s_stm07_bs($C$6,"W44301909",E6,1,1000000)</f>
        <v>986</v>
      </c>
      <c r="F60" s="345">
        <f>[1]!s_stm07_bs($C$6,"W44301909",F6,1,1000000)</f>
        <v>1529</v>
      </c>
      <c r="G60" s="345">
        <f>[1]!s_stm07_bs($C$6,"W44301909",G6,1,1000000)</f>
        <v>1923</v>
      </c>
      <c r="H60" s="345">
        <f>[1]!s_stm07_bs($C$6,"W44301909",H6,1,1000000)</f>
        <v>2550</v>
      </c>
      <c r="I60" s="345">
        <f>[1]!s_stm07_bs($C$6,"W44301909",I6,1,1000000)</f>
        <v>3207</v>
      </c>
      <c r="J60" s="345">
        <f>[1]!s_stm07_bs($C$6,"W44301909",J6,1,1000000)</f>
        <v>3265</v>
      </c>
      <c r="K60" s="345">
        <f>[1]!s_stm07_bs($C$6,"W44301909",K6,1,1000000)</f>
        <v>3369</v>
      </c>
    </row>
    <row r="61" spans="3:11" ht="13.5" x14ac:dyDescent="0.4">
      <c r="C61" s="226" t="s">
        <v>279</v>
      </c>
      <c r="E61" s="476">
        <f t="shared" ref="E61:I61" si="2">E59+E60</f>
        <v>272788</v>
      </c>
      <c r="F61" s="476">
        <f t="shared" si="2"/>
        <v>381447</v>
      </c>
      <c r="G61" s="476">
        <f t="shared" si="2"/>
        <v>421484</v>
      </c>
      <c r="H61" s="476">
        <f t="shared" si="2"/>
        <v>473605</v>
      </c>
      <c r="I61" s="476">
        <f t="shared" si="2"/>
        <v>538092</v>
      </c>
      <c r="J61" s="476">
        <f>J59+J60</f>
        <v>632407</v>
      </c>
      <c r="K61" s="476">
        <f>K59+K60</f>
        <v>652158</v>
      </c>
    </row>
    <row r="62" spans="3:11" ht="13.9" thickBot="1" x14ac:dyDescent="0.45">
      <c r="C62" s="228" t="s">
        <v>280</v>
      </c>
      <c r="E62" s="477">
        <f t="shared" ref="E62:J62" si="3">E61+E48</f>
        <v>4611177</v>
      </c>
      <c r="F62" s="477">
        <f t="shared" si="3"/>
        <v>5273379</v>
      </c>
      <c r="G62" s="477">
        <f t="shared" si="3"/>
        <v>5960937</v>
      </c>
      <c r="H62" s="477">
        <f t="shared" si="3"/>
        <v>6268299</v>
      </c>
      <c r="I62" s="477">
        <f t="shared" si="3"/>
        <v>7155362</v>
      </c>
      <c r="J62" s="477">
        <f t="shared" si="3"/>
        <v>8403166</v>
      </c>
      <c r="K62" s="477">
        <f>K61+K48</f>
        <v>8733711</v>
      </c>
    </row>
    <row r="63" spans="3:11" s="231" customFormat="1" ht="13.5" x14ac:dyDescent="0.4">
      <c r="C63" s="230" t="s">
        <v>281</v>
      </c>
      <c r="E63" s="349">
        <f t="shared" ref="E63:K63" si="4">E30-E62</f>
        <v>0</v>
      </c>
      <c r="F63" s="349">
        <f t="shared" si="4"/>
        <v>0</v>
      </c>
      <c r="G63" s="349">
        <f t="shared" si="4"/>
        <v>0</v>
      </c>
      <c r="H63" s="349">
        <f t="shared" si="4"/>
        <v>0</v>
      </c>
      <c r="I63" s="349">
        <f t="shared" si="4"/>
        <v>0</v>
      </c>
      <c r="J63" s="349">
        <f t="shared" si="4"/>
        <v>0</v>
      </c>
      <c r="K63" s="349">
        <f t="shared" si="4"/>
        <v>0</v>
      </c>
    </row>
    <row r="66" spans="2:11" ht="13.9" thickBot="1" x14ac:dyDescent="0.45">
      <c r="B66" s="233" t="s">
        <v>282</v>
      </c>
      <c r="E66" s="241">
        <f>[1]!s_stm07_is($C$6,"W16498900",E6,1,1000000)-E67</f>
        <v>0</v>
      </c>
      <c r="F66" s="241">
        <f>[1]!s_stm07_is($C$6,"W16498900",F6,1,1000000)-F67</f>
        <v>0</v>
      </c>
      <c r="G66" s="241">
        <f>[1]!s_stm07_is($C$6,"W16498900",G6,1,1000000)-G67</f>
        <v>0</v>
      </c>
      <c r="H66" s="241">
        <f>[1]!s_stm07_is($C$6,"W16498900",H6,1,1000000)-H67</f>
        <v>0</v>
      </c>
      <c r="I66" s="241">
        <f>[1]!s_stm07_is($C$6,"W16498900",I6,1,1000000)-I67</f>
        <v>0</v>
      </c>
      <c r="J66" s="241">
        <f>[1]!s_stm07_is($C$6,"W16498900",J6,1,1000000)-J67</f>
        <v>0</v>
      </c>
      <c r="K66" s="241">
        <f>[1]!s_stm07_is($C$6,"W16498900",K6,1,1000000)-K67</f>
        <v>0</v>
      </c>
    </row>
    <row r="67" spans="2:11" ht="13.5" x14ac:dyDescent="0.4">
      <c r="C67" s="234" t="s">
        <v>283</v>
      </c>
      <c r="E67" s="478">
        <f t="shared" ref="E67:J67" si="5">E68+E71</f>
        <v>126956</v>
      </c>
      <c r="F67" s="478">
        <f t="shared" si="5"/>
        <v>147337</v>
      </c>
      <c r="G67" s="478">
        <f t="shared" si="5"/>
        <v>164435</v>
      </c>
      <c r="H67" s="478">
        <f t="shared" si="5"/>
        <v>177401</v>
      </c>
      <c r="I67" s="478">
        <f t="shared" si="5"/>
        <v>193828</v>
      </c>
      <c r="J67" s="478">
        <f t="shared" si="5"/>
        <v>193129</v>
      </c>
      <c r="K67" s="478">
        <f>K68+K71</f>
        <v>54885</v>
      </c>
    </row>
    <row r="68" spans="2:11" ht="13.5" x14ac:dyDescent="0.4">
      <c r="C68" s="183" t="s">
        <v>284</v>
      </c>
      <c r="E68" s="213">
        <f t="shared" ref="E68:J68" si="6">E69+E70</f>
        <v>102601</v>
      </c>
      <c r="F68" s="213">
        <f t="shared" si="6"/>
        <v>120126</v>
      </c>
      <c r="G68" s="213">
        <f t="shared" si="6"/>
        <v>130658</v>
      </c>
      <c r="H68" s="213">
        <f t="shared" si="6"/>
        <v>134776</v>
      </c>
      <c r="I68" s="213">
        <f t="shared" si="6"/>
        <v>144172</v>
      </c>
      <c r="J68" s="213">
        <f t="shared" si="6"/>
        <v>134871</v>
      </c>
      <c r="K68" s="213">
        <f>K69+K70</f>
        <v>31217</v>
      </c>
    </row>
    <row r="69" spans="2:11" ht="13.5" x14ac:dyDescent="0.4">
      <c r="C69" s="183" t="s">
        <v>285</v>
      </c>
      <c r="E69" s="337">
        <f>[1]!s_stm07_is($C$6,"W66665549",E6,1,1000000)</f>
        <v>190872</v>
      </c>
      <c r="F69" s="337">
        <f>[1]!s_stm07_is($C$6,"W66665549",F6,1,1000000)</f>
        <v>240596</v>
      </c>
      <c r="G69" s="337">
        <f>[1]!s_stm07_is($C$6,"W66665549",G6,1,1000000)</f>
        <v>259292</v>
      </c>
      <c r="H69" s="337">
        <f>[1]!s_stm07_is($C$6,"W66665549",H6,1,1000000)</f>
        <v>288509</v>
      </c>
      <c r="I69" s="337">
        <f>[1]!s_stm07_is($C$6,"W66665549",I6,1,1000000)</f>
        <v>305126</v>
      </c>
      <c r="J69" s="337">
        <f>[1]!s_stm07_is($C$6,"W66665549",J6,1,1000000)</f>
        <v>289844</v>
      </c>
      <c r="K69" s="337">
        <f>[1]!s_stm07_is($C$6,"W66665549",K6,1,1000000)</f>
        <v>75988</v>
      </c>
    </row>
    <row r="70" spans="2:11" s="236" customFormat="1" ht="13.5" x14ac:dyDescent="0.4">
      <c r="C70" s="236" t="s">
        <v>286</v>
      </c>
      <c r="E70" s="479">
        <f>0-[1]!s_stm07_is($C$6,"W62987874",E6,1,1000000)</f>
        <v>-88271</v>
      </c>
      <c r="F70" s="479">
        <f>0-[1]!s_stm07_is($C$6,"W62987874",F6,1,1000000)</f>
        <v>-120470</v>
      </c>
      <c r="G70" s="479">
        <f>0-[1]!s_stm07_is($C$6,"W62987874",G6,1,1000000)</f>
        <v>-128634</v>
      </c>
      <c r="H70" s="479">
        <f>0-[1]!s_stm07_is($C$6,"W62987874",H6,1,1000000)</f>
        <v>-153733</v>
      </c>
      <c r="I70" s="479">
        <f>0-[1]!s_stm07_is($C$6,"W62987874",I6,1,1000000)</f>
        <v>-160954</v>
      </c>
      <c r="J70" s="479">
        <f>0-[1]!s_stm07_is($C$6,"W62987874",J6,1,1000000)</f>
        <v>-154973</v>
      </c>
      <c r="K70" s="479">
        <f>0-[1]!s_stm07_is($C$6,"W62987874",K6,1,1000000)</f>
        <v>-44771</v>
      </c>
    </row>
    <row r="71" spans="2:11" ht="13.5" x14ac:dyDescent="0.4">
      <c r="C71" s="237" t="s">
        <v>287</v>
      </c>
      <c r="E71" s="480">
        <f t="shared" ref="E71:J71" si="7">E72+E75</f>
        <v>24355</v>
      </c>
      <c r="F71" s="480">
        <f t="shared" si="7"/>
        <v>27211</v>
      </c>
      <c r="G71" s="480">
        <f t="shared" si="7"/>
        <v>33777</v>
      </c>
      <c r="H71" s="480">
        <f t="shared" si="7"/>
        <v>42625</v>
      </c>
      <c r="I71" s="480">
        <f t="shared" si="7"/>
        <v>49656</v>
      </c>
      <c r="J71" s="480">
        <f t="shared" si="7"/>
        <v>58258</v>
      </c>
      <c r="K71" s="480">
        <f>K72+K75</f>
        <v>23668</v>
      </c>
    </row>
    <row r="72" spans="2:11" ht="13.5" x14ac:dyDescent="0.4">
      <c r="C72" s="183" t="s">
        <v>288</v>
      </c>
      <c r="E72" s="213">
        <f t="shared" ref="E72:J72" si="8">E73+E74</f>
        <v>19549</v>
      </c>
      <c r="F72" s="213">
        <f t="shared" si="8"/>
        <v>20882</v>
      </c>
      <c r="G72" s="213">
        <f t="shared" si="8"/>
        <v>25968</v>
      </c>
      <c r="H72" s="213">
        <f t="shared" si="8"/>
        <v>29604</v>
      </c>
      <c r="I72" s="213">
        <f t="shared" si="8"/>
        <v>35027</v>
      </c>
      <c r="J72" s="213">
        <f t="shared" si="8"/>
        <v>36795</v>
      </c>
      <c r="K72" s="213">
        <f>K73+K74</f>
        <v>11279</v>
      </c>
    </row>
    <row r="73" spans="2:11" ht="13.5" x14ac:dyDescent="0.4">
      <c r="C73" s="183" t="s">
        <v>289</v>
      </c>
      <c r="E73" s="356">
        <f>[1]!s_stm07_is($C$6,"W68082914",E6,1,1000000)</f>
        <v>22464</v>
      </c>
      <c r="F73" s="356">
        <f>[1]!s_stm07_is($C$6,"W68082914",F6,1,1000000)</f>
        <v>24126</v>
      </c>
      <c r="G73" s="356">
        <f>[1]!s_stm07_is($C$6,"W68082914",G6,1,1000000)</f>
        <v>29405</v>
      </c>
      <c r="H73" s="356">
        <f>[1]!s_stm07_is($C$6,"W68082914",H6,1,1000000)</f>
        <v>32914</v>
      </c>
      <c r="I73" s="356">
        <f>[1]!s_stm07_is($C$6,"W68082914",I6,1,1000000)</f>
        <v>38231</v>
      </c>
      <c r="J73" s="356">
        <f>[1]!s_stm07_is($C$6,"W68082914",J6,1,1000000)</f>
        <v>39884</v>
      </c>
      <c r="K73" s="356">
        <f>[1]!s_stm07_is($C$6,"W68082914",K6,1,1000000)</f>
        <v>12202</v>
      </c>
    </row>
    <row r="74" spans="2:11" ht="13.5" x14ac:dyDescent="0.4">
      <c r="C74" s="224" t="s">
        <v>290</v>
      </c>
      <c r="E74" s="481">
        <f>0-[1]!s_stm07_is($C$6,"W62767802",E6,1,1000000)</f>
        <v>-2915</v>
      </c>
      <c r="F74" s="481">
        <f>0-[1]!s_stm07_is($C$6,"W62767802",F6,1,1000000)</f>
        <v>-3244</v>
      </c>
      <c r="G74" s="481">
        <f>0-[1]!s_stm07_is($C$6,"W62767802",G6,1,1000000)</f>
        <v>-3437</v>
      </c>
      <c r="H74" s="481">
        <f>0-[1]!s_stm07_is($C$6,"W62767802",H6,1,1000000)</f>
        <v>-3310</v>
      </c>
      <c r="I74" s="481">
        <f>0-[1]!s_stm07_is($C$6,"W62767802",I6,1,1000000)</f>
        <v>-3204</v>
      </c>
      <c r="J74" s="481">
        <f>0-[1]!s_stm07_is($C$6,"W62767802",J6,1,1000000)</f>
        <v>-3089</v>
      </c>
      <c r="K74" s="481">
        <f>0-[1]!s_stm07_is($C$6,"W62767802",K6,1,1000000)</f>
        <v>-923</v>
      </c>
    </row>
    <row r="75" spans="2:11" ht="13.5" x14ac:dyDescent="0.4">
      <c r="C75" s="183" t="s">
        <v>291</v>
      </c>
      <c r="E75" s="213">
        <f t="shared" ref="E75:J75" si="9">SUM(E76:E79)</f>
        <v>4806</v>
      </c>
      <c r="F75" s="213">
        <f t="shared" si="9"/>
        <v>6329</v>
      </c>
      <c r="G75" s="213">
        <f t="shared" si="9"/>
        <v>7809</v>
      </c>
      <c r="H75" s="213">
        <f t="shared" si="9"/>
        <v>13021</v>
      </c>
      <c r="I75" s="213">
        <f t="shared" si="9"/>
        <v>14629</v>
      </c>
      <c r="J75" s="213">
        <f t="shared" si="9"/>
        <v>21463</v>
      </c>
      <c r="K75" s="213">
        <f>SUM(K76:K79)</f>
        <v>12389</v>
      </c>
    </row>
    <row r="76" spans="2:11" ht="13.5" x14ac:dyDescent="0.4">
      <c r="C76" s="183" t="s">
        <v>292</v>
      </c>
      <c r="E76" s="356">
        <f>[1]!s_stm07_is($C$6,"W68338469",E6,1,1000000)</f>
        <v>802</v>
      </c>
      <c r="F76" s="356">
        <f>[1]!s_stm07_is($C$6,"W68338469",F6,1,1000000)</f>
        <v>-725</v>
      </c>
      <c r="G76" s="356">
        <f>[1]!s_stm07_is($C$6,"W68338469",G6,1,1000000)</f>
        <v>-1965</v>
      </c>
      <c r="H76" s="356">
        <f>[1]!s_stm07_is($C$6,"W68338469",H6,1,1000000)</f>
        <v>4063</v>
      </c>
      <c r="I76" s="356">
        <f>[1]!s_stm07_is($C$6,"W68338469",I6,1,1000000)</f>
        <v>-32</v>
      </c>
      <c r="J76" s="356">
        <f>[1]!s_stm07_is($C$6,"W68338469",J6,1,1000000)</f>
        <v>-2223</v>
      </c>
      <c r="K76" s="356">
        <f>[1]!s_stm07_is($C$6,"W68338469",K6,1,1000000)</f>
        <v>-231</v>
      </c>
    </row>
    <row r="77" spans="2:11" ht="13.5" x14ac:dyDescent="0.4">
      <c r="C77" s="183" t="s">
        <v>293</v>
      </c>
      <c r="E77" s="356">
        <f>[1]!s_stm07_is($C$6,"W63091148",E6,1,1000000)</f>
        <v>857</v>
      </c>
      <c r="F77" s="356">
        <f>[1]!s_stm07_is($C$6,"W63091148",F6,1,1000000)</f>
        <v>1491</v>
      </c>
      <c r="G77" s="356">
        <f>[1]!s_stm07_is($C$6,"W63091148",G6,1,1000000)</f>
        <v>546</v>
      </c>
      <c r="H77" s="356">
        <f>[1]!s_stm07_is($C$6,"W63091148",H6,1,1000000)</f>
        <v>4480</v>
      </c>
      <c r="I77" s="356">
        <f>[1]!s_stm07_is($C$6,"W63091148",I6,1,1000000)</f>
        <v>4376</v>
      </c>
      <c r="J77" s="356">
        <f>[1]!s_stm07_is($C$6,"W63091148",J6,1,1000000)</f>
        <v>4520</v>
      </c>
      <c r="K77" s="356">
        <f>[1]!s_stm07_is($C$6,"W63091148",K6,1,1000000)</f>
        <v>547</v>
      </c>
    </row>
    <row r="78" spans="2:11" ht="13.5" x14ac:dyDescent="0.4">
      <c r="C78" s="183" t="s">
        <v>294</v>
      </c>
      <c r="E78" s="356">
        <f>[1]!s_stm07_is($C$6,"W66065632",E6,1,1000000)</f>
        <v>-5</v>
      </c>
      <c r="F78" s="356">
        <f>[1]!s_stm07_is($C$6,"W66065632",F6,1,1000000)</f>
        <v>936</v>
      </c>
      <c r="G78" s="356">
        <f>[1]!s_stm07_is($C$6,"W66065632",G6,1,1000000)</f>
        <v>1006</v>
      </c>
      <c r="H78" s="356">
        <f>[1]!s_stm07_is($C$6,"W66065632",H6,1,1000000)</f>
        <v>-1927</v>
      </c>
      <c r="I78" s="356">
        <f>[1]!s_stm07_is($C$6,"W66065632",I6,1,1000000)</f>
        <v>81</v>
      </c>
      <c r="J78" s="356">
        <f>[1]!s_stm07_is($C$6,"W66065632",J6,1,1000000)</f>
        <v>1468</v>
      </c>
      <c r="K78" s="356">
        <f>[1]!s_stm07_is($C$6,"W66065632",K6,1,1000000)</f>
        <v>536</v>
      </c>
    </row>
    <row r="79" spans="2:11" ht="13.9" thickBot="1" x14ac:dyDescent="0.45">
      <c r="C79" s="239" t="s">
        <v>479</v>
      </c>
      <c r="E79" s="344">
        <f>[1]!s_stm07_is_85($C$6,E6,1,1000000)+433</f>
        <v>3152</v>
      </c>
      <c r="F79" s="344">
        <f>[1]!s_stm07_is_85($C$6,F6,1,1000000)+741</f>
        <v>4627</v>
      </c>
      <c r="G79" s="344">
        <f>[1]!s_stm07_is_85($C$6,G6,1,1000000)+1357</f>
        <v>8222</v>
      </c>
      <c r="H79" s="344">
        <f>[1]!s_stm07_is_85($C$6,H6,1,1000000)+2547</f>
        <v>6405</v>
      </c>
      <c r="I79" s="344">
        <f>[1]!s_stm07_is_85($C$6,I6,1,1000000)+4051</f>
        <v>10204</v>
      </c>
      <c r="J79" s="344">
        <f>[1]!s_stm07_is_85($C$6,J6,1,1000000)+9596</f>
        <v>17698</v>
      </c>
      <c r="K79" s="344">
        <f>[1]!s_stm07_is_85($C$6,K6,1,1000000)+8182</f>
        <v>11537</v>
      </c>
    </row>
    <row r="80" spans="2:11" ht="13.5" thickBot="1" x14ac:dyDescent="0.45">
      <c r="E80" s="241"/>
      <c r="F80" s="241"/>
      <c r="G80" s="241"/>
      <c r="H80" s="241"/>
      <c r="I80" s="241"/>
      <c r="J80" s="241"/>
      <c r="K80" s="241"/>
    </row>
    <row r="81" spans="3:12" ht="13.5" x14ac:dyDescent="0.4">
      <c r="C81" s="234" t="s">
        <v>296</v>
      </c>
      <c r="E81" s="478">
        <f t="shared" ref="E81:J81" si="10">SUM(E82:E85)</f>
        <v>-62060</v>
      </c>
      <c r="F81" s="478">
        <f t="shared" si="10"/>
        <v>-72962</v>
      </c>
      <c r="G81" s="478">
        <f t="shared" si="10"/>
        <v>-84919</v>
      </c>
      <c r="H81" s="478">
        <f t="shared" si="10"/>
        <v>-93559</v>
      </c>
      <c r="I81" s="478">
        <f t="shared" si="10"/>
        <v>-108116</v>
      </c>
      <c r="J81" s="478">
        <f t="shared" si="10"/>
        <v>-107779</v>
      </c>
      <c r="K81" s="478">
        <f>SUM(K82:K85)</f>
        <v>-30907</v>
      </c>
    </row>
    <row r="82" spans="3:12" ht="13.5" x14ac:dyDescent="0.4">
      <c r="C82" s="183" t="s">
        <v>297</v>
      </c>
      <c r="E82" s="482">
        <f>0-[1]!s_stm07_is($C$6,"W61922150",E6,1,1000000)</f>
        <v>-8939</v>
      </c>
      <c r="F82" s="482">
        <f>0-[1]!s_stm07_is($C$6,"W61922150",F6,1,1000000)</f>
        <v>-10916</v>
      </c>
      <c r="G82" s="482">
        <f>0-[1]!s_stm07_is($C$6,"W61922150",G6,1,1000000)</f>
        <v>-11949</v>
      </c>
      <c r="H82" s="482">
        <f>0-[1]!s_stm07_is($C$6,"W61922150",H6,1,1000000)</f>
        <v>-12822</v>
      </c>
      <c r="I82" s="482">
        <f>0-[1]!s_stm07_is($C$6,"W61922150",I6,1,1000000)</f>
        <v>-13979</v>
      </c>
      <c r="J82" s="482">
        <f>0-[1]!s_stm07_is($C$6,"W61922150",J6,1,1000000)</f>
        <v>-5962</v>
      </c>
      <c r="K82" s="482">
        <f>0-[1]!s_stm07_is($C$6,"W61922150",K6,1,1000000)</f>
        <v>-584</v>
      </c>
    </row>
    <row r="83" spans="3:12" ht="13.5" x14ac:dyDescent="0.4">
      <c r="C83" s="183" t="s">
        <v>298</v>
      </c>
      <c r="E83" s="483">
        <f>0-[1]!s_stm07_is($C$6,"W66107451",E6,1,1000000)</f>
        <v>-37529</v>
      </c>
      <c r="F83" s="483">
        <f>0-[1]!s_stm07_is($C$6,"W66107451",F6,1,1000000)</f>
        <v>-42734</v>
      </c>
      <c r="G83" s="483">
        <f>0-[1]!s_stm07_is($C$6,"W66107451",G6,1,1000000)</f>
        <v>-46440</v>
      </c>
      <c r="H83" s="483">
        <f>0-[1]!s_stm07_is($C$6,"W66107451",H6,1,1000000)</f>
        <v>-53045</v>
      </c>
      <c r="I83" s="483">
        <f>0-[1]!s_stm07_is($C$6,"W66107451",I6,1,1000000)</f>
        <v>-58011</v>
      </c>
      <c r="J83" s="483">
        <f>0-[1]!s_stm07_is($C$6,"W66107451",J6,1,1000000)</f>
        <v>-60289</v>
      </c>
      <c r="K83" s="483">
        <f>0-[1]!s_stm07_is($C$6,"W66107451",K6,1,1000000)</f>
        <v>-12741</v>
      </c>
    </row>
    <row r="84" spans="3:12" ht="13.5" x14ac:dyDescent="0.4">
      <c r="C84" s="183" t="s">
        <v>299</v>
      </c>
      <c r="E84" s="483">
        <f>0-[1]!s_stm07_is($C$6,"W65284919",E6,1,1000000)</f>
        <v>-12692</v>
      </c>
      <c r="F84" s="483">
        <f>0-[1]!s_stm07_is($C$6,"W65284919",F6,1,1000000)</f>
        <v>-15187</v>
      </c>
      <c r="G84" s="483">
        <f>0-[1]!s_stm07_is($C$6,"W65284919",G6,1,1000000)</f>
        <v>-19158</v>
      </c>
      <c r="H84" s="483">
        <f>0-[1]!s_stm07_is($C$6,"W65284919",H6,1,1000000)</f>
        <v>-22866</v>
      </c>
      <c r="I84" s="483">
        <f>0-[1]!s_stm07_is($C$6,"W65284919",I6,1,1000000)</f>
        <v>-28914</v>
      </c>
      <c r="J84" s="483">
        <f>0-[1]!s_stm07_is($C$6,"W65284919",J6,1,1000000)</f>
        <v>-30212</v>
      </c>
      <c r="K84" s="483">
        <f>0-[1]!s_stm07_is($C$6,"W65284919",K6,1,1000000)</f>
        <v>-7859</v>
      </c>
    </row>
    <row r="85" spans="3:12" ht="13.9" thickBot="1" x14ac:dyDescent="0.45">
      <c r="C85" s="239" t="s">
        <v>480</v>
      </c>
      <c r="E85" s="344">
        <f>0-[1]!s_stm07_is_86($C$6,E6,1,1000000)-491</f>
        <v>-2900</v>
      </c>
      <c r="F85" s="344">
        <f>0-[1]!s_stm07_is_86($C$6,F6,1,1000000)-630</f>
        <v>-4125</v>
      </c>
      <c r="G85" s="344">
        <f>0-[1]!s_stm07_is_86($C$6,G6,1,1000000)-1173</f>
        <v>-7372</v>
      </c>
      <c r="H85" s="344">
        <f>0-[1]!s_stm07_is_86($C$6,H6,1,1000000)-2528</f>
        <v>-4826</v>
      </c>
      <c r="I85" s="344">
        <f>0-[1]!s_stm07_is_86($C$6,I6,1,1000000)-4482</f>
        <v>-7212</v>
      </c>
      <c r="J85" s="344">
        <f>0-[1]!s_stm07_is_86($C$6,J6,1,1000000)-8993</f>
        <v>-11316</v>
      </c>
      <c r="K85" s="344">
        <f>0-[1]!s_stm07_is_86($C$6,K6,1,1000000)-7614</f>
        <v>-9723</v>
      </c>
      <c r="L85" s="242"/>
    </row>
    <row r="86" spans="3:12" ht="13.5" thickBot="1" x14ac:dyDescent="0.45">
      <c r="E86" s="241"/>
      <c r="F86" s="241"/>
      <c r="G86" s="241"/>
      <c r="H86" s="241"/>
      <c r="I86" s="241"/>
      <c r="J86" s="241"/>
      <c r="K86" s="241"/>
    </row>
    <row r="87" spans="3:12" ht="13.5" x14ac:dyDescent="0.4">
      <c r="C87" s="234" t="s">
        <v>301</v>
      </c>
      <c r="E87" s="478">
        <f t="shared" ref="E87:J87" si="11">E67+E81</f>
        <v>64896</v>
      </c>
      <c r="F87" s="478">
        <f t="shared" si="11"/>
        <v>74375</v>
      </c>
      <c r="G87" s="478">
        <f t="shared" si="11"/>
        <v>79516</v>
      </c>
      <c r="H87" s="478">
        <f t="shared" si="11"/>
        <v>83842</v>
      </c>
      <c r="I87" s="478">
        <f t="shared" si="11"/>
        <v>85712</v>
      </c>
      <c r="J87" s="478">
        <f t="shared" si="11"/>
        <v>85350</v>
      </c>
      <c r="K87" s="478">
        <f>K67+K81</f>
        <v>23978</v>
      </c>
    </row>
    <row r="88" spans="3:12" ht="13.5" x14ac:dyDescent="0.4">
      <c r="C88" s="183" t="s">
        <v>302</v>
      </c>
      <c r="E88" s="484">
        <f t="shared" ref="E88:K88" si="12">E89+E90</f>
        <v>555</v>
      </c>
      <c r="F88" s="484">
        <f t="shared" si="12"/>
        <v>836</v>
      </c>
      <c r="G88" s="484">
        <f t="shared" si="12"/>
        <v>393</v>
      </c>
      <c r="H88" s="484">
        <f t="shared" si="12"/>
        <v>1085</v>
      </c>
      <c r="I88" s="484">
        <f t="shared" si="12"/>
        <v>300</v>
      </c>
      <c r="J88" s="484">
        <f t="shared" si="12"/>
        <v>760</v>
      </c>
      <c r="K88" s="484">
        <f t="shared" si="12"/>
        <v>34</v>
      </c>
    </row>
    <row r="89" spans="3:12" ht="13.5" x14ac:dyDescent="0.4">
      <c r="C89" s="183" t="s">
        <v>303</v>
      </c>
      <c r="E89" s="356">
        <f>[1]!s_stm07_is($C$6,"W68538378",E6,1,1000000)</f>
        <v>837</v>
      </c>
      <c r="F89" s="356">
        <f>[1]!s_stm07_is($C$6,"W68538378",F6,1,1000000)</f>
        <v>851</v>
      </c>
      <c r="G89" s="356">
        <f>[1]!s_stm07_is($C$6,"W68538378",G6,1,1000000)</f>
        <v>635</v>
      </c>
      <c r="H89" s="356">
        <f>[1]!s_stm07_is($C$6,"W68538378",H6,1,1000000)</f>
        <v>1225</v>
      </c>
      <c r="I89" s="356">
        <f>[1]!s_stm07_is($C$6,"W68538378",I6,1,1000000)</f>
        <v>730</v>
      </c>
      <c r="J89" s="356">
        <f>[1]!s_stm07_is($C$6,"W68538378",J6,1,1000000)</f>
        <v>933</v>
      </c>
      <c r="K89" s="356">
        <f>[1]!s_stm07_is($C$6,"W68538378",K6,1,1000000)</f>
        <v>103</v>
      </c>
    </row>
    <row r="90" spans="3:12" ht="13.5" x14ac:dyDescent="0.4">
      <c r="C90" s="244" t="s">
        <v>304</v>
      </c>
      <c r="E90" s="485">
        <f>0-[1]!s_stm07_is($C$6,"W67738435",E6,1,1000000)</f>
        <v>-282</v>
      </c>
      <c r="F90" s="485">
        <f>0-[1]!s_stm07_is($C$6,"W67738435",F6,1,1000000)</f>
        <v>-15</v>
      </c>
      <c r="G90" s="485">
        <f>0-[1]!s_stm07_is($C$6,"W67738435",G6,1,1000000)</f>
        <v>-242</v>
      </c>
      <c r="H90" s="485">
        <f>0-[1]!s_stm07_is($C$6,"W67738435",H6,1,1000000)</f>
        <v>-140</v>
      </c>
      <c r="I90" s="485">
        <f>0-[1]!s_stm07_is($C$6,"W67738435",I6,1,1000000)</f>
        <v>-430</v>
      </c>
      <c r="J90" s="485">
        <f>0-[1]!s_stm07_is($C$6,"W67738435",J6,1,1000000)</f>
        <v>-173</v>
      </c>
      <c r="K90" s="485">
        <f>0-[1]!s_stm07_is($C$6,"W67738435",K6,1,1000000)</f>
        <v>-69</v>
      </c>
    </row>
    <row r="91" spans="3:12" ht="13.5" x14ac:dyDescent="0.4">
      <c r="C91" s="245" t="s">
        <v>305</v>
      </c>
      <c r="E91" s="486">
        <f t="shared" ref="E91:I91" si="13">E87+E88</f>
        <v>65451</v>
      </c>
      <c r="F91" s="486">
        <f t="shared" si="13"/>
        <v>75211</v>
      </c>
      <c r="G91" s="486">
        <f t="shared" si="13"/>
        <v>79909</v>
      </c>
      <c r="H91" s="486">
        <f t="shared" si="13"/>
        <v>84927</v>
      </c>
      <c r="I91" s="486">
        <f t="shared" si="13"/>
        <v>86012</v>
      </c>
      <c r="J91" s="486">
        <f>J87+J88</f>
        <v>86110</v>
      </c>
      <c r="K91" s="486">
        <f>K87+K88</f>
        <v>24012</v>
      </c>
    </row>
    <row r="92" spans="3:12" ht="13.5" x14ac:dyDescent="0.4">
      <c r="C92" s="183" t="s">
        <v>306</v>
      </c>
      <c r="E92" s="487">
        <f>0-[1]!s_stm07_is($C$6,"W65004312",E6,1,1000000)</f>
        <v>-14634</v>
      </c>
      <c r="F92" s="487">
        <f>0-[1]!s_stm07_is($C$6,"W65004312",F6,1,1000000)</f>
        <v>-16739</v>
      </c>
      <c r="G92" s="487">
        <f>0-[1]!s_stm07_is($C$6,"W65004312",G6,1,1000000)</f>
        <v>-17448</v>
      </c>
      <c r="H92" s="487">
        <f>0-[1]!s_stm07_is($C$6,"W65004312",H6,1,1000000)</f>
        <v>-18892</v>
      </c>
      <c r="I92" s="487">
        <f>0-[1]!s_stm07_is($C$6,"W65004312",I6,1,1000000)</f>
        <v>-19181</v>
      </c>
      <c r="J92" s="487">
        <f>0-[1]!s_stm07_is($C$6,"W65004312",J6,1,1000000)</f>
        <v>-18459</v>
      </c>
      <c r="K92" s="487">
        <f>0-[1]!s_stm07_is($C$6,"W65004312",K6,1,1000000)</f>
        <v>-4562</v>
      </c>
    </row>
    <row r="93" spans="3:12" ht="13.5" x14ac:dyDescent="0.4">
      <c r="C93" s="245" t="s">
        <v>307</v>
      </c>
      <c r="E93" s="486">
        <f t="shared" ref="E93:J93" si="14">E91+E92</f>
        <v>50817</v>
      </c>
      <c r="F93" s="486">
        <f t="shared" si="14"/>
        <v>58472</v>
      </c>
      <c r="G93" s="486">
        <f t="shared" si="14"/>
        <v>62461</v>
      </c>
      <c r="H93" s="486">
        <f t="shared" si="14"/>
        <v>66035</v>
      </c>
      <c r="I93" s="486">
        <f t="shared" si="14"/>
        <v>66831</v>
      </c>
      <c r="J93" s="486">
        <f t="shared" si="14"/>
        <v>67651</v>
      </c>
      <c r="K93" s="486">
        <f>K91+K92</f>
        <v>19450</v>
      </c>
    </row>
    <row r="94" spans="3:12" ht="13.5" x14ac:dyDescent="0.4">
      <c r="C94" s="183" t="s">
        <v>308</v>
      </c>
      <c r="E94" s="488">
        <f>[1]!s_stm07_is($C$6,"W66823304",E6,1,1000000)</f>
        <v>50735</v>
      </c>
      <c r="F94" s="488">
        <f>[1]!s_stm07_is($C$6,"W66823304",F6,1,1000000)</f>
        <v>58369</v>
      </c>
      <c r="G94" s="488">
        <f>[1]!s_stm07_is($C$6,"W66823304",G6,1,1000000)</f>
        <v>62295</v>
      </c>
      <c r="H94" s="488">
        <f>[1]!s_stm07_is($C$6,"W66823304",H6,1,1000000)</f>
        <v>65850</v>
      </c>
      <c r="I94" s="488">
        <f>[1]!s_stm07_is($C$6,"W66823304",I6,1,1000000)</f>
        <v>66528</v>
      </c>
      <c r="J94" s="488">
        <f>[1]!s_stm07_is($C$6,"W66823304",J6,1,1000000)</f>
        <v>67210</v>
      </c>
      <c r="K94" s="488">
        <f>[1]!s_stm07_is($C$6,"W66823304",K6,1,1000000)</f>
        <v>19323</v>
      </c>
    </row>
    <row r="95" spans="3:12" ht="13.9" thickBot="1" x14ac:dyDescent="0.45">
      <c r="C95" s="239" t="s">
        <v>309</v>
      </c>
      <c r="E95" s="213">
        <f t="shared" ref="E95:J95" si="15">E93-E94</f>
        <v>82</v>
      </c>
      <c r="F95" s="213">
        <f t="shared" si="15"/>
        <v>103</v>
      </c>
      <c r="G95" s="213">
        <f t="shared" si="15"/>
        <v>166</v>
      </c>
      <c r="H95" s="213">
        <f t="shared" si="15"/>
        <v>185</v>
      </c>
      <c r="I95" s="213">
        <f t="shared" si="15"/>
        <v>303</v>
      </c>
      <c r="J95" s="213">
        <f t="shared" si="15"/>
        <v>441</v>
      </c>
      <c r="K95" s="213">
        <f>K93-K94</f>
        <v>127</v>
      </c>
    </row>
    <row r="96" spans="3:12" ht="13.5" x14ac:dyDescent="0.4">
      <c r="C96" s="183" t="s">
        <v>310</v>
      </c>
      <c r="E96" s="489">
        <v>-632</v>
      </c>
      <c r="F96" s="489">
        <v>-333</v>
      </c>
      <c r="G96" s="489">
        <v>-4831</v>
      </c>
      <c r="H96" s="489">
        <v>5281</v>
      </c>
      <c r="I96" s="489">
        <v>2621</v>
      </c>
      <c r="J96" s="489">
        <v>2879</v>
      </c>
      <c r="K96" s="490">
        <v>301</v>
      </c>
    </row>
    <row r="97" spans="2:11" ht="13.5" x14ac:dyDescent="0.4">
      <c r="C97" s="245" t="s">
        <v>311</v>
      </c>
      <c r="E97" s="476">
        <f t="shared" ref="E97:J97" si="16">E98+E99</f>
        <v>50185</v>
      </c>
      <c r="F97" s="476">
        <f t="shared" si="16"/>
        <v>58139</v>
      </c>
      <c r="G97" s="476">
        <f t="shared" si="16"/>
        <v>57630</v>
      </c>
      <c r="H97" s="476">
        <f t="shared" si="16"/>
        <v>71316</v>
      </c>
      <c r="I97" s="476">
        <f t="shared" si="16"/>
        <v>69452</v>
      </c>
      <c r="J97" s="476">
        <f t="shared" si="16"/>
        <v>70530</v>
      </c>
      <c r="K97" s="476">
        <f>K98+K99</f>
        <v>19751</v>
      </c>
    </row>
    <row r="98" spans="2:11" ht="13.5" x14ac:dyDescent="0.4">
      <c r="C98" s="183" t="s">
        <v>312</v>
      </c>
      <c r="E98" s="491">
        <f>[1]!s_stm07_is($C$6,"W62388262",E6,1,1000000)</f>
        <v>50154</v>
      </c>
      <c r="F98" s="491">
        <f>[1]!s_stm07_is($C$6,"W62388262",F6,1,1000000)</f>
        <v>58010</v>
      </c>
      <c r="G98" s="491">
        <f>[1]!s_stm07_is($C$6,"W62388262",G6,1,1000000)</f>
        <v>57466</v>
      </c>
      <c r="H98" s="491">
        <f>[1]!s_stm07_is($C$6,"W62388262",H6,1,1000000)</f>
        <v>70689</v>
      </c>
      <c r="I98" s="491">
        <f>[1]!s_stm07_is($C$6,"W62388262",I6,1,1000000)</f>
        <v>69063</v>
      </c>
      <c r="J98" s="491">
        <f>[1]!s_stm07_is($C$6,"W62388262",J6,1,1000000)</f>
        <v>70284</v>
      </c>
      <c r="K98" s="492">
        <f>[1]!s_stm07_is($C$6,"W62388262",K6,1,1000000)</f>
        <v>19647</v>
      </c>
    </row>
    <row r="99" spans="2:11" ht="13.9" thickBot="1" x14ac:dyDescent="0.45">
      <c r="C99" s="239" t="s">
        <v>313</v>
      </c>
      <c r="E99" s="491">
        <f>[1]!s_stm07_is($C$6,"W47116209",E6,1,1000000)</f>
        <v>31</v>
      </c>
      <c r="F99" s="491">
        <f>[1]!s_stm07_is($C$6,"W47116209",F6,1,1000000)</f>
        <v>129</v>
      </c>
      <c r="G99" s="491">
        <f>[1]!s_stm07_is($C$6,"W47116209",G6,1,1000000)</f>
        <v>164</v>
      </c>
      <c r="H99" s="491">
        <f>[1]!s_stm07_is($C$6,"W47116209",H6,1,1000000)</f>
        <v>627</v>
      </c>
      <c r="I99" s="491">
        <f>[1]!s_stm07_is($C$6,"W47116209",I6,1,1000000)</f>
        <v>389</v>
      </c>
      <c r="J99" s="491">
        <f>[1]!s_stm07_is($C$6,"W47116209",J6,1,1000000)</f>
        <v>246</v>
      </c>
      <c r="K99" s="492">
        <f>[1]!s_stm07_is($C$6,"W47116209",K6,1,1000000)</f>
        <v>104</v>
      </c>
    </row>
    <row r="100" spans="2:11" ht="13.5" thickBot="1" x14ac:dyDescent="0.45"/>
    <row r="101" spans="2:11" ht="13.5" x14ac:dyDescent="0.4">
      <c r="C101" s="250" t="s">
        <v>314</v>
      </c>
      <c r="E101" s="218"/>
      <c r="F101" s="218"/>
      <c r="G101" s="218"/>
      <c r="H101" s="218"/>
      <c r="I101" s="218"/>
      <c r="J101" s="218"/>
      <c r="K101" s="218"/>
    </row>
    <row r="102" spans="2:11" ht="13.5" x14ac:dyDescent="0.4">
      <c r="C102" s="207" t="s">
        <v>315</v>
      </c>
      <c r="E102" s="493">
        <f>[1]!s_stm07_is($C$6,"W88363141",E6,1,1)</f>
        <v>0.82</v>
      </c>
      <c r="F102" s="493">
        <f>[1]!s_stm07_is($C$6,"W88363141",F6,1,1)</f>
        <v>0.88</v>
      </c>
      <c r="G102" s="493">
        <f>[1]!s_stm07_is($C$6,"W88363141",G6,1,1)</f>
        <v>0.84</v>
      </c>
      <c r="H102" s="493">
        <f>[1]!s_stm07_is($C$6,"W88363141",H6,1,1)</f>
        <v>0.89</v>
      </c>
      <c r="I102" s="493">
        <f>[1]!s_stm07_is($C$6,"W88363141",I6,1,1)</f>
        <v>0.9</v>
      </c>
      <c r="J102" s="493">
        <f>[1]!s_stm07_is($C$6,"W88363141",J6,1,1)</f>
        <v>0.89</v>
      </c>
      <c r="K102" s="493">
        <f>[1]!s_stm07_is($C$6,"W88363141",K6,1,1)</f>
        <v>0.26</v>
      </c>
    </row>
    <row r="103" spans="2:11" ht="13.9" thickBot="1" x14ac:dyDescent="0.45">
      <c r="C103" s="252" t="s">
        <v>316</v>
      </c>
      <c r="E103" s="494">
        <f>[1]!s_stm07_is($C$6,"W85526134",E6,1,1)</f>
        <v>0</v>
      </c>
      <c r="F103" s="494">
        <f>[1]!s_stm07_is($C$6,"W85526134",F6,1,1)</f>
        <v>0</v>
      </c>
      <c r="G103" s="494">
        <f>[1]!s_stm07_is($C$6,"W85526134",G6,1,1)</f>
        <v>0.84</v>
      </c>
      <c r="H103" s="494">
        <f>[1]!s_stm07_is($C$6,"W85526134",H6,1,1)</f>
        <v>0.89</v>
      </c>
      <c r="I103" s="494">
        <f>[1]!s_stm07_is($C$6,"W85526134",I6,1,1)</f>
        <v>0.9</v>
      </c>
      <c r="J103" s="494">
        <f>[1]!s_stm07_is($C$6,"W85526134",J6,1,1)</f>
        <v>0.89</v>
      </c>
      <c r="K103" s="494">
        <f>[1]!s_stm07_is($C$6,"W85526134",K6,1,1)</f>
        <v>0.26</v>
      </c>
    </row>
    <row r="106" spans="2:11" ht="13.9" thickBot="1" x14ac:dyDescent="0.45">
      <c r="B106" s="253" t="s">
        <v>317</v>
      </c>
      <c r="C106" s="254"/>
    </row>
    <row r="107" spans="2:11" ht="13.5" x14ac:dyDescent="0.4">
      <c r="B107" s="255"/>
      <c r="C107" s="256" t="s">
        <v>318</v>
      </c>
      <c r="E107" s="495">
        <f t="shared" ref="E107:J107" si="17">E108+E109</f>
        <v>2052443</v>
      </c>
      <c r="F107" s="495">
        <f t="shared" si="17"/>
        <v>2345777</v>
      </c>
      <c r="G107" s="495">
        <f t="shared" si="17"/>
        <v>2515058</v>
      </c>
      <c r="H107" s="495">
        <f t="shared" si="17"/>
        <v>2563378</v>
      </c>
      <c r="I107" s="495">
        <f t="shared" si="17"/>
        <v>2728687</v>
      </c>
      <c r="J107" s="495">
        <f t="shared" si="17"/>
        <v>2916772</v>
      </c>
      <c r="K107" s="495">
        <f>K108+K109</f>
        <v>3114131</v>
      </c>
    </row>
    <row r="108" spans="2:11" ht="13.5" x14ac:dyDescent="0.4">
      <c r="B108" s="255"/>
      <c r="C108" s="256" t="s">
        <v>319</v>
      </c>
      <c r="E108" s="326">
        <f>[1]!s_stmnote_bank_681($C$6,E6,1,2,1000000)</f>
        <v>2002246</v>
      </c>
      <c r="F108" s="326">
        <f>[1]!s_stmnote_bank_681($C$6,F6,1,2,1000000)</f>
        <v>2281008</v>
      </c>
      <c r="G108" s="326">
        <f>[1]!s_stmnote_bank_681($C$6,G6,1,2,1000000)</f>
        <v>2454615</v>
      </c>
      <c r="H108" s="326">
        <f>[1]!s_stmnote_bank_681($C$6,H6,1,2,1000000)</f>
        <v>2488830</v>
      </c>
      <c r="I108" s="326">
        <f>[1]!s_stmnote_bank_681($C$6,I6,1,2,1000000)</f>
        <v>2611243</v>
      </c>
      <c r="J108" s="326">
        <f>[1]!s_stmnote_bank_681($C$6,J6,1,2,1000000)</f>
        <v>2790183</v>
      </c>
      <c r="K108" s="326">
        <f>[1]!s_stmnote_bank_681($C$6,K6,1,2,1000000)</f>
        <v>3114131</v>
      </c>
    </row>
    <row r="109" spans="2:11" ht="13.5" x14ac:dyDescent="0.4">
      <c r="B109" s="255"/>
      <c r="C109" s="256" t="s">
        <v>481</v>
      </c>
      <c r="E109" s="326">
        <f>[1]!s_stmnote_bank_683($C$6,E6,1,2,1000000)</f>
        <v>50197</v>
      </c>
      <c r="F109" s="326">
        <f>[1]!s_stmnote_bank_683($C$6,F6,1,2,1000000)</f>
        <v>64769</v>
      </c>
      <c r="G109" s="326">
        <f>[1]!s_stmnote_bank_683($C$6,G6,1,2,1000000)</f>
        <v>60443</v>
      </c>
      <c r="H109" s="326">
        <f>[1]!s_stmnote_bank_683($C$6,H6,1,2,1000000)</f>
        <v>74548</v>
      </c>
      <c r="I109" s="326">
        <f>[1]!s_stmnote_bank_683($C$6,I6,1,2,1000000)</f>
        <v>117444</v>
      </c>
      <c r="J109" s="326">
        <f>[1]!s_stmnote_bank_683($C$6,J6,1,2,1000000)</f>
        <v>126589</v>
      </c>
      <c r="K109" s="326">
        <f>[1]!s_stmnote_bank_683($C$6,K6,1,2,1000000)</f>
        <v>0</v>
      </c>
    </row>
    <row r="110" spans="2:11" ht="13.5" x14ac:dyDescent="0.4">
      <c r="B110" s="257"/>
      <c r="C110" s="256" t="s">
        <v>321</v>
      </c>
      <c r="E110" s="326">
        <f>[1]!s_stmnote_bank_682($C$6,E6,1,2,1000000)</f>
        <v>509307</v>
      </c>
      <c r="F110" s="326">
        <f>[1]!s_stmnote_bank_682($C$6,F6,1,2,1000000)</f>
        <v>601522</v>
      </c>
      <c r="G110" s="326">
        <f>[1]!s_stmnote_bank_682($C$6,G6,1,2,1000000)</f>
        <v>751310</v>
      </c>
      <c r="H110" s="326">
        <f>[1]!s_stmnote_bank_682($C$6,H6,1,2,1000000)</f>
        <v>868357</v>
      </c>
      <c r="I110" s="326">
        <f>[1]!s_stmnote_bank_682($C$6,I6,1,2,1000000)</f>
        <v>993319</v>
      </c>
      <c r="J110" s="326">
        <f>[1]!s_stmnote_bank_682($C$6,J6,1,2,1000000)</f>
        <v>1186187</v>
      </c>
      <c r="K110" s="326">
        <f>[1]!s_stmnote_bank_682($C$6,K6,1,2,1000000)</f>
        <v>1229610</v>
      </c>
    </row>
    <row r="111" spans="2:11" ht="13.5" x14ac:dyDescent="0.4">
      <c r="B111" s="255"/>
      <c r="C111" s="256" t="s">
        <v>322</v>
      </c>
      <c r="E111" s="326">
        <f>-[1]!s_stmnote_bank_22n($C$6,E6,1,1000000)</f>
        <v>-56365</v>
      </c>
      <c r="F111" s="326">
        <f>-[1]!s_stmnote_bank_22n($C$6,F6,1,1000000)</f>
        <v>-67671</v>
      </c>
      <c r="G111" s="326">
        <f>-[1]!s_stmnote_bank_22n($C$6,G6,1,1000000)</f>
        <v>-73305</v>
      </c>
      <c r="H111" s="326">
        <f>-[1]!s_stmnote_bank_22n($C$6,H6,1,1000000)</f>
        <v>-76948</v>
      </c>
      <c r="I111" s="326">
        <f>-[1]!s_stmnote_bank_22n($C$6,I6,1,1000000)</f>
        <v>-87438</v>
      </c>
      <c r="J111" s="326">
        <f>-[1]!s_stmnote_bank_22n($C$6,J6,1,1000000)</f>
        <v>-93913</v>
      </c>
      <c r="K111" s="326">
        <f>K113-K112</f>
        <v>-98891</v>
      </c>
    </row>
    <row r="112" spans="2:11" ht="13.5" x14ac:dyDescent="0.4">
      <c r="B112" s="258"/>
      <c r="C112" s="259" t="s">
        <v>323</v>
      </c>
      <c r="E112" s="496">
        <f t="shared" ref="E112:I112" si="18">E113-E111</f>
        <v>2561750</v>
      </c>
      <c r="F112" s="496">
        <f t="shared" si="18"/>
        <v>2947299</v>
      </c>
      <c r="G112" s="496">
        <f t="shared" si="18"/>
        <v>3266368</v>
      </c>
      <c r="H112" s="496">
        <f t="shared" si="18"/>
        <v>3431735</v>
      </c>
      <c r="I112" s="496">
        <f t="shared" si="18"/>
        <v>3722006</v>
      </c>
      <c r="J112" s="496">
        <f>J113-J111</f>
        <v>4102959</v>
      </c>
      <c r="K112" s="496">
        <v>4343741</v>
      </c>
    </row>
    <row r="113" spans="2:11" ht="13.9" thickBot="1" x14ac:dyDescent="0.45">
      <c r="B113" s="258"/>
      <c r="C113" s="261" t="s">
        <v>324</v>
      </c>
      <c r="E113" s="497">
        <f t="shared" ref="E113:K113" si="19">E18</f>
        <v>2505385</v>
      </c>
      <c r="F113" s="497">
        <f t="shared" si="19"/>
        <v>2879628</v>
      </c>
      <c r="G113" s="497">
        <f t="shared" si="19"/>
        <v>3193063</v>
      </c>
      <c r="H113" s="497">
        <f t="shared" si="19"/>
        <v>3354787</v>
      </c>
      <c r="I113" s="497">
        <f t="shared" si="19"/>
        <v>3634568</v>
      </c>
      <c r="J113" s="497">
        <f t="shared" si="19"/>
        <v>4009046</v>
      </c>
      <c r="K113" s="497">
        <f t="shared" si="19"/>
        <v>4244850</v>
      </c>
    </row>
    <row r="114" spans="2:11" s="231" customFormat="1" ht="13.5" x14ac:dyDescent="0.4">
      <c r="C114" s="230" t="s">
        <v>281</v>
      </c>
      <c r="E114" s="349">
        <f t="shared" ref="E114:J114" si="20">IF(E108=0,0,E112-E107-E110)</f>
        <v>0</v>
      </c>
      <c r="F114" s="349">
        <f t="shared" si="20"/>
        <v>0</v>
      </c>
      <c r="G114" s="349">
        <f t="shared" si="20"/>
        <v>0</v>
      </c>
      <c r="H114" s="349">
        <f t="shared" si="20"/>
        <v>0</v>
      </c>
      <c r="I114" s="349">
        <f t="shared" si="20"/>
        <v>0</v>
      </c>
      <c r="J114" s="349">
        <f t="shared" si="20"/>
        <v>0</v>
      </c>
      <c r="K114" s="349">
        <f>IF(K108=0,0,K112-K107-K110)</f>
        <v>0</v>
      </c>
    </row>
    <row r="115" spans="2:11" x14ac:dyDescent="0.4">
      <c r="K115" s="213"/>
    </row>
    <row r="117" spans="2:11" ht="13.9" thickBot="1" x14ac:dyDescent="0.45">
      <c r="B117" s="253" t="s">
        <v>325</v>
      </c>
      <c r="C117" s="262"/>
      <c r="E117" s="213"/>
      <c r="F117" s="213"/>
      <c r="G117" s="213"/>
      <c r="H117" s="213"/>
      <c r="I117" s="213"/>
      <c r="J117" s="213"/>
      <c r="K117" s="213"/>
    </row>
    <row r="118" spans="2:11" ht="13.5" x14ac:dyDescent="0.4">
      <c r="B118" s="257"/>
      <c r="C118" s="256" t="s">
        <v>326</v>
      </c>
      <c r="E118" s="495">
        <f t="shared" ref="E118:J118" si="21">E119+E120</f>
        <v>1606610</v>
      </c>
      <c r="F118" s="495">
        <f t="shared" si="21"/>
        <v>1698617</v>
      </c>
      <c r="G118" s="495">
        <f t="shared" si="21"/>
        <v>1874267</v>
      </c>
      <c r="H118" s="495">
        <f t="shared" si="21"/>
        <v>1937781</v>
      </c>
      <c r="I118" s="495">
        <f t="shared" si="21"/>
        <v>2028477</v>
      </c>
      <c r="J118" s="495">
        <f t="shared" si="21"/>
        <v>2448173</v>
      </c>
      <c r="K118" s="495">
        <f>K127*0.4818</f>
        <v>2378970.8514</v>
      </c>
    </row>
    <row r="119" spans="2:11" ht="13.5" x14ac:dyDescent="0.4">
      <c r="B119" s="257"/>
      <c r="C119" s="256" t="s">
        <v>327</v>
      </c>
      <c r="E119" s="326">
        <f>[1]!s_stmnote_bank_614($C$6,E6,1,2,1000000)</f>
        <v>1184123</v>
      </c>
      <c r="F119" s="326">
        <f>[1]!s_stmnote_bank_614($C$6,F6,1,2,1000000)</f>
        <v>1254248</v>
      </c>
      <c r="G119" s="326">
        <f>[1]!s_stmnote_bank_614($C$6,G6,1,2,1000000)</f>
        <v>1382914</v>
      </c>
      <c r="H119" s="326">
        <f>[1]!s_stmnote_bank_614($C$6,H6,1,2,1000000)</f>
        <v>1395657</v>
      </c>
      <c r="I119" s="326">
        <f>[1]!s_stmnote_bank_614($C$6,I6,1,2,1000000)</f>
        <v>1433773</v>
      </c>
      <c r="J119" s="326">
        <f>[1]!s_stmnote_bank_614($C$6,J6,1,2,1000000)</f>
        <v>1725948</v>
      </c>
      <c r="K119" s="326">
        <f>[1]!s_stmnote_bank_614($C$6,K6,1,2,1000000)</f>
        <v>0</v>
      </c>
    </row>
    <row r="120" spans="2:11" ht="13.5" x14ac:dyDescent="0.4">
      <c r="B120" s="257"/>
      <c r="C120" s="256" t="s">
        <v>328</v>
      </c>
      <c r="E120" s="326">
        <f>[1]!s_stmnote_bank_612($C$6,E6,1,2,1000000)</f>
        <v>422487</v>
      </c>
      <c r="F120" s="326">
        <f>[1]!s_stmnote_bank_612($C$6,F6,1,2,1000000)</f>
        <v>444369</v>
      </c>
      <c r="G120" s="326">
        <f>[1]!s_stmnote_bank_612($C$6,G6,1,2,1000000)</f>
        <v>491353</v>
      </c>
      <c r="H120" s="326">
        <f>[1]!s_stmnote_bank_612($C$6,H6,1,2,1000000)</f>
        <v>542124</v>
      </c>
      <c r="I120" s="326">
        <f>[1]!s_stmnote_bank_612($C$6,I6,1,2,1000000)</f>
        <v>594704</v>
      </c>
      <c r="J120" s="326">
        <f>[1]!s_stmnote_bank_612($C$6,J6,1,2,1000000)</f>
        <v>722225</v>
      </c>
      <c r="K120" s="326">
        <f>[1]!s_stmnote_bank_612($C$6,K6,1,2,1000000)</f>
        <v>0</v>
      </c>
    </row>
    <row r="121" spans="2:11" ht="13.5" x14ac:dyDescent="0.4">
      <c r="B121" s="263"/>
      <c r="C121" s="256" t="s">
        <v>329</v>
      </c>
      <c r="E121" s="498">
        <f t="shared" ref="E121:J121" si="22">E122+E123</f>
        <v>1672312</v>
      </c>
      <c r="F121" s="498">
        <f t="shared" si="22"/>
        <v>2024814</v>
      </c>
      <c r="G121" s="498">
        <f t="shared" si="22"/>
        <v>2278458</v>
      </c>
      <c r="H121" s="498">
        <f t="shared" si="22"/>
        <v>2086392</v>
      </c>
      <c r="I121" s="498">
        <f t="shared" si="22"/>
        <v>2452538</v>
      </c>
      <c r="J121" s="498">
        <f t="shared" si="22"/>
        <v>2275628</v>
      </c>
      <c r="K121" s="498">
        <f>K127*0.5177</f>
        <v>2556233.3121000002</v>
      </c>
    </row>
    <row r="122" spans="2:11" ht="13.5" x14ac:dyDescent="0.4">
      <c r="B122" s="263"/>
      <c r="C122" s="256" t="s">
        <v>327</v>
      </c>
      <c r="E122" s="326">
        <f>[1]!s_stmnote_bank_613($C$6,E6,1,2,1000000)</f>
        <v>1064194</v>
      </c>
      <c r="F122" s="326">
        <f>[1]!s_stmnote_bank_613($C$6,F6,1,2,1000000)</f>
        <v>1269520</v>
      </c>
      <c r="G122" s="326">
        <f>[1]!s_stmnote_bank_613($C$6,G6,1,2,1000000)</f>
        <v>1418855</v>
      </c>
      <c r="H122" s="326">
        <f>[1]!s_stmnote_bank_613($C$6,H6,1,2,1000000)</f>
        <v>1270614</v>
      </c>
      <c r="I122" s="326">
        <f>[1]!s_stmnote_bank_613($C$6,I6,1,2,1000000)</f>
        <v>1596635</v>
      </c>
      <c r="J122" s="326">
        <f>[1]!s_stmnote_bank_613($C$6,J6,1,2,1000000)</f>
        <v>1480293</v>
      </c>
      <c r="K122" s="326">
        <f>[1]!s_stmnote_bank_613($C$6,K6,1,2,1000000)</f>
        <v>0</v>
      </c>
    </row>
    <row r="123" spans="2:11" ht="13.5" x14ac:dyDescent="0.4">
      <c r="B123" s="263"/>
      <c r="C123" s="256" t="s">
        <v>328</v>
      </c>
      <c r="E123" s="326">
        <f>[1]!s_stmnote_bank_611($C$6,E6,1,2,1000000)</f>
        <v>608118</v>
      </c>
      <c r="F123" s="326">
        <f>[1]!s_stmnote_bank_611($C$6,F6,1,2,1000000)</f>
        <v>755294</v>
      </c>
      <c r="G123" s="326">
        <f>[1]!s_stmnote_bank_611($C$6,G6,1,2,1000000)</f>
        <v>859603</v>
      </c>
      <c r="H123" s="326">
        <f>[1]!s_stmnote_bank_611($C$6,H6,1,2,1000000)</f>
        <v>815778</v>
      </c>
      <c r="I123" s="326">
        <f>[1]!s_stmnote_bank_611($C$6,I6,1,2,1000000)</f>
        <v>855903</v>
      </c>
      <c r="J123" s="326">
        <f>[1]!s_stmnote_bank_611($C$6,J6,1,2,1000000)</f>
        <v>795335</v>
      </c>
      <c r="K123" s="326">
        <f>[1]!s_stmnote_bank_611($C$6,K6,1,2,1000000)</f>
        <v>0</v>
      </c>
    </row>
    <row r="124" spans="2:11" ht="13.5" x14ac:dyDescent="0.4">
      <c r="B124" s="263"/>
      <c r="C124" s="256" t="s">
        <v>330</v>
      </c>
      <c r="E124" s="345">
        <f>[1]!s_stmnote_bank_615($C$6,E6,1,2,1000000)</f>
        <v>4310</v>
      </c>
      <c r="F124" s="345">
        <f>[1]!s_stmnote_bank_615($C$6,F6,1,2,1000000)</f>
        <v>4981</v>
      </c>
      <c r="G124" s="345">
        <f>[1]!s_stmnote_bank_615($C$6,G6,1,2,1000000)</f>
        <v>5108</v>
      </c>
      <c r="H124" s="345">
        <f>[1]!s_stmnote_bank_615($C$6,H6,1,2,1000000)</f>
        <v>5495</v>
      </c>
      <c r="I124" s="345">
        <f>[1]!s_stmnote_bank_615($C$6,I6,1,2,1000000)</f>
        <v>3799</v>
      </c>
      <c r="J124" s="345">
        <f>[1]!s_stmnote_bank_615($C$6,J6,1,2,1000000)</f>
        <v>4788</v>
      </c>
      <c r="K124" s="345">
        <f>[1]!s_stmnote_bank_615($C$6,K6,1,2,1000000)</f>
        <v>2469</v>
      </c>
    </row>
    <row r="125" spans="2:11" ht="13.5" x14ac:dyDescent="0.4">
      <c r="B125" s="263"/>
      <c r="C125" s="265" t="s">
        <v>331</v>
      </c>
      <c r="E125" s="332">
        <f t="shared" ref="E125:J126" si="23">E119+E122</f>
        <v>2248317</v>
      </c>
      <c r="F125" s="332">
        <f t="shared" si="23"/>
        <v>2523768</v>
      </c>
      <c r="G125" s="332">
        <f t="shared" si="23"/>
        <v>2801769</v>
      </c>
      <c r="H125" s="332">
        <f t="shared" si="23"/>
        <v>2666271</v>
      </c>
      <c r="I125" s="332">
        <f t="shared" si="23"/>
        <v>3030408</v>
      </c>
      <c r="J125" s="332">
        <f t="shared" si="23"/>
        <v>3206241</v>
      </c>
      <c r="K125" s="332">
        <v>3310215</v>
      </c>
    </row>
    <row r="126" spans="2:11" ht="13.5" x14ac:dyDescent="0.4">
      <c r="B126" s="263"/>
      <c r="C126" s="256" t="s">
        <v>332</v>
      </c>
      <c r="E126" s="332">
        <f t="shared" si="23"/>
        <v>1030605</v>
      </c>
      <c r="F126" s="332">
        <f t="shared" si="23"/>
        <v>1199663</v>
      </c>
      <c r="G126" s="332">
        <f t="shared" si="23"/>
        <v>1350956</v>
      </c>
      <c r="H126" s="332">
        <f t="shared" si="23"/>
        <v>1357902</v>
      </c>
      <c r="I126" s="332">
        <f t="shared" si="23"/>
        <v>1450607</v>
      </c>
      <c r="J126" s="332">
        <f t="shared" si="23"/>
        <v>1517560</v>
      </c>
      <c r="K126" s="332">
        <f>K127*0.3291</f>
        <v>1624988.1843000001</v>
      </c>
    </row>
    <row r="127" spans="2:11" ht="13.9" thickBot="1" x14ac:dyDescent="0.45">
      <c r="B127" s="263"/>
      <c r="C127" s="266" t="s">
        <v>333</v>
      </c>
      <c r="E127" s="477">
        <f t="shared" ref="E127:K127" si="24">E40</f>
        <v>3283232</v>
      </c>
      <c r="F127" s="477">
        <f t="shared" si="24"/>
        <v>3728412</v>
      </c>
      <c r="G127" s="477">
        <f t="shared" si="24"/>
        <v>4157833</v>
      </c>
      <c r="H127" s="477">
        <f t="shared" si="24"/>
        <v>4029668</v>
      </c>
      <c r="I127" s="477">
        <f t="shared" si="24"/>
        <v>4484814</v>
      </c>
      <c r="J127" s="477">
        <f t="shared" si="24"/>
        <v>4728589</v>
      </c>
      <c r="K127" s="477">
        <f t="shared" si="24"/>
        <v>4937673</v>
      </c>
    </row>
    <row r="128" spans="2:11" s="231" customFormat="1" ht="13.5" x14ac:dyDescent="0.4">
      <c r="B128" s="267"/>
      <c r="C128" s="230" t="s">
        <v>281</v>
      </c>
      <c r="E128" s="349">
        <f t="shared" ref="E128:K128" si="25">IF(E119=0,0,E127-E118-E121-E124)</f>
        <v>0</v>
      </c>
      <c r="F128" s="349">
        <f t="shared" si="25"/>
        <v>0</v>
      </c>
      <c r="G128" s="349">
        <f t="shared" si="25"/>
        <v>0</v>
      </c>
      <c r="H128" s="349">
        <f t="shared" si="25"/>
        <v>0</v>
      </c>
      <c r="I128" s="349">
        <f t="shared" si="25"/>
        <v>0</v>
      </c>
      <c r="J128" s="349">
        <f t="shared" si="25"/>
        <v>0</v>
      </c>
      <c r="K128" s="349">
        <f t="shared" si="25"/>
        <v>0</v>
      </c>
    </row>
    <row r="129" spans="2:11" x14ac:dyDescent="0.4">
      <c r="B129" s="263"/>
      <c r="C129" s="263"/>
    </row>
    <row r="131" spans="2:11" ht="13.5" x14ac:dyDescent="0.4">
      <c r="B131" s="253" t="s">
        <v>334</v>
      </c>
    </row>
    <row r="132" spans="2:11" ht="13.5" thickBot="1" x14ac:dyDescent="0.45">
      <c r="B132" s="268"/>
      <c r="C132" s="198"/>
      <c r="E132" s="332">
        <f t="shared" ref="E132:F132" si="26">SUM(E134,E139,E144,E145)</f>
        <v>4011141</v>
      </c>
      <c r="F132" s="332">
        <f t="shared" si="26"/>
        <v>4743767</v>
      </c>
      <c r="G132" s="332">
        <f>SUM(G134,G139,G144,G145)</f>
        <v>5347120</v>
      </c>
      <c r="H132" s="332">
        <f t="shared" ref="H132:I132" si="27">SUM(H134,H139,H144,H145)</f>
        <v>5819540</v>
      </c>
      <c r="I132" s="332">
        <f t="shared" si="27"/>
        <v>6640863</v>
      </c>
      <c r="J132" s="332">
        <f>SUM(J134,J139,J144,J145)</f>
        <v>7474706</v>
      </c>
    </row>
    <row r="133" spans="2:11" ht="13.5" x14ac:dyDescent="0.4">
      <c r="B133" s="269"/>
      <c r="C133" s="270" t="s">
        <v>482</v>
      </c>
      <c r="E133" s="499">
        <f>[1]!s_stmnote_bank_57($C$6,E6,1,1000000)</f>
        <v>3961600</v>
      </c>
      <c r="F133" s="499">
        <f>[1]!s_stmnote_bank_57($C$6,F6,1,1000000)</f>
        <v>4638428</v>
      </c>
      <c r="G133" s="499">
        <f>[1]!s_stmnote_bank_57($C$6,G6,1,1000000)</f>
        <v>5193648</v>
      </c>
      <c r="H133" s="499">
        <f>[1]!s_stmnote_bank_57($C$6,H6,1,1000000)</f>
        <v>5720454</v>
      </c>
      <c r="I133" s="499">
        <f>[1]!s_stmnote_bank_57($C$6,I6,1,1000000)</f>
        <v>6505493</v>
      </c>
      <c r="J133" s="499">
        <f>[1]!s_stmnote_bank_57($C$6,J6,1,1000000)</f>
        <v>7170237</v>
      </c>
      <c r="K133" s="499">
        <f>[1]!s_stmnote_bank_57($C$6,K6,1,1000000)</f>
        <v>0</v>
      </c>
    </row>
    <row r="134" spans="2:11" ht="13.5" x14ac:dyDescent="0.4">
      <c r="B134" s="269"/>
      <c r="C134" s="272" t="s">
        <v>336</v>
      </c>
      <c r="E134" s="500">
        <f t="shared" ref="E134" si="28">E135+E138</f>
        <v>2412662</v>
      </c>
      <c r="F134" s="500">
        <f>F135+F138</f>
        <v>2834468</v>
      </c>
      <c r="G134" s="500">
        <f>G135+G138</f>
        <v>3179693</v>
      </c>
      <c r="H134" s="500">
        <f>H135+H138</f>
        <v>3400175</v>
      </c>
      <c r="I134" s="500">
        <f>I135+I138</f>
        <v>3715611</v>
      </c>
      <c r="J134" s="500">
        <f>J135+J138</f>
        <v>4003174</v>
      </c>
      <c r="K134" s="500"/>
    </row>
    <row r="135" spans="2:11" ht="13.5" x14ac:dyDescent="0.4">
      <c r="B135" s="257"/>
      <c r="C135" s="274" t="s">
        <v>318</v>
      </c>
      <c r="E135" s="488">
        <f t="shared" ref="E135:H135" si="29">E136+E137</f>
        <v>1987303</v>
      </c>
      <c r="F135" s="488">
        <f t="shared" si="29"/>
        <v>2323428</v>
      </c>
      <c r="G135" s="488">
        <f>G136+G137</f>
        <v>2538117</v>
      </c>
      <c r="H135" s="488">
        <f t="shared" si="29"/>
        <v>2612184</v>
      </c>
      <c r="I135" s="488">
        <f>I136+I137</f>
        <v>2791277</v>
      </c>
      <c r="J135" s="488">
        <f>J136+J137</f>
        <v>2945035</v>
      </c>
      <c r="K135" s="335"/>
    </row>
    <row r="136" spans="2:11" ht="13.5" x14ac:dyDescent="0.4">
      <c r="B136" s="257"/>
      <c r="C136" s="274" t="s">
        <v>337</v>
      </c>
      <c r="E136" s="326">
        <f>[1]!s_stmnote_bank_711($C$6,E6,1,2,1000000)</f>
        <v>1896631</v>
      </c>
      <c r="F136" s="326">
        <f>[1]!s_stmnote_bank_711($C$6,F6,1,2,1000000)</f>
        <v>2161691</v>
      </c>
      <c r="G136" s="326">
        <f>[1]!s_stmnote_bank_711($C$6,G6,1,2,1000000)</f>
        <v>2449486</v>
      </c>
      <c r="H136" s="326">
        <f>[1]!s_stmnote_bank_711($C$6,H6,1,2,1000000)</f>
        <v>2500848</v>
      </c>
      <c r="I136" s="326">
        <f>[1]!s_stmnote_bank_711($C$6,I6,1,2,1000000)</f>
        <v>2670427</v>
      </c>
      <c r="J136" s="326">
        <v>2786556</v>
      </c>
      <c r="K136" s="326">
        <f>[1]!s_stmnote_bank_711($C$6,K6,1,2,1000000)</f>
        <v>0</v>
      </c>
    </row>
    <row r="137" spans="2:11" ht="13.5" x14ac:dyDescent="0.4">
      <c r="B137" s="268"/>
      <c r="C137" s="274" t="s">
        <v>338</v>
      </c>
      <c r="E137" s="326">
        <f>[1]!s_stmnote_bank_713($C$6,E6,1,2,1000000)</f>
        <v>90672</v>
      </c>
      <c r="F137" s="326">
        <f>[1]!s_stmnote_bank_713($C$6,F6,1,2,1000000)</f>
        <v>161737</v>
      </c>
      <c r="G137" s="326">
        <f>[1]!s_stmnote_bank_713($C$6,G6,1,2,1000000)</f>
        <v>88631</v>
      </c>
      <c r="H137" s="326">
        <f>[1]!s_stmnote_bank_713($C$6,H6,1,2,1000000)</f>
        <v>111336</v>
      </c>
      <c r="I137" s="326">
        <f>[1]!s_stmnote_bank_713($C$6,I6,1,2,1000000)</f>
        <v>120850</v>
      </c>
      <c r="J137" s="326">
        <v>158479</v>
      </c>
      <c r="K137" s="326">
        <f>[1]!s_stmnote_bank_713($C$6,K6,1,2,1000000)</f>
        <v>0</v>
      </c>
    </row>
    <row r="138" spans="2:11" ht="13.5" x14ac:dyDescent="0.4">
      <c r="B138" s="268"/>
      <c r="C138" s="275" t="s">
        <v>339</v>
      </c>
      <c r="E138" s="327">
        <f>[1]!s_stmnote_bank_712($C$6,E6,1,2,1000000)</f>
        <v>425359</v>
      </c>
      <c r="F138" s="327">
        <f>[1]!s_stmnote_bank_712($C$6,F6,1,2,1000000)</f>
        <v>511040</v>
      </c>
      <c r="G138" s="327">
        <f>[1]!s_stmnote_bank_712($C$6,G6,1,2,1000000)</f>
        <v>641576</v>
      </c>
      <c r="H138" s="327">
        <f>[1]!s_stmnote_bank_712($C$6,H6,1,2,1000000)</f>
        <v>787991</v>
      </c>
      <c r="I138" s="327">
        <f>[1]!s_stmnote_bank_712($C$6,I6,1,2,1000000)</f>
        <v>924334</v>
      </c>
      <c r="J138" s="327">
        <v>1058139</v>
      </c>
      <c r="K138" s="327">
        <f>[1]!s_stmnote_bank_712($C$6,K6,1,2,1000000)</f>
        <v>0</v>
      </c>
    </row>
    <row r="139" spans="2:11" ht="13.5" x14ac:dyDescent="0.4">
      <c r="B139" s="268"/>
      <c r="C139" s="276" t="s">
        <v>340</v>
      </c>
      <c r="E139" s="501">
        <v>787230</v>
      </c>
      <c r="F139" s="501">
        <v>821064</v>
      </c>
      <c r="G139" s="501">
        <v>944953</v>
      </c>
      <c r="H139" s="501">
        <v>1085207</v>
      </c>
      <c r="I139" s="501">
        <v>1365768</v>
      </c>
      <c r="J139" s="501">
        <v>1917494</v>
      </c>
      <c r="K139" s="501"/>
    </row>
    <row r="140" spans="2:11" ht="13.5" x14ac:dyDescent="0.4">
      <c r="B140" s="268"/>
      <c r="C140" s="274" t="s">
        <v>341</v>
      </c>
      <c r="E140" s="337"/>
      <c r="F140" s="337"/>
      <c r="G140" s="337"/>
      <c r="H140" s="337"/>
      <c r="I140" s="337"/>
      <c r="J140" s="337"/>
      <c r="K140" s="337"/>
    </row>
    <row r="141" spans="2:11" ht="13.5" x14ac:dyDescent="0.4">
      <c r="B141" s="268"/>
      <c r="C141" s="274" t="s">
        <v>342</v>
      </c>
      <c r="E141" s="337"/>
      <c r="F141" s="337"/>
      <c r="G141" s="337"/>
      <c r="H141" s="337"/>
      <c r="I141" s="337"/>
      <c r="J141" s="337"/>
      <c r="K141" s="337"/>
    </row>
    <row r="142" spans="2:11" ht="13.5" x14ac:dyDescent="0.4">
      <c r="B142" s="268"/>
      <c r="C142" s="278" t="s">
        <v>343</v>
      </c>
      <c r="E142" s="337"/>
      <c r="F142" s="337"/>
      <c r="G142" s="337"/>
      <c r="H142" s="337"/>
      <c r="I142" s="337"/>
      <c r="J142" s="337"/>
      <c r="K142" s="337"/>
    </row>
    <row r="143" spans="2:11" ht="13.5" x14ac:dyDescent="0.4">
      <c r="B143" s="268"/>
      <c r="C143" s="275" t="s">
        <v>344</v>
      </c>
      <c r="E143" s="502"/>
      <c r="F143" s="502"/>
      <c r="G143" s="502"/>
      <c r="H143" s="502"/>
      <c r="I143" s="502"/>
      <c r="J143" s="502"/>
      <c r="K143" s="502"/>
    </row>
    <row r="144" spans="2:11" ht="13.5" x14ac:dyDescent="0.4">
      <c r="B144" s="268"/>
      <c r="C144" s="276" t="s">
        <v>345</v>
      </c>
      <c r="E144" s="503">
        <v>602978</v>
      </c>
      <c r="F144" s="503">
        <v>721792</v>
      </c>
      <c r="G144" s="503">
        <v>798207</v>
      </c>
      <c r="H144" s="503">
        <v>838772</v>
      </c>
      <c r="I144" s="503">
        <v>879938</v>
      </c>
      <c r="J144" s="503">
        <v>940872</v>
      </c>
      <c r="K144" s="503"/>
    </row>
    <row r="145" spans="2:11" ht="13.5" x14ac:dyDescent="0.4">
      <c r="B145" s="268"/>
      <c r="C145" s="272" t="s">
        <v>346</v>
      </c>
      <c r="E145" s="501">
        <v>208271</v>
      </c>
      <c r="F145" s="501">
        <v>366443</v>
      </c>
      <c r="G145" s="501">
        <v>424267</v>
      </c>
      <c r="H145" s="501">
        <v>495386</v>
      </c>
      <c r="I145" s="501">
        <v>679546</v>
      </c>
      <c r="J145" s="501">
        <v>613166</v>
      </c>
      <c r="K145" s="501"/>
    </row>
    <row r="146" spans="2:11" ht="13.5" x14ac:dyDescent="0.4">
      <c r="B146" s="268"/>
      <c r="C146" s="274" t="s">
        <v>347</v>
      </c>
      <c r="E146" s="336"/>
      <c r="F146" s="336"/>
      <c r="G146" s="336"/>
      <c r="H146" s="336"/>
      <c r="I146" s="336"/>
      <c r="J146" s="336"/>
      <c r="K146" s="336"/>
    </row>
    <row r="147" spans="2:11" ht="13.5" x14ac:dyDescent="0.4">
      <c r="B147" s="268"/>
      <c r="C147" s="274" t="s">
        <v>233</v>
      </c>
      <c r="E147" s="337"/>
      <c r="F147" s="337"/>
      <c r="G147" s="337"/>
      <c r="H147" s="337"/>
      <c r="I147" s="337"/>
      <c r="J147" s="337"/>
      <c r="K147" s="337"/>
    </row>
    <row r="148" spans="2:11" ht="13.5" x14ac:dyDescent="0.4">
      <c r="B148" s="268"/>
      <c r="C148" s="275" t="s">
        <v>348</v>
      </c>
      <c r="E148" s="485"/>
      <c r="F148" s="485"/>
      <c r="G148" s="485"/>
      <c r="H148" s="485"/>
      <c r="I148" s="485"/>
      <c r="J148" s="485"/>
      <c r="K148" s="485"/>
    </row>
    <row r="149" spans="2:11" ht="13.9" thickBot="1" x14ac:dyDescent="0.45">
      <c r="B149" s="268"/>
      <c r="C149" s="280" t="s">
        <v>349</v>
      </c>
      <c r="E149" s="504"/>
      <c r="F149" s="504"/>
      <c r="G149" s="504"/>
      <c r="H149" s="504"/>
      <c r="I149" s="504"/>
      <c r="J149" s="504"/>
      <c r="K149" s="504"/>
    </row>
    <row r="150" spans="2:11" x14ac:dyDescent="0.4">
      <c r="B150" s="268"/>
      <c r="C150" s="263"/>
      <c r="J150" s="213"/>
    </row>
    <row r="151" spans="2:11" ht="13.5" thickBot="1" x14ac:dyDescent="0.45">
      <c r="B151" s="278"/>
      <c r="C151" s="281"/>
      <c r="E151" s="213">
        <f t="shared" ref="E151:G151" si="30">E153+E161+E162</f>
        <v>3834442</v>
      </c>
      <c r="F151" s="213">
        <f t="shared" si="30"/>
        <v>4476277</v>
      </c>
      <c r="G151" s="213">
        <f t="shared" si="30"/>
        <v>4977695</v>
      </c>
      <c r="H151" s="213">
        <f>H153+H161+H162</f>
        <v>5432330</v>
      </c>
      <c r="I151" s="213">
        <f>I153+I161+I162</f>
        <v>6247814</v>
      </c>
      <c r="J151" s="213">
        <f>J153+J161+J162</f>
        <v>7032228</v>
      </c>
    </row>
    <row r="152" spans="2:11" ht="13.5" x14ac:dyDescent="0.4">
      <c r="B152" s="268"/>
      <c r="C152" s="282" t="s">
        <v>350</v>
      </c>
      <c r="E152" s="333">
        <f>[1]!s_stmnote_bank_59($C$6,E6,1,1000000)</f>
        <v>3784901</v>
      </c>
      <c r="F152" s="333">
        <f>[1]!s_stmnote_bank_59($C$6,F6,1,1000000)</f>
        <v>4370938</v>
      </c>
      <c r="G152" s="333">
        <f>[1]!s_stmnote_bank_59($C$6,G6,1,1000000)</f>
        <v>4824223</v>
      </c>
      <c r="H152" s="333">
        <f>[1]!s_stmnote_bank_59($C$6,H6,1,1000000)</f>
        <v>5333244</v>
      </c>
      <c r="I152" s="333">
        <f>[1]!s_stmnote_bank_59($C$6,I6,1,1000000)</f>
        <v>6112444</v>
      </c>
      <c r="J152" s="333">
        <f>[1]!s_stmnote_bank_59($C$6,J6,1,1000000)</f>
        <v>6727759</v>
      </c>
      <c r="K152" s="333">
        <f>[1]!s_stmnote_bank_59($C$6,K6,1,1000000)</f>
        <v>0</v>
      </c>
    </row>
    <row r="153" spans="2:11" ht="13.5" x14ac:dyDescent="0.4">
      <c r="B153" s="268"/>
      <c r="C153" s="272" t="s">
        <v>351</v>
      </c>
      <c r="E153" s="505">
        <v>2929032</v>
      </c>
      <c r="F153" s="505">
        <v>3321407</v>
      </c>
      <c r="G153" s="505">
        <v>3764700</v>
      </c>
      <c r="H153" s="505">
        <v>3984424</v>
      </c>
      <c r="I153" s="505">
        <v>4357575</v>
      </c>
      <c r="J153" s="505">
        <v>4645472</v>
      </c>
      <c r="K153" s="505"/>
    </row>
    <row r="154" spans="2:11" ht="13.5" x14ac:dyDescent="0.4">
      <c r="B154" s="268"/>
      <c r="C154" s="274" t="s">
        <v>326</v>
      </c>
      <c r="E154" s="332">
        <f t="shared" ref="E154:K154" si="31">E155+E156</f>
        <v>0</v>
      </c>
      <c r="F154" s="332">
        <f t="shared" si="31"/>
        <v>0</v>
      </c>
      <c r="G154" s="332">
        <f t="shared" si="31"/>
        <v>0</v>
      </c>
      <c r="H154" s="332">
        <f t="shared" si="31"/>
        <v>0</v>
      </c>
      <c r="I154" s="332">
        <f t="shared" si="31"/>
        <v>0</v>
      </c>
      <c r="J154" s="332">
        <f t="shared" si="31"/>
        <v>0</v>
      </c>
      <c r="K154" s="332">
        <f t="shared" si="31"/>
        <v>0</v>
      </c>
    </row>
    <row r="155" spans="2:11" ht="13.5" x14ac:dyDescent="0.4">
      <c r="B155" s="268"/>
      <c r="C155" s="274" t="s">
        <v>352</v>
      </c>
      <c r="E155" s="326">
        <f>[1]!s_stmnote_bank_624($C$6,E6,1,2,1000000)</f>
        <v>0</v>
      </c>
      <c r="F155" s="326">
        <f>[1]!s_stmnote_bank_624($C$6,F6,1,2,1000000)</f>
        <v>0</v>
      </c>
      <c r="G155" s="326">
        <f>[1]!s_stmnote_bank_624($C$6,G6,1,2,1000000)</f>
        <v>0</v>
      </c>
      <c r="H155" s="326">
        <f>[1]!s_stmnote_bank_624($C$6,H6,1,2,1000000)</f>
        <v>0</v>
      </c>
      <c r="I155" s="326">
        <f>[1]!s_stmnote_bank_624($C$6,I6,1,2,1000000)</f>
        <v>0</v>
      </c>
      <c r="J155" s="326">
        <f>[1]!s_stmnote_bank_624($C$6,J6,1,2,1000000)</f>
        <v>0</v>
      </c>
      <c r="K155" s="326">
        <f>[1]!s_stmnote_bank_624($C$6,K6,1,2,1000000)</f>
        <v>0</v>
      </c>
    </row>
    <row r="156" spans="2:11" ht="13.5" x14ac:dyDescent="0.4">
      <c r="B156" s="268"/>
      <c r="C156" s="274" t="s">
        <v>353</v>
      </c>
      <c r="E156" s="326">
        <f>[1]!s_stmnote_bank_622($C$6,E6,1,2,1000000)</f>
        <v>0</v>
      </c>
      <c r="F156" s="326">
        <f>[1]!s_stmnote_bank_622($C$6,F6,1,2,1000000)</f>
        <v>0</v>
      </c>
      <c r="G156" s="326">
        <f>[1]!s_stmnote_bank_622($C$6,G6,1,2,1000000)</f>
        <v>0</v>
      </c>
      <c r="H156" s="326">
        <f>[1]!s_stmnote_bank_622($C$6,H6,1,2,1000000)</f>
        <v>0</v>
      </c>
      <c r="I156" s="326">
        <f>[1]!s_stmnote_bank_622($C$6,I6,1,2,1000000)</f>
        <v>0</v>
      </c>
      <c r="J156" s="326">
        <f>[1]!s_stmnote_bank_622($C$6,J6,1,2,1000000)</f>
        <v>0</v>
      </c>
      <c r="K156" s="326">
        <f>[1]!s_stmnote_bank_622($C$6,K6,1,2,1000000)</f>
        <v>0</v>
      </c>
    </row>
    <row r="157" spans="2:11" ht="13.5" x14ac:dyDescent="0.4">
      <c r="B157" s="268"/>
      <c r="C157" s="274" t="s">
        <v>329</v>
      </c>
      <c r="E157" s="506">
        <f t="shared" ref="E157:K157" si="32">E158+E159</f>
        <v>0</v>
      </c>
      <c r="F157" s="506">
        <f t="shared" si="32"/>
        <v>0</v>
      </c>
      <c r="G157" s="506">
        <f t="shared" si="32"/>
        <v>0</v>
      </c>
      <c r="H157" s="506">
        <f t="shared" si="32"/>
        <v>0</v>
      </c>
      <c r="I157" s="506">
        <f t="shared" si="32"/>
        <v>0</v>
      </c>
      <c r="J157" s="506">
        <f>J158+J159</f>
        <v>0</v>
      </c>
      <c r="K157" s="506">
        <f t="shared" si="32"/>
        <v>0</v>
      </c>
    </row>
    <row r="158" spans="2:11" ht="13.5" x14ac:dyDescent="0.4">
      <c r="B158" s="268"/>
      <c r="C158" s="274" t="s">
        <v>354</v>
      </c>
      <c r="E158" s="326">
        <f>[1]!s_stmnote_bank_623($C$6,E6,1,2,1000000)</f>
        <v>0</v>
      </c>
      <c r="F158" s="326">
        <f>[1]!s_stmnote_bank_623($C$6,F6,1,2,1000000)</f>
        <v>0</v>
      </c>
      <c r="G158" s="326">
        <f>[1]!s_stmnote_bank_623($C$6,G6,1,2,1000000)</f>
        <v>0</v>
      </c>
      <c r="H158" s="326">
        <f>[1]!s_stmnote_bank_623($C$6,H6,1,2,1000000)</f>
        <v>0</v>
      </c>
      <c r="I158" s="326">
        <f>[1]!s_stmnote_bank_623($C$6,I6,1,2,1000000)</f>
        <v>0</v>
      </c>
      <c r="J158" s="326">
        <f>[1]!s_stmnote_bank_623($C$6,J6,1,2,1000000)</f>
        <v>0</v>
      </c>
      <c r="K158" s="326">
        <f>[1]!s_stmnote_bank_623($C$6,K6,1,2,1000000)</f>
        <v>0</v>
      </c>
    </row>
    <row r="159" spans="2:11" ht="13.5" x14ac:dyDescent="0.4">
      <c r="B159" s="268"/>
      <c r="C159" s="274" t="s">
        <v>355</v>
      </c>
      <c r="E159" s="326">
        <f>[1]!s_stmnote_bank_621($C$6,E6,1,2,1000000)</f>
        <v>0</v>
      </c>
      <c r="F159" s="326">
        <f>[1]!s_stmnote_bank_621($C$6,F6,1,2,1000000)</f>
        <v>0</v>
      </c>
      <c r="G159" s="326">
        <f>[1]!s_stmnote_bank_621($C$6,G6,1,2,1000000)</f>
        <v>0</v>
      </c>
      <c r="H159" s="326">
        <f>[1]!s_stmnote_bank_621($C$6,H6,1,2,1000000)</f>
        <v>0</v>
      </c>
      <c r="I159" s="326">
        <f>[1]!s_stmnote_bank_621($C$6,I6,1,2,1000000)</f>
        <v>0</v>
      </c>
      <c r="J159" s="326">
        <f>[1]!s_stmnote_bank_621($C$6,J6,1,2,1000000)</f>
        <v>0</v>
      </c>
      <c r="K159" s="326">
        <f>[1]!s_stmnote_bank_621($C$6,K6,1,2,1000000)</f>
        <v>0</v>
      </c>
    </row>
    <row r="160" spans="2:11" ht="13.5" x14ac:dyDescent="0.4">
      <c r="B160" s="268"/>
      <c r="C160" s="275" t="s">
        <v>483</v>
      </c>
      <c r="E160" s="327">
        <f>[1]!s_stmnote_bank_625($C$6,E6,1,2,1000000)</f>
        <v>0</v>
      </c>
      <c r="F160" s="327">
        <f>[1]!s_stmnote_bank_625($C$6,F6,1,2,1000000)</f>
        <v>0</v>
      </c>
      <c r="G160" s="327">
        <f>[1]!s_stmnote_bank_625($C$6,G6,1,2,1000000)</f>
        <v>0</v>
      </c>
      <c r="H160" s="327"/>
      <c r="I160" s="327"/>
      <c r="J160" s="327">
        <f>[1]!s_stmnote_bank_625($C$6,J6,1,2,1000000)</f>
        <v>0</v>
      </c>
      <c r="K160" s="327">
        <f>[1]!s_stmnote_bank_625($C$6,K6,1,2,1000000)</f>
        <v>0</v>
      </c>
    </row>
    <row r="161" spans="2:11" ht="13.5" x14ac:dyDescent="0.4">
      <c r="B161" s="268"/>
      <c r="C161" s="276" t="s">
        <v>357</v>
      </c>
      <c r="E161" s="505">
        <v>70989</v>
      </c>
      <c r="F161" s="505">
        <v>92348</v>
      </c>
      <c r="G161" s="505">
        <v>102133</v>
      </c>
      <c r="H161" s="505">
        <v>143510</v>
      </c>
      <c r="I161" s="505">
        <v>217610</v>
      </c>
      <c r="J161" s="505">
        <v>397461</v>
      </c>
      <c r="K161" s="505"/>
    </row>
    <row r="162" spans="2:11" ht="13.5" x14ac:dyDescent="0.4">
      <c r="B162" s="268"/>
      <c r="C162" s="285" t="s">
        <v>358</v>
      </c>
      <c r="E162" s="505">
        <v>834421</v>
      </c>
      <c r="F162" s="505">
        <v>1062522</v>
      </c>
      <c r="G162" s="505">
        <v>1110862</v>
      </c>
      <c r="H162" s="505">
        <v>1304396</v>
      </c>
      <c r="I162" s="505">
        <v>1672629</v>
      </c>
      <c r="J162" s="505">
        <v>1989295</v>
      </c>
      <c r="K162" s="505"/>
    </row>
    <row r="163" spans="2:11" ht="13.5" x14ac:dyDescent="0.4">
      <c r="B163" s="268"/>
      <c r="C163" s="274" t="s">
        <v>359</v>
      </c>
      <c r="E163" s="505"/>
      <c r="F163" s="505"/>
      <c r="G163" s="505"/>
      <c r="H163" s="505"/>
      <c r="I163" s="505"/>
      <c r="J163" s="505"/>
      <c r="K163" s="505"/>
    </row>
    <row r="164" spans="2:11" ht="13.5" x14ac:dyDescent="0.4">
      <c r="B164" s="268"/>
      <c r="C164" s="274" t="s">
        <v>254</v>
      </c>
      <c r="E164" s="336"/>
      <c r="F164" s="336"/>
      <c r="G164" s="336"/>
      <c r="H164" s="336"/>
      <c r="I164" s="336"/>
      <c r="J164" s="336"/>
      <c r="K164" s="336"/>
    </row>
    <row r="165" spans="2:11" ht="13.5" x14ac:dyDescent="0.4">
      <c r="B165" s="268"/>
      <c r="C165" s="274" t="s">
        <v>484</v>
      </c>
      <c r="E165" s="336"/>
      <c r="F165" s="336"/>
      <c r="G165" s="336"/>
      <c r="H165" s="336"/>
      <c r="I165" s="336"/>
      <c r="J165" s="336"/>
      <c r="K165" s="336"/>
    </row>
    <row r="166" spans="2:11" ht="13.5" x14ac:dyDescent="0.4">
      <c r="B166" s="268"/>
      <c r="C166" s="286" t="s">
        <v>361</v>
      </c>
      <c r="E166" s="507"/>
      <c r="F166" s="507"/>
      <c r="G166" s="507"/>
      <c r="H166" s="507"/>
      <c r="I166" s="507"/>
      <c r="J166" s="507"/>
      <c r="K166" s="507"/>
    </row>
    <row r="167" spans="2:11" ht="13.9" thickBot="1" x14ac:dyDescent="0.45">
      <c r="B167" s="268"/>
      <c r="C167" s="280" t="s">
        <v>362</v>
      </c>
      <c r="E167" s="504"/>
      <c r="F167" s="504"/>
      <c r="G167" s="504"/>
      <c r="H167" s="504"/>
      <c r="I167" s="504"/>
      <c r="J167" s="504"/>
      <c r="K167" s="504"/>
    </row>
    <row r="168" spans="2:11" x14ac:dyDescent="0.4">
      <c r="I168" s="508"/>
      <c r="J168" s="508"/>
    </row>
    <row r="169" spans="2:11" ht="13.5" x14ac:dyDescent="0.4">
      <c r="B169" s="253" t="s">
        <v>363</v>
      </c>
    </row>
    <row r="170" spans="2:11" ht="13.5" thickBot="1" x14ac:dyDescent="0.45">
      <c r="B170" s="268"/>
      <c r="C170" s="198"/>
      <c r="E170" s="213">
        <f t="shared" ref="E170:J170" si="33">E172+E177+E182+E183</f>
        <v>190872</v>
      </c>
      <c r="F170" s="213">
        <f t="shared" si="33"/>
        <v>240596</v>
      </c>
      <c r="G170" s="213">
        <f t="shared" si="33"/>
        <v>259292</v>
      </c>
      <c r="H170" s="213">
        <f t="shared" si="33"/>
        <v>288509</v>
      </c>
      <c r="I170" s="213">
        <f t="shared" si="33"/>
        <v>305126</v>
      </c>
      <c r="J170" s="213">
        <f t="shared" si="33"/>
        <v>289844</v>
      </c>
    </row>
    <row r="171" spans="2:11" ht="13.5" x14ac:dyDescent="0.4">
      <c r="B171" s="200"/>
      <c r="C171" s="270" t="s">
        <v>364</v>
      </c>
      <c r="E171" s="478">
        <f t="shared" ref="E171:K171" si="34">E69</f>
        <v>190872</v>
      </c>
      <c r="F171" s="478">
        <f t="shared" si="34"/>
        <v>240596</v>
      </c>
      <c r="G171" s="478">
        <f t="shared" si="34"/>
        <v>259292</v>
      </c>
      <c r="H171" s="478">
        <f t="shared" si="34"/>
        <v>288509</v>
      </c>
      <c r="I171" s="478">
        <f t="shared" si="34"/>
        <v>305126</v>
      </c>
      <c r="J171" s="478">
        <f t="shared" si="34"/>
        <v>289844</v>
      </c>
      <c r="K171" s="478">
        <f t="shared" si="34"/>
        <v>75988</v>
      </c>
    </row>
    <row r="172" spans="2:11" ht="13.5" x14ac:dyDescent="0.4">
      <c r="B172" s="269"/>
      <c r="C172" s="272" t="s">
        <v>365</v>
      </c>
      <c r="E172" s="509">
        <f>E173+E176</f>
        <v>147162</v>
      </c>
      <c r="F172" s="510">
        <f>F173+F176</f>
        <v>185821</v>
      </c>
      <c r="G172" s="510">
        <f t="shared" ref="G172:K172" si="35">G173+G176</f>
        <v>194847</v>
      </c>
      <c r="H172" s="510">
        <f t="shared" si="35"/>
        <v>211400</v>
      </c>
      <c r="I172" s="510">
        <f t="shared" si="35"/>
        <v>214127</v>
      </c>
      <c r="J172" s="510">
        <f t="shared" si="35"/>
        <v>189973</v>
      </c>
      <c r="K172" s="510">
        <f t="shared" si="35"/>
        <v>0</v>
      </c>
    </row>
    <row r="173" spans="2:11" ht="13.5" x14ac:dyDescent="0.4">
      <c r="B173" s="257"/>
      <c r="C173" s="274" t="s">
        <v>485</v>
      </c>
      <c r="E173" s="511">
        <f t="shared" ref="E173:I173" si="36">E174+E175</f>
        <v>121014</v>
      </c>
      <c r="F173" s="511">
        <f t="shared" si="36"/>
        <v>149643</v>
      </c>
      <c r="G173" s="511">
        <f t="shared" si="36"/>
        <v>150847</v>
      </c>
      <c r="H173" s="511">
        <f t="shared" si="36"/>
        <v>156836</v>
      </c>
      <c r="I173" s="511">
        <f t="shared" si="36"/>
        <v>153035</v>
      </c>
      <c r="J173" s="511">
        <f>J174+J175</f>
        <v>130531</v>
      </c>
      <c r="K173" s="511"/>
    </row>
    <row r="174" spans="2:11" ht="13.5" x14ac:dyDescent="0.4">
      <c r="B174" s="257"/>
      <c r="C174" s="274" t="s">
        <v>367</v>
      </c>
      <c r="E174" s="512">
        <f>[1]!s_stmnote_bank_721($C$6,E6,1,2,1000000)</f>
        <v>115072</v>
      </c>
      <c r="F174" s="512">
        <f>[1]!s_stmnote_bank_721($C$6,F6,1,2,1000000)</f>
        <v>140436</v>
      </c>
      <c r="G174" s="512">
        <f>[1]!s_stmnote_bank_721($C$6,G6,1,2,1000000)</f>
        <v>147106</v>
      </c>
      <c r="H174" s="512">
        <f>[1]!s_stmnote_bank_721($C$6,H6,1,2,1000000)</f>
        <v>151990</v>
      </c>
      <c r="I174" s="512">
        <f>[1]!s_stmnote_bank_721($C$6,I6,1,2,1000000)</f>
        <v>147946</v>
      </c>
      <c r="J174" s="512">
        <f>[1]!s_stmnote_bank_721($C$6,J6,1,2,1000000)</f>
        <v>125458</v>
      </c>
      <c r="K174" s="336"/>
    </row>
    <row r="175" spans="2:11" ht="13.5" x14ac:dyDescent="0.4">
      <c r="B175" s="268"/>
      <c r="C175" s="274" t="s">
        <v>338</v>
      </c>
      <c r="E175" s="356">
        <f>[1]!s_stmnote_bank_723($C$6,E6,1,2,1000000)</f>
        <v>5942</v>
      </c>
      <c r="F175" s="356">
        <f>[1]!s_stmnote_bank_723($C$6,F6,1,2,1000000)</f>
        <v>9207</v>
      </c>
      <c r="G175" s="356">
        <f>[1]!s_stmnote_bank_723($C$6,G6,1,2,1000000)</f>
        <v>3741</v>
      </c>
      <c r="H175" s="356">
        <f>[1]!s_stmnote_bank_723($C$6,H6,1,2,1000000)</f>
        <v>4846</v>
      </c>
      <c r="I175" s="356">
        <f>[1]!s_stmnote_bank_723($C$6,I6,1,2,1000000)</f>
        <v>5089</v>
      </c>
      <c r="J175" s="356">
        <f>[1]!s_stmnote_bank_723($C$6,J6,1,2,1000000)</f>
        <v>5073</v>
      </c>
      <c r="K175" s="337"/>
    </row>
    <row r="176" spans="2:11" ht="13.5" x14ac:dyDescent="0.4">
      <c r="B176" s="268"/>
      <c r="C176" s="275" t="s">
        <v>339</v>
      </c>
      <c r="E176" s="356">
        <f>[1]!s_stmnote_bank_722($C$6,E6,1,2,1000000)</f>
        <v>26148</v>
      </c>
      <c r="F176" s="356">
        <f>[1]!s_stmnote_bank_722($C$6,F6,1,2,1000000)</f>
        <v>36178</v>
      </c>
      <c r="G176" s="356">
        <f>[1]!s_stmnote_bank_722($C$6,G6,1,2,1000000)</f>
        <v>44000</v>
      </c>
      <c r="H176" s="356">
        <f>[1]!s_stmnote_bank_722($C$6,H6,1,2,1000000)</f>
        <v>54564</v>
      </c>
      <c r="I176" s="356">
        <f>[1]!s_stmnote_bank_722($C$6,I6,1,2,1000000)</f>
        <v>61092</v>
      </c>
      <c r="J176" s="356">
        <f>[1]!s_stmnote_bank_722($C$6,J6,1,2,1000000)</f>
        <v>59442</v>
      </c>
      <c r="K176" s="485"/>
    </row>
    <row r="177" spans="2:11" ht="13.5" x14ac:dyDescent="0.4">
      <c r="B177" s="268"/>
      <c r="C177" s="276" t="s">
        <v>340</v>
      </c>
      <c r="E177" s="501">
        <v>27282</v>
      </c>
      <c r="F177" s="501">
        <v>30810</v>
      </c>
      <c r="G177" s="501">
        <v>36506</v>
      </c>
      <c r="H177" s="501">
        <v>45154</v>
      </c>
      <c r="I177" s="501">
        <v>55318</v>
      </c>
      <c r="J177" s="501">
        <v>71144</v>
      </c>
      <c r="K177" s="501"/>
    </row>
    <row r="178" spans="2:11" ht="13.5" x14ac:dyDescent="0.4">
      <c r="B178" s="268"/>
      <c r="C178" s="274" t="s">
        <v>341</v>
      </c>
      <c r="E178" s="337"/>
      <c r="F178" s="337"/>
      <c r="G178" s="337"/>
      <c r="H178" s="337"/>
      <c r="I178" s="337"/>
      <c r="J178" s="337"/>
      <c r="K178" s="337"/>
    </row>
    <row r="179" spans="2:11" ht="13.5" x14ac:dyDescent="0.4">
      <c r="B179" s="268"/>
      <c r="C179" s="274" t="s">
        <v>342</v>
      </c>
      <c r="E179" s="337"/>
      <c r="F179" s="337"/>
      <c r="G179" s="337"/>
      <c r="H179" s="337"/>
      <c r="I179" s="337"/>
      <c r="J179" s="337"/>
      <c r="K179" s="337"/>
    </row>
    <row r="180" spans="2:11" ht="13.5" x14ac:dyDescent="0.4">
      <c r="B180" s="268"/>
      <c r="C180" s="278" t="s">
        <v>343</v>
      </c>
      <c r="E180" s="337"/>
      <c r="F180" s="337"/>
      <c r="G180" s="337"/>
      <c r="H180" s="337"/>
      <c r="I180" s="337"/>
      <c r="J180" s="337"/>
      <c r="K180" s="337"/>
    </row>
    <row r="181" spans="2:11" ht="13.5" x14ac:dyDescent="0.4">
      <c r="B181" s="268"/>
      <c r="C181" s="275" t="s">
        <v>344</v>
      </c>
      <c r="E181" s="502"/>
      <c r="F181" s="502"/>
      <c r="G181" s="502"/>
      <c r="H181" s="502"/>
      <c r="I181" s="502"/>
      <c r="J181" s="502"/>
      <c r="K181" s="502"/>
    </row>
    <row r="182" spans="2:11" ht="13.5" x14ac:dyDescent="0.4">
      <c r="B182" s="268"/>
      <c r="C182" s="276" t="s">
        <v>345</v>
      </c>
      <c r="E182" s="503">
        <v>9336</v>
      </c>
      <c r="F182" s="503">
        <v>11294</v>
      </c>
      <c r="G182" s="503">
        <v>12581</v>
      </c>
      <c r="H182" s="503">
        <v>13074</v>
      </c>
      <c r="I182" s="503">
        <v>12868</v>
      </c>
      <c r="J182" s="503">
        <v>13701</v>
      </c>
      <c r="K182" s="503"/>
    </row>
    <row r="183" spans="2:11" ht="13.5" x14ac:dyDescent="0.4">
      <c r="B183" s="268"/>
      <c r="C183" s="272" t="s">
        <v>346</v>
      </c>
      <c r="E183" s="513">
        <v>7092</v>
      </c>
      <c r="F183" s="503">
        <v>12671</v>
      </c>
      <c r="G183" s="513">
        <v>15358</v>
      </c>
      <c r="H183" s="513">
        <v>18881</v>
      </c>
      <c r="I183" s="513">
        <v>22813</v>
      </c>
      <c r="J183" s="513">
        <v>15026</v>
      </c>
      <c r="K183" s="513"/>
    </row>
    <row r="184" spans="2:11" ht="13.5" x14ac:dyDescent="0.4">
      <c r="B184" s="268"/>
      <c r="C184" s="274" t="s">
        <v>347</v>
      </c>
      <c r="E184" s="336"/>
      <c r="F184" s="336"/>
      <c r="G184" s="336"/>
      <c r="H184" s="336"/>
      <c r="I184" s="336"/>
      <c r="J184" s="336"/>
      <c r="K184" s="336"/>
    </row>
    <row r="185" spans="2:11" ht="13.5" x14ac:dyDescent="0.4">
      <c r="B185" s="268"/>
      <c r="C185" s="274" t="s">
        <v>233</v>
      </c>
      <c r="E185" s="337"/>
      <c r="F185" s="337"/>
      <c r="G185" s="337"/>
      <c r="H185" s="337"/>
      <c r="I185" s="337"/>
      <c r="J185" s="337"/>
      <c r="K185" s="337"/>
    </row>
    <row r="186" spans="2:11" ht="13.5" x14ac:dyDescent="0.4">
      <c r="B186" s="268"/>
      <c r="C186" s="275" t="s">
        <v>348</v>
      </c>
      <c r="E186" s="485"/>
      <c r="F186" s="485"/>
      <c r="G186" s="485"/>
      <c r="H186" s="485"/>
      <c r="I186" s="485"/>
      <c r="J186" s="485"/>
      <c r="K186" s="485"/>
    </row>
    <row r="187" spans="2:11" ht="13.9" thickBot="1" x14ac:dyDescent="0.45">
      <c r="B187" s="268"/>
      <c r="C187" s="280" t="s">
        <v>368</v>
      </c>
      <c r="E187" s="504"/>
      <c r="F187" s="504"/>
      <c r="G187" s="504"/>
      <c r="H187" s="504"/>
      <c r="I187" s="504"/>
      <c r="J187" s="504"/>
      <c r="K187" s="504"/>
    </row>
    <row r="188" spans="2:11" s="231" customFormat="1" ht="13.5" x14ac:dyDescent="0.4">
      <c r="B188" s="292"/>
      <c r="C188" s="230" t="s">
        <v>281</v>
      </c>
      <c r="E188" s="349">
        <v>0</v>
      </c>
      <c r="F188" s="349">
        <v>0</v>
      </c>
      <c r="G188" s="349">
        <v>0</v>
      </c>
      <c r="H188" s="349">
        <f t="shared" ref="H188:I188" si="37">IF(H172=0,0,H171-H172-H177-H182-H183-H187)</f>
        <v>0</v>
      </c>
      <c r="I188" s="349">
        <f t="shared" si="37"/>
        <v>0</v>
      </c>
      <c r="J188" s="349">
        <f>IF(J172=0,0,J171-J172-J177-J182-J183-J187)</f>
        <v>0</v>
      </c>
      <c r="K188" s="349">
        <v>0</v>
      </c>
    </row>
    <row r="189" spans="2:11" x14ac:dyDescent="0.4">
      <c r="B189" s="268"/>
      <c r="C189" s="263"/>
    </row>
    <row r="190" spans="2:11" ht="13.5" thickBot="1" x14ac:dyDescent="0.45">
      <c r="B190" s="278"/>
      <c r="C190" s="281"/>
      <c r="E190" s="213">
        <f t="shared" ref="E190:J190" si="38">E192+E200+E201</f>
        <v>-88271</v>
      </c>
      <c r="F190" s="213">
        <f t="shared" si="38"/>
        <v>-120470</v>
      </c>
      <c r="G190" s="213">
        <f t="shared" si="38"/>
        <v>-128634</v>
      </c>
      <c r="H190" s="213">
        <f t="shared" si="38"/>
        <v>-153733</v>
      </c>
      <c r="I190" s="213">
        <f t="shared" si="38"/>
        <v>-160954</v>
      </c>
      <c r="J190" s="213">
        <f t="shared" si="38"/>
        <v>-154973</v>
      </c>
      <c r="K190" s="213"/>
    </row>
    <row r="191" spans="2:11" ht="13.5" x14ac:dyDescent="0.4">
      <c r="B191" s="268"/>
      <c r="C191" s="282" t="s">
        <v>486</v>
      </c>
      <c r="E191" s="478">
        <f t="shared" ref="E191:K191" si="39">E70</f>
        <v>-88271</v>
      </c>
      <c r="F191" s="478">
        <f t="shared" si="39"/>
        <v>-120470</v>
      </c>
      <c r="G191" s="478">
        <f>G70</f>
        <v>-128634</v>
      </c>
      <c r="H191" s="478">
        <f>H70</f>
        <v>-153733</v>
      </c>
      <c r="I191" s="478">
        <f t="shared" si="39"/>
        <v>-160954</v>
      </c>
      <c r="J191" s="478">
        <f t="shared" si="39"/>
        <v>-154973</v>
      </c>
      <c r="K191" s="478">
        <f t="shared" si="39"/>
        <v>-44771</v>
      </c>
    </row>
    <row r="192" spans="2:11" ht="13.5" x14ac:dyDescent="0.4">
      <c r="B192" s="268"/>
      <c r="C192" s="272" t="s">
        <v>351</v>
      </c>
      <c r="E192" s="514">
        <v>-54396</v>
      </c>
      <c r="F192" s="514">
        <v>-72731</v>
      </c>
      <c r="G192" s="514">
        <v>-80671</v>
      </c>
      <c r="H192" s="514">
        <v>-93826</v>
      </c>
      <c r="I192" s="514">
        <v>-97743</v>
      </c>
      <c r="J192" s="514">
        <v>-86392</v>
      </c>
      <c r="K192" s="515"/>
    </row>
    <row r="193" spans="2:11" s="207" customFormat="1" ht="13.5" x14ac:dyDescent="0.4">
      <c r="B193" s="294"/>
      <c r="C193" s="295" t="s">
        <v>326</v>
      </c>
      <c r="E193" s="516">
        <f t="shared" ref="E193:I193" si="40">E194+E195</f>
        <v>0</v>
      </c>
      <c r="F193" s="516">
        <f t="shared" si="40"/>
        <v>0</v>
      </c>
      <c r="G193" s="516">
        <f t="shared" si="40"/>
        <v>0</v>
      </c>
      <c r="H193" s="516">
        <f t="shared" si="40"/>
        <v>0</v>
      </c>
      <c r="I193" s="516">
        <f t="shared" si="40"/>
        <v>0</v>
      </c>
      <c r="J193" s="516">
        <f>J194+J195</f>
        <v>0</v>
      </c>
      <c r="K193" s="516"/>
    </row>
    <row r="194" spans="2:11" ht="13.5" x14ac:dyDescent="0.4">
      <c r="B194" s="268"/>
      <c r="C194" s="274" t="s">
        <v>352</v>
      </c>
      <c r="E194" s="337">
        <f>-[1]!s_stmnote_bank_634($C$6,E6,1,2,1000000)</f>
        <v>0</v>
      </c>
      <c r="F194" s="337">
        <f>-[1]!s_stmnote_bank_634($C$6,F6,1,2,1000000)</f>
        <v>0</v>
      </c>
      <c r="G194" s="337">
        <f>-[1]!s_stmnote_bank_634($C$6,G6,1,2,1000000)</f>
        <v>0</v>
      </c>
      <c r="H194" s="337">
        <f>-[1]!s_stmnote_bank_634($C$6,H6,1,2,1000000)</f>
        <v>0</v>
      </c>
      <c r="I194" s="337">
        <f>-[1]!s_stmnote_bank_634($C$6,I6,1,2,1000000)</f>
        <v>0</v>
      </c>
      <c r="J194" s="337">
        <f>-[1]!s_stmnote_bank_634($C$6,J6,1,2,1000000)</f>
        <v>0</v>
      </c>
      <c r="K194" s="337"/>
    </row>
    <row r="195" spans="2:11" ht="13.5" x14ac:dyDescent="0.4">
      <c r="B195" s="268"/>
      <c r="C195" s="274" t="s">
        <v>353</v>
      </c>
      <c r="E195" s="337">
        <f>-[1]!s_stmnote_bank_632($C$6,E6,1,2,1000000)</f>
        <v>0</v>
      </c>
      <c r="F195" s="337">
        <f>-[1]!s_stmnote_bank_632($C$6,F6,1,2,1000000)</f>
        <v>0</v>
      </c>
      <c r="G195" s="337">
        <f>-[1]!s_stmnote_bank_632($C$6,G6,1,2,1000000)</f>
        <v>0</v>
      </c>
      <c r="H195" s="337">
        <f>-[1]!s_stmnote_bank_632($C$6,H6,1,2,1000000)</f>
        <v>0</v>
      </c>
      <c r="I195" s="337">
        <f>-[1]!s_stmnote_bank_632($C$6,I6,1,2,1000000)</f>
        <v>0</v>
      </c>
      <c r="J195" s="337">
        <f>-[1]!s_stmnote_bank_632($C$6,J6,1,2,1000000)</f>
        <v>0</v>
      </c>
      <c r="K195" s="337"/>
    </row>
    <row r="196" spans="2:11" s="207" customFormat="1" ht="13.5" x14ac:dyDescent="0.4">
      <c r="B196" s="294"/>
      <c r="C196" s="295" t="s">
        <v>329</v>
      </c>
      <c r="E196" s="517">
        <f t="shared" ref="E196:I196" si="41">E197+E198</f>
        <v>0</v>
      </c>
      <c r="F196" s="517">
        <f t="shared" si="41"/>
        <v>0</v>
      </c>
      <c r="G196" s="517">
        <f t="shared" si="41"/>
        <v>0</v>
      </c>
      <c r="H196" s="517">
        <f t="shared" si="41"/>
        <v>0</v>
      </c>
      <c r="I196" s="517">
        <f t="shared" si="41"/>
        <v>0</v>
      </c>
      <c r="J196" s="517">
        <f>J197+J198</f>
        <v>0</v>
      </c>
      <c r="K196" s="517"/>
    </row>
    <row r="197" spans="2:11" ht="13.5" x14ac:dyDescent="0.4">
      <c r="B197" s="268"/>
      <c r="C197" s="274" t="s">
        <v>354</v>
      </c>
      <c r="E197" s="337">
        <f>-[1]!s_stmnote_bank_633($C$6,E6,1,2,1000000)</f>
        <v>0</v>
      </c>
      <c r="F197" s="337">
        <f>-[1]!s_stmnote_bank_633($C$6,F6,1,2,1000000)</f>
        <v>0</v>
      </c>
      <c r="G197" s="337">
        <f>-[1]!s_stmnote_bank_633($C$6,G6,1,2,1000000)</f>
        <v>0</v>
      </c>
      <c r="H197" s="337">
        <f>-[1]!s_stmnote_bank_633($C$6,H6,1,2,1000000)</f>
        <v>0</v>
      </c>
      <c r="I197" s="337">
        <f>-[1]!s_stmnote_bank_633($C$6,I6,1,2,1000000)</f>
        <v>0</v>
      </c>
      <c r="J197" s="337">
        <f>-[1]!s_stmnote_bank_633($C$6,J6,1,2,1000000)</f>
        <v>0</v>
      </c>
      <c r="K197" s="337"/>
    </row>
    <row r="198" spans="2:11" ht="13.5" x14ac:dyDescent="0.4">
      <c r="B198" s="268"/>
      <c r="C198" s="274" t="s">
        <v>355</v>
      </c>
      <c r="E198" s="337">
        <f>-[1]!s_stmnote_bank_631($C$6,E6,1,2,1000000)</f>
        <v>0</v>
      </c>
      <c r="F198" s="337">
        <f>-[1]!s_stmnote_bank_631($C$6,F6,1,2,1000000)</f>
        <v>0</v>
      </c>
      <c r="G198" s="337">
        <f>-[1]!s_stmnote_bank_631($C$6,G6,1,2,1000000)</f>
        <v>0</v>
      </c>
      <c r="H198" s="337">
        <f>-[1]!s_stmnote_bank_631($C$6,H6,1,2,1000000)</f>
        <v>0</v>
      </c>
      <c r="I198" s="337">
        <f>-[1]!s_stmnote_bank_631($C$6,I6,1,2,1000000)</f>
        <v>0</v>
      </c>
      <c r="J198" s="337">
        <f>-[1]!s_stmnote_bank_631($C$6,J6,1,2,1000000)</f>
        <v>0</v>
      </c>
      <c r="K198" s="337"/>
    </row>
    <row r="199" spans="2:11" ht="13.5" x14ac:dyDescent="0.4">
      <c r="B199" s="268"/>
      <c r="C199" s="275" t="s">
        <v>483</v>
      </c>
      <c r="J199" s="517"/>
    </row>
    <row r="200" spans="2:11" ht="13.5" x14ac:dyDescent="0.4">
      <c r="B200" s="268"/>
      <c r="C200" s="276" t="s">
        <v>357</v>
      </c>
      <c r="E200" s="505">
        <v>-2426</v>
      </c>
      <c r="F200" s="505">
        <v>-3581</v>
      </c>
      <c r="G200" s="505">
        <v>-3935</v>
      </c>
      <c r="H200" s="505">
        <v>-5566</v>
      </c>
      <c r="I200" s="505">
        <v>-7999</v>
      </c>
      <c r="J200" s="505">
        <v>-12861</v>
      </c>
      <c r="K200" s="505"/>
    </row>
    <row r="201" spans="2:11" ht="13.5" x14ac:dyDescent="0.4">
      <c r="B201" s="268"/>
      <c r="C201" s="285" t="s">
        <v>358</v>
      </c>
      <c r="E201" s="518">
        <v>-31449</v>
      </c>
      <c r="F201" s="518">
        <v>-44158</v>
      </c>
      <c r="G201" s="518">
        <v>-44028</v>
      </c>
      <c r="H201" s="518">
        <v>-54341</v>
      </c>
      <c r="I201" s="518">
        <v>-55212</v>
      </c>
      <c r="J201" s="518">
        <v>-55720</v>
      </c>
      <c r="K201" s="518"/>
    </row>
    <row r="202" spans="2:11" ht="13.5" x14ac:dyDescent="0.4">
      <c r="B202" s="268"/>
      <c r="C202" s="274" t="s">
        <v>359</v>
      </c>
      <c r="E202" s="336"/>
      <c r="F202" s="336"/>
      <c r="G202" s="336"/>
      <c r="H202" s="336"/>
      <c r="I202" s="336"/>
      <c r="J202" s="336"/>
      <c r="K202" s="336"/>
    </row>
    <row r="203" spans="2:11" ht="13.5" x14ac:dyDescent="0.4">
      <c r="B203" s="268"/>
      <c r="C203" s="274" t="s">
        <v>254</v>
      </c>
      <c r="E203" s="337"/>
      <c r="F203" s="337"/>
      <c r="G203" s="337"/>
      <c r="H203" s="337"/>
      <c r="I203" s="337"/>
      <c r="J203" s="337"/>
      <c r="K203" s="337"/>
    </row>
    <row r="204" spans="2:11" ht="13.5" x14ac:dyDescent="0.4">
      <c r="B204" s="268"/>
      <c r="C204" s="274" t="s">
        <v>484</v>
      </c>
      <c r="E204" s="337"/>
      <c r="F204" s="337"/>
      <c r="G204" s="337"/>
      <c r="H204" s="337"/>
      <c r="I204" s="337"/>
      <c r="J204" s="337"/>
      <c r="K204" s="337"/>
    </row>
    <row r="205" spans="2:11" ht="13.5" x14ac:dyDescent="0.4">
      <c r="B205" s="268"/>
      <c r="C205" s="286" t="s">
        <v>361</v>
      </c>
      <c r="E205" s="507"/>
      <c r="F205" s="507"/>
      <c r="G205" s="507"/>
      <c r="H205" s="507"/>
      <c r="I205" s="507"/>
      <c r="J205" s="507"/>
      <c r="K205" s="507"/>
    </row>
    <row r="206" spans="2:11" ht="13.9" thickBot="1" x14ac:dyDescent="0.45">
      <c r="B206" s="268"/>
      <c r="C206" s="280" t="s">
        <v>371</v>
      </c>
      <c r="E206" s="519"/>
      <c r="F206" s="519"/>
      <c r="G206" s="519"/>
      <c r="H206" s="519"/>
      <c r="I206" s="519"/>
      <c r="J206" s="519"/>
      <c r="K206" s="519"/>
    </row>
    <row r="207" spans="2:11" s="301" customFormat="1" ht="13.5" x14ac:dyDescent="0.4">
      <c r="B207" s="300"/>
      <c r="C207" s="230" t="s">
        <v>281</v>
      </c>
      <c r="E207" s="349">
        <v>0</v>
      </c>
      <c r="F207" s="349">
        <v>0</v>
      </c>
      <c r="G207" s="349">
        <v>0</v>
      </c>
      <c r="H207" s="349">
        <f t="shared" ref="H207" si="42">IF(H192=0,0,H191-H192-H200-H201)</f>
        <v>0</v>
      </c>
      <c r="I207" s="349">
        <f>IF(I192=0,0,I191-I192-I200-I201)</f>
        <v>0</v>
      </c>
      <c r="J207" s="349">
        <f>IF(J192=0,0,J191-J192-J200-J201)</f>
        <v>0</v>
      </c>
      <c r="K207" s="349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372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373</v>
      </c>
      <c r="E212" s="304">
        <f>[1]!s_stmnote_bank_58($C$6,E6,1)/100</f>
        <v>4.7699999999999992E-2</v>
      </c>
      <c r="F212" s="304">
        <f>[1]!s_stmnote_bank_58($C$6,F6,1)/100</f>
        <v>5.0999999999999997E-2</v>
      </c>
      <c r="G212" s="304">
        <f>[1]!s_stmnote_bank_58($C$6,G6,1)/100</f>
        <v>4.8899999999999999E-2</v>
      </c>
      <c r="H212" s="305">
        <f t="shared" ref="H212:J213" si="43">H171/H133</f>
        <v>5.0434633335046483E-2</v>
      </c>
      <c r="I212" s="305">
        <f t="shared" si="43"/>
        <v>4.6902825043390252E-2</v>
      </c>
      <c r="J212" s="305">
        <f t="shared" si="43"/>
        <v>4.0423210557754226E-2</v>
      </c>
      <c r="K212" s="304"/>
    </row>
    <row r="213" spans="2:11" ht="13.5" x14ac:dyDescent="0.4">
      <c r="B213" s="269"/>
      <c r="C213" s="286" t="s">
        <v>365</v>
      </c>
      <c r="E213" s="306"/>
      <c r="F213" s="306"/>
      <c r="G213" s="306"/>
      <c r="H213" s="306">
        <f t="shared" si="43"/>
        <v>6.2173270493430487E-2</v>
      </c>
      <c r="I213" s="306">
        <f t="shared" si="43"/>
        <v>5.7629014447421974E-2</v>
      </c>
      <c r="J213" s="306">
        <f t="shared" si="43"/>
        <v>4.7455593986171975E-2</v>
      </c>
      <c r="K213" s="306"/>
    </row>
    <row r="214" spans="2:11" ht="13.5" x14ac:dyDescent="0.4">
      <c r="B214" s="257"/>
      <c r="C214" s="274" t="s">
        <v>318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319</v>
      </c>
      <c r="E215" s="306">
        <f t="shared" ref="E215:J218" si="44">E174/E136</f>
        <v>6.0671791191855451E-2</v>
      </c>
      <c r="F215" s="306">
        <f t="shared" si="44"/>
        <v>6.4965806861387684E-2</v>
      </c>
      <c r="G215" s="306">
        <f t="shared" si="44"/>
        <v>6.0055864781427611E-2</v>
      </c>
      <c r="H215" s="306">
        <f t="shared" si="44"/>
        <v>6.0775384989411589E-2</v>
      </c>
      <c r="I215" s="306">
        <f t="shared" si="44"/>
        <v>5.5401626781035392E-2</v>
      </c>
      <c r="J215" s="306">
        <f t="shared" si="44"/>
        <v>4.5022601376035511E-2</v>
      </c>
      <c r="K215" s="309"/>
    </row>
    <row r="216" spans="2:11" ht="13.5" x14ac:dyDescent="0.4">
      <c r="B216" s="268"/>
      <c r="C216" s="274" t="s">
        <v>338</v>
      </c>
      <c r="E216" s="306">
        <f t="shared" si="44"/>
        <v>6.5532909828833599E-2</v>
      </c>
      <c r="F216" s="306">
        <f t="shared" si="44"/>
        <v>5.692574982842516E-2</v>
      </c>
      <c r="G216" s="306">
        <f t="shared" si="44"/>
        <v>4.2208708014125983E-2</v>
      </c>
      <c r="H216" s="306">
        <f t="shared" si="44"/>
        <v>4.3525903571171948E-2</v>
      </c>
      <c r="I216" s="306">
        <f t="shared" si="44"/>
        <v>4.2110053785684734E-2</v>
      </c>
      <c r="J216" s="306">
        <f t="shared" si="44"/>
        <v>3.2010550293729768E-2</v>
      </c>
      <c r="K216" s="309"/>
    </row>
    <row r="217" spans="2:11" ht="13.5" x14ac:dyDescent="0.4">
      <c r="B217" s="268"/>
      <c r="C217" s="275" t="s">
        <v>339</v>
      </c>
      <c r="E217" s="306">
        <f t="shared" si="44"/>
        <v>6.1472779463935173E-2</v>
      </c>
      <c r="F217" s="306">
        <f t="shared" si="44"/>
        <v>7.0792892924232936E-2</v>
      </c>
      <c r="G217" s="306">
        <f t="shared" si="44"/>
        <v>6.8581118994476109E-2</v>
      </c>
      <c r="H217" s="306">
        <f t="shared" si="44"/>
        <v>6.9244445685293365E-2</v>
      </c>
      <c r="I217" s="306">
        <f t="shared" si="44"/>
        <v>6.609299235990454E-2</v>
      </c>
      <c r="J217" s="306">
        <f t="shared" si="44"/>
        <v>5.6175984440607521E-2</v>
      </c>
      <c r="K217" s="310"/>
    </row>
    <row r="218" spans="2:11" ht="13.5" x14ac:dyDescent="0.4">
      <c r="B218" s="268"/>
      <c r="C218" s="311" t="s">
        <v>340</v>
      </c>
      <c r="E218" s="307"/>
      <c r="F218" s="307"/>
      <c r="G218" s="307"/>
      <c r="H218" s="308">
        <f t="shared" si="44"/>
        <v>4.1608651621303588E-2</v>
      </c>
      <c r="I218" s="308">
        <f t="shared" si="44"/>
        <v>4.0503218701858586E-2</v>
      </c>
      <c r="J218" s="308">
        <f t="shared" si="44"/>
        <v>3.7102593280604793E-2</v>
      </c>
      <c r="K218" s="307"/>
    </row>
    <row r="219" spans="2:11" ht="13.5" x14ac:dyDescent="0.4">
      <c r="B219" s="268"/>
      <c r="C219" s="274" t="s">
        <v>341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342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343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344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345</v>
      </c>
      <c r="E223" s="312"/>
      <c r="F223" s="308">
        <f t="shared" ref="F223:J224" si="45">F182/F144</f>
        <v>1.5647167050895548E-2</v>
      </c>
      <c r="G223" s="308">
        <f t="shared" si="45"/>
        <v>1.5761575631383837E-2</v>
      </c>
      <c r="H223" s="308">
        <f t="shared" si="45"/>
        <v>1.5587072529841244E-2</v>
      </c>
      <c r="I223" s="308">
        <f t="shared" si="45"/>
        <v>1.4623757582920616E-2</v>
      </c>
      <c r="J223" s="308">
        <f t="shared" si="45"/>
        <v>1.4562023314542254E-2</v>
      </c>
      <c r="K223" s="312"/>
    </row>
    <row r="224" spans="2:11" ht="13.5" x14ac:dyDescent="0.4">
      <c r="B224" s="268"/>
      <c r="C224" s="286" t="s">
        <v>346</v>
      </c>
      <c r="E224" s="306"/>
      <c r="F224" s="308">
        <f t="shared" si="45"/>
        <v>3.457836553024618E-2</v>
      </c>
      <c r="G224" s="308">
        <f t="shared" si="45"/>
        <v>3.6198903049259074E-2</v>
      </c>
      <c r="H224" s="308">
        <f t="shared" si="45"/>
        <v>3.8113713346763937E-2</v>
      </c>
      <c r="I224" s="308">
        <f t="shared" si="45"/>
        <v>3.3570942953089267E-2</v>
      </c>
      <c r="J224" s="308">
        <f t="shared" si="45"/>
        <v>2.4505598810110149E-2</v>
      </c>
      <c r="K224" s="306"/>
    </row>
    <row r="225" spans="2:11" ht="13.5" x14ac:dyDescent="0.4">
      <c r="B225" s="292"/>
      <c r="C225" s="274" t="s">
        <v>347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233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348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374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375</v>
      </c>
      <c r="E231" s="314">
        <f>[1]!s_stmnote_bank_60($C$6,E6,1)/100</f>
        <v>2.2799999999999997E-2</v>
      </c>
      <c r="F231" s="314">
        <f>[1]!s_stmnote_bank_60($C$6,F6,1)/100</f>
        <v>2.6699999999999998E-2</v>
      </c>
      <c r="G231" s="314">
        <f>[1]!s_stmnote_bank_60($C$6,G6,1)/100</f>
        <v>2.5600000000000001E-2</v>
      </c>
      <c r="H231" s="314">
        <f>[1]!s_stmnote_bank_60($C$6,H6,1)/100</f>
        <v>2.8199999999999999E-2</v>
      </c>
      <c r="I231" s="314">
        <f>[1]!s_stmnote_bank_60($C$6,I6,1)/100</f>
        <v>2.5699999999999997E-2</v>
      </c>
      <c r="J231" s="314">
        <f>[1]!s_stmnote_bank_60($C$6,J6,1)/100</f>
        <v>2.1700000000000001E-2</v>
      </c>
      <c r="K231" s="314"/>
    </row>
    <row r="232" spans="2:11" ht="13.5" x14ac:dyDescent="0.4">
      <c r="B232" s="268"/>
      <c r="C232" s="315" t="s">
        <v>351</v>
      </c>
      <c r="E232" s="520"/>
      <c r="F232" s="308">
        <f>-F192/F153</f>
        <v>2.1897647593324153E-2</v>
      </c>
      <c r="G232" s="308">
        <f>-G192/G153</f>
        <v>2.1428267856668525E-2</v>
      </c>
      <c r="H232" s="308">
        <f>-H192/H153</f>
        <v>2.3548196677863602E-2</v>
      </c>
      <c r="I232" s="308">
        <f t="shared" ref="I232" si="46">-I192/I153</f>
        <v>2.2430594998364917E-2</v>
      </c>
      <c r="J232" s="308">
        <f>-J192/J153</f>
        <v>1.8597033842847402E-2</v>
      </c>
      <c r="K232" s="308"/>
    </row>
    <row r="233" spans="2:11" s="244" customFormat="1" ht="13.5" x14ac:dyDescent="0.4">
      <c r="B233" s="269"/>
      <c r="C233" s="278" t="s">
        <v>326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352</v>
      </c>
      <c r="E234" s="312" t="e">
        <f t="shared" ref="E234:J238" si="47">-E194/E155</f>
        <v>#DIV/0!</v>
      </c>
      <c r="F234" s="312" t="e">
        <f t="shared" si="47"/>
        <v>#DIV/0!</v>
      </c>
      <c r="G234" s="312" t="e">
        <f t="shared" si="47"/>
        <v>#DIV/0!</v>
      </c>
      <c r="H234" s="312" t="e">
        <f t="shared" si="47"/>
        <v>#DIV/0!</v>
      </c>
      <c r="I234" s="312" t="e">
        <f t="shared" si="47"/>
        <v>#DIV/0!</v>
      </c>
      <c r="J234" s="312" t="e">
        <f t="shared" si="47"/>
        <v>#DIV/0!</v>
      </c>
      <c r="K234" s="309"/>
    </row>
    <row r="235" spans="2:11" s="244" customFormat="1" ht="13.5" x14ac:dyDescent="0.4">
      <c r="B235" s="269"/>
      <c r="C235" s="278" t="s">
        <v>353</v>
      </c>
      <c r="E235" s="312" t="e">
        <f t="shared" si="47"/>
        <v>#DIV/0!</v>
      </c>
      <c r="F235" s="312" t="e">
        <f t="shared" si="47"/>
        <v>#DIV/0!</v>
      </c>
      <c r="G235" s="312" t="e">
        <f t="shared" si="47"/>
        <v>#DIV/0!</v>
      </c>
      <c r="H235" s="312" t="e">
        <f t="shared" si="47"/>
        <v>#DIV/0!</v>
      </c>
      <c r="I235" s="312" t="e">
        <f t="shared" si="47"/>
        <v>#DIV/0!</v>
      </c>
      <c r="J235" s="312" t="e">
        <f t="shared" si="47"/>
        <v>#DIV/0!</v>
      </c>
      <c r="K235" s="309"/>
    </row>
    <row r="236" spans="2:11" s="244" customFormat="1" ht="13.5" x14ac:dyDescent="0.4">
      <c r="B236" s="269"/>
      <c r="C236" s="278" t="s">
        <v>329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354</v>
      </c>
      <c r="E237" s="312" t="e">
        <f t="shared" si="47"/>
        <v>#DIV/0!</v>
      </c>
      <c r="F237" s="312" t="e">
        <f t="shared" si="47"/>
        <v>#DIV/0!</v>
      </c>
      <c r="G237" s="312" t="e">
        <f t="shared" si="47"/>
        <v>#DIV/0!</v>
      </c>
      <c r="H237" s="312" t="e">
        <f t="shared" si="47"/>
        <v>#DIV/0!</v>
      </c>
      <c r="I237" s="312" t="e">
        <f t="shared" si="47"/>
        <v>#DIV/0!</v>
      </c>
      <c r="J237" s="312" t="e">
        <f t="shared" si="47"/>
        <v>#DIV/0!</v>
      </c>
      <c r="K237" s="309"/>
    </row>
    <row r="238" spans="2:11" s="244" customFormat="1" ht="13.5" x14ac:dyDescent="0.4">
      <c r="B238" s="269"/>
      <c r="C238" s="278" t="s">
        <v>355</v>
      </c>
      <c r="E238" s="312" t="e">
        <f t="shared" si="47"/>
        <v>#DIV/0!</v>
      </c>
      <c r="F238" s="312" t="e">
        <f t="shared" si="47"/>
        <v>#DIV/0!</v>
      </c>
      <c r="G238" s="312" t="e">
        <f t="shared" si="47"/>
        <v>#DIV/0!</v>
      </c>
      <c r="H238" s="312" t="e">
        <f t="shared" si="47"/>
        <v>#DIV/0!</v>
      </c>
      <c r="I238" s="312" t="e">
        <f t="shared" si="47"/>
        <v>#DIV/0!</v>
      </c>
      <c r="J238" s="312" t="e">
        <f t="shared" si="47"/>
        <v>#DIV/0!</v>
      </c>
      <c r="K238" s="309"/>
    </row>
    <row r="239" spans="2:11" ht="13.5" x14ac:dyDescent="0.4">
      <c r="B239" s="268"/>
      <c r="C239" s="275" t="s">
        <v>330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357</v>
      </c>
      <c r="E240" s="306"/>
      <c r="F240" s="306">
        <f t="shared" ref="F240:J245" si="48">-F200/F161</f>
        <v>3.8777233941179018E-2</v>
      </c>
      <c r="G240" s="306">
        <f t="shared" si="48"/>
        <v>3.8528193629874773E-2</v>
      </c>
      <c r="H240" s="306">
        <f t="shared" si="48"/>
        <v>3.8784753675702041E-2</v>
      </c>
      <c r="I240" s="306">
        <f t="shared" si="48"/>
        <v>3.6758421028445384E-2</v>
      </c>
      <c r="J240" s="306">
        <f t="shared" si="48"/>
        <v>3.2357891717677958E-2</v>
      </c>
      <c r="K240" s="306"/>
    </row>
    <row r="241" spans="2:11" ht="13.5" x14ac:dyDescent="0.4">
      <c r="B241" s="268"/>
      <c r="C241" s="285" t="s">
        <v>358</v>
      </c>
      <c r="E241" s="306"/>
      <c r="F241" s="306">
        <f t="shared" si="48"/>
        <v>4.1559610059838763E-2</v>
      </c>
      <c r="G241" s="306">
        <f t="shared" si="48"/>
        <v>3.9634085962072699E-2</v>
      </c>
      <c r="H241" s="306">
        <f t="shared" si="48"/>
        <v>4.165989469455595E-2</v>
      </c>
      <c r="I241" s="306">
        <f t="shared" si="48"/>
        <v>3.3009113198443886E-2</v>
      </c>
      <c r="J241" s="306">
        <f t="shared" si="48"/>
        <v>2.800992311346482E-2</v>
      </c>
      <c r="K241" s="306"/>
    </row>
    <row r="242" spans="2:11" ht="13.5" x14ac:dyDescent="0.4">
      <c r="B242" s="268"/>
      <c r="C242" s="274" t="s">
        <v>359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254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484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487</v>
      </c>
      <c r="E245" s="318"/>
      <c r="F245" s="318"/>
      <c r="G245" s="318"/>
      <c r="H245" s="306" t="e">
        <f t="shared" ref="H245" si="49">-H205/H166</f>
        <v>#DIV/0!</v>
      </c>
      <c r="I245" s="306" t="e">
        <f t="shared" si="48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377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378</v>
      </c>
      <c r="E248" s="320">
        <f>[1]!s_stmnote_bank_144n($C$6,E6,1)/100</f>
        <v>2.5899999999999999E-2</v>
      </c>
      <c r="F248" s="320">
        <f>[1]!s_stmnote_bank_144n($C$6,F6,1)/100</f>
        <v>2.5899999999999999E-2</v>
      </c>
      <c r="G248" s="320">
        <f>[1]!s_stmnote_bank_144n($C$6,G6,1)/100</f>
        <v>2.52E-2</v>
      </c>
      <c r="H248" s="320">
        <f>[1]!s_stmnote_bank_144n($C$6,H6,1)/100</f>
        <v>2.3599999999999999E-2</v>
      </c>
      <c r="I248" s="320">
        <f>[1]!s_stmnote_bank_144n($C$6,I6,1)/100</f>
        <v>2.2200000000000001E-2</v>
      </c>
      <c r="J248" s="320">
        <f>[1]!s_stmnote_bank_144n($C$6,J6,1)/100</f>
        <v>1.8799999999999997E-2</v>
      </c>
      <c r="K248" s="320"/>
    </row>
    <row r="249" spans="2:11" ht="13.5" x14ac:dyDescent="0.4">
      <c r="C249" s="189" t="s">
        <v>379</v>
      </c>
      <c r="E249" s="321">
        <f t="shared" ref="E249:I249" si="50">E212-E231</f>
        <v>2.4899999999999995E-2</v>
      </c>
      <c r="F249" s="321">
        <f t="shared" si="50"/>
        <v>2.4299999999999999E-2</v>
      </c>
      <c r="G249" s="321">
        <f t="shared" si="50"/>
        <v>2.3299999999999998E-2</v>
      </c>
      <c r="H249" s="321">
        <f>H212-H231</f>
        <v>2.2234633335046484E-2</v>
      </c>
      <c r="I249" s="321">
        <f t="shared" si="50"/>
        <v>2.1202825043390255E-2</v>
      </c>
      <c r="J249" s="321">
        <f>J212-J231</f>
        <v>1.8723210557754225E-2</v>
      </c>
      <c r="K249" s="321"/>
    </row>
    <row r="250" spans="2:11" ht="13.5" x14ac:dyDescent="0.4">
      <c r="C250" s="226" t="s">
        <v>380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381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382</v>
      </c>
    </row>
    <row r="254" spans="2:11" ht="13.5" x14ac:dyDescent="0.4">
      <c r="C254" s="218" t="s">
        <v>383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416961</v>
      </c>
      <c r="H254" s="325">
        <f>[1]!s_stmnote_bank_coretier1cap($C$6,H6,1,1000000)</f>
        <v>470456</v>
      </c>
      <c r="I254" s="325">
        <f>[1]!s_stmnote_bank_coretier1cap($C$6,I6,1,1000000)</f>
        <v>518487</v>
      </c>
      <c r="J254" s="325">
        <f>[1]!s_stmnote_bank_coretier1cap($C$6,J6,1,1000000)</f>
        <v>568131</v>
      </c>
      <c r="K254" s="325">
        <f>[1]!s_stmnote_bank_coretier1cap($C$6,K6,1,1000000)</f>
        <v>587078</v>
      </c>
    </row>
    <row r="255" spans="2:11" ht="13.5" x14ac:dyDescent="0.4">
      <c r="C255" s="244" t="s">
        <v>384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416965</v>
      </c>
      <c r="H255" s="326">
        <f>[1]!s_stmnote_bank_tier1cap($C$6,H6,1,1000000)</f>
        <v>470466</v>
      </c>
      <c r="I255" s="326">
        <f>[1]!s_stmnote_bank_tier1cap($C$6,I6,1,1000000)</f>
        <v>533430</v>
      </c>
      <c r="J255" s="326">
        <f>[1]!s_stmnote_bank_tier1cap($C$6,J6,1,1000000)</f>
        <v>628051</v>
      </c>
      <c r="K255" s="326">
        <f>[1]!s_stmnote_bank_tier1cap($C$6,K6,1,1000000)</f>
        <v>647014</v>
      </c>
    </row>
    <row r="256" spans="2:11" ht="13.5" x14ac:dyDescent="0.4">
      <c r="C256" s="183" t="s">
        <v>385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516482</v>
      </c>
      <c r="H256" s="326">
        <f>[1]!s_stmnote_bank_netequitycap($C$6,H6,1,1000000)</f>
        <v>584502</v>
      </c>
      <c r="I256" s="326">
        <f>[1]!s_stmnote_bank_netequitycap($C$6,I6,1,1000000)</f>
        <v>627862</v>
      </c>
      <c r="J256" s="326">
        <f>[1]!s_stmnote_bank_netequitycap($C$6,J6,1,1000000)</f>
        <v>723961</v>
      </c>
      <c r="K256" s="326">
        <f>[1]!s_stmnote_bank_netequitycap($C$6,K6,1,1000000)</f>
        <v>733585</v>
      </c>
    </row>
    <row r="257" spans="2:11" ht="13.5" x14ac:dyDescent="0.4">
      <c r="C257" s="224" t="s">
        <v>386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4274068</v>
      </c>
      <c r="H257" s="327">
        <f>[1]!s_stmnote_bank_rweightedassets($C$6,H6,1,1000000)</f>
        <v>4164477</v>
      </c>
      <c r="I257" s="327">
        <f>[1]!s_stmnote_bank_rweightedassets($C$6,I6,1,1000000)</f>
        <v>4653723</v>
      </c>
      <c r="J257" s="327">
        <f>[1]!s_stmnote_bank_rweightedassets($C$6,J6,1,1000000)</f>
        <v>5163250</v>
      </c>
      <c r="K257" s="327">
        <f>[1]!s_stmnote_bank_rweightedassets($C$6,K6,1,1000000)</f>
        <v>5378290</v>
      </c>
    </row>
    <row r="258" spans="2:11" ht="13.5" x14ac:dyDescent="0.4">
      <c r="C258" s="212" t="s">
        <v>387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9.7599999999999992E-2</v>
      </c>
      <c r="H258" s="328">
        <f>[1]!s_stmnote_bank_capadequacyratio_ct1($C$6,H6,1)/100</f>
        <v>0.113</v>
      </c>
      <c r="I258" s="328">
        <f>[1]!s_stmnote_bank_capadequacyratio_ct1($C$6,I6,1)/100</f>
        <v>0.1114</v>
      </c>
      <c r="J258" s="328">
        <f>[1]!s_stmnote_bank_capadequacyratio_ct1($C$6,J6,1)/100</f>
        <v>0.11</v>
      </c>
      <c r="K258" s="328">
        <f>[1]!s_stmnote_bank_capadequacyratio_ct1($C$6,K6,1)/100</f>
        <v>0.10920000000000001</v>
      </c>
    </row>
    <row r="259" spans="2:11" ht="13.5" x14ac:dyDescent="0.4">
      <c r="C259" s="212" t="s">
        <v>388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9.7599999999999992E-2</v>
      </c>
      <c r="H259" s="329">
        <f>[1]!s_stmnote_bank_capadequacyratio_t1($C$6,H6,1)/100</f>
        <v>0.113</v>
      </c>
      <c r="I259" s="329">
        <f>[1]!s_stmnote_bank_capadequacyratio_t1($C$6,I6,1)/100</f>
        <v>0.11460000000000001</v>
      </c>
      <c r="J259" s="329">
        <f>[1]!s_stmnote_bank_capadequacyratio_t1($C$6,J6,1)/100</f>
        <v>0.1216</v>
      </c>
      <c r="K259" s="329">
        <f>[1]!s_stmnote_bank_capadequacyratio_t1($C$6,K6,1)/100</f>
        <v>0.12029999999999999</v>
      </c>
    </row>
    <row r="260" spans="2:11" ht="13.9" thickBot="1" x14ac:dyDescent="0.45">
      <c r="C260" s="228" t="s">
        <v>389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0.1208</v>
      </c>
      <c r="H260" s="330">
        <f>[1]!s_stmnote_bank_capadequacyratio($C$6,H6,1)/100</f>
        <v>0.1404</v>
      </c>
      <c r="I260" s="330">
        <f>[1]!s_stmnote_bank_capadequacyratio($C$6,I6,1)/100</f>
        <v>0.13489999999999999</v>
      </c>
      <c r="J260" s="330">
        <f>[1]!s_stmnote_bank_capadequacyratio($C$6,J6,1)/100</f>
        <v>0.14019999999999999</v>
      </c>
      <c r="K260" s="330">
        <f>[1]!s_stmnote_bank_capadequacyratio($C$6,K6,1)/100</f>
        <v>0.13639999999999999</v>
      </c>
    </row>
    <row r="263" spans="2:11" ht="13.5" x14ac:dyDescent="0.4">
      <c r="B263" s="253" t="s">
        <v>390</v>
      </c>
      <c r="C263" s="331"/>
    </row>
    <row r="264" spans="2:11" ht="13.5" thickBot="1" x14ac:dyDescent="0.45">
      <c r="B264" s="278"/>
      <c r="C264" s="262"/>
      <c r="F264" s="332">
        <f>SUM(F265:F269)</f>
        <v>67671</v>
      </c>
      <c r="G264" s="332">
        <f t="shared" ref="G264:J264" si="51">SUM(G265:G269)</f>
        <v>73305</v>
      </c>
      <c r="H264" s="332">
        <f t="shared" si="51"/>
        <v>76948</v>
      </c>
      <c r="I264" s="332">
        <f t="shared" si="51"/>
        <v>87438</v>
      </c>
      <c r="J264" s="332">
        <f t="shared" si="51"/>
        <v>93913</v>
      </c>
    </row>
    <row r="265" spans="2:11" ht="13.5" x14ac:dyDescent="0.4">
      <c r="B265" s="263"/>
      <c r="C265" s="270" t="s">
        <v>391</v>
      </c>
      <c r="E265" s="333">
        <f>[1]!s_stmnote_bank_22n($C$6,#REF!,1,1000000)</f>
        <v>0</v>
      </c>
      <c r="F265" s="333">
        <f>[1]!s_stmnote_bank_22n($C$6,E6,1,1000000)</f>
        <v>56365</v>
      </c>
      <c r="G265" s="333">
        <f>[1]!s_stmnote_bank_22n($C$6,F6,1,1000000)</f>
        <v>67671</v>
      </c>
      <c r="H265" s="333">
        <f>[1]!s_stmnote_bank_22n($C$6,G6,1,1000000)</f>
        <v>73305</v>
      </c>
      <c r="I265" s="333">
        <f>[1]!s_stmnote_bank_22n($C$6,H6,1,1000000)</f>
        <v>76948</v>
      </c>
      <c r="J265" s="333">
        <f>[1]!s_stmnote_bank_22n($C$6,I6,1,1000000)</f>
        <v>87438</v>
      </c>
      <c r="K265" s="334"/>
    </row>
    <row r="266" spans="2:11" ht="13.5" x14ac:dyDescent="0.4">
      <c r="B266" s="263"/>
      <c r="C266" s="274" t="s">
        <v>392</v>
      </c>
      <c r="E266" s="335"/>
      <c r="F266" s="335">
        <v>18428</v>
      </c>
      <c r="G266" s="335">
        <v>20028</v>
      </c>
      <c r="H266" s="335">
        <v>21955</v>
      </c>
      <c r="I266" s="335">
        <v>28993</v>
      </c>
      <c r="J266" s="335">
        <v>30269</v>
      </c>
      <c r="K266" s="336"/>
    </row>
    <row r="267" spans="2:11" ht="13.5" x14ac:dyDescent="0.4">
      <c r="B267" s="278"/>
      <c r="C267" s="274" t="s">
        <v>393</v>
      </c>
      <c r="E267" s="326"/>
      <c r="F267" s="326">
        <v>-2650</v>
      </c>
      <c r="G267" s="326">
        <v>-11810</v>
      </c>
      <c r="H267" s="326">
        <v>-15811</v>
      </c>
      <c r="I267" s="326">
        <v>-15268</v>
      </c>
      <c r="J267" s="326">
        <v>-21225</v>
      </c>
      <c r="K267" s="337"/>
    </row>
    <row r="268" spans="2:11" ht="13.5" x14ac:dyDescent="0.4">
      <c r="B268" s="278"/>
      <c r="C268" s="274" t="s">
        <v>394</v>
      </c>
      <c r="E268" s="326"/>
      <c r="F268" s="326">
        <v>-577</v>
      </c>
      <c r="G268" s="326">
        <v>-778</v>
      </c>
      <c r="H268" s="326">
        <v>-1061</v>
      </c>
      <c r="I268" s="326">
        <v>-1471</v>
      </c>
      <c r="J268" s="326">
        <v>-1031</v>
      </c>
      <c r="K268" s="337"/>
    </row>
    <row r="269" spans="2:11" ht="13.5" x14ac:dyDescent="0.4">
      <c r="B269" s="263"/>
      <c r="C269" s="274" t="s">
        <v>330</v>
      </c>
      <c r="E269" s="338"/>
      <c r="F269" s="338">
        <v>-3894.9999999999995</v>
      </c>
      <c r="G269" s="338">
        <v>-1805.9999999999998</v>
      </c>
      <c r="H269" s="338">
        <v>-1440</v>
      </c>
      <c r="I269" s="338">
        <v>-1763.9999999999998</v>
      </c>
      <c r="J269" s="338">
        <v>-1538</v>
      </c>
      <c r="K269" s="339"/>
    </row>
    <row r="270" spans="2:11" ht="13.5" x14ac:dyDescent="0.4">
      <c r="B270" s="263"/>
      <c r="C270" s="315" t="s">
        <v>395</v>
      </c>
      <c r="E270" s="340">
        <f>[1]!s_stmnote_bank_22n($C$6,E6,1,1000000)</f>
        <v>56365</v>
      </c>
      <c r="F270" s="340">
        <f>[1]!s_stmnote_bank_22n($C$6,F6,1,1000000)</f>
        <v>67671</v>
      </c>
      <c r="G270" s="340">
        <f>[1]!s_stmnote_bank_22n($C$6,G6,1,1000000)</f>
        <v>73305</v>
      </c>
      <c r="H270" s="340">
        <f>[1]!s_stmnote_bank_22n($C$6,H6,1,1000000)</f>
        <v>76948</v>
      </c>
      <c r="I270" s="340">
        <f>[1]!s_stmnote_bank_22n($C$6,I6,1,1000000)</f>
        <v>87438</v>
      </c>
      <c r="J270" s="340">
        <f>[1]!s_stmnote_bank_22n($C$6,J6,1,1000000)</f>
        <v>93913</v>
      </c>
      <c r="K270" s="341"/>
    </row>
    <row r="271" spans="2:11" ht="13.9" thickBot="1" x14ac:dyDescent="0.45">
      <c r="B271" s="263"/>
      <c r="C271" s="342" t="s">
        <v>396</v>
      </c>
      <c r="E271" s="344">
        <f>[1]!s_stm07_cs($C$6,"W47177514",E6,1,1000000)</f>
        <v>12692</v>
      </c>
      <c r="F271" s="344">
        <f>[1]!s_stm07_cs($C$6,"W47177514",F6,1,1000000)</f>
        <v>15187</v>
      </c>
      <c r="G271" s="344">
        <f>[1]!s_stm07_cs($C$6,"W47177514",G6,1,1000000)</f>
        <v>19158</v>
      </c>
      <c r="H271" s="344">
        <f>[1]!s_stm07_cs($C$6,"W47177514",H6,1,1000000)</f>
        <v>22866</v>
      </c>
      <c r="I271" s="344">
        <f>[1]!s_stm07_cs($C$6,"W47177514",I6,1,1000000)</f>
        <v>28914</v>
      </c>
      <c r="J271" s="344">
        <f>[1]!s_stm07_cs($C$6,"W47177514",J6,1,1000000)</f>
        <v>30212</v>
      </c>
      <c r="K271" s="344"/>
    </row>
    <row r="273" spans="2:11" x14ac:dyDescent="0.4">
      <c r="K273" s="213"/>
    </row>
    <row r="274" spans="2:11" ht="13.5" x14ac:dyDescent="0.4">
      <c r="B274" s="253" t="s">
        <v>397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398</v>
      </c>
      <c r="E276" s="325">
        <f>[1]!s_stmnote_bank($C$6,"31",E6,1000000)</f>
        <v>2481585</v>
      </c>
      <c r="F276" s="325">
        <f>[1]!s_stmnote_bank($C$6,"31",F6,1000000)</f>
        <v>2851980</v>
      </c>
      <c r="G276" s="325">
        <f>[1]!s_stmnote_bank($C$6,"31",G6,1000000)</f>
        <v>3173011</v>
      </c>
      <c r="H276" s="325">
        <f>[1]!s_stmnote_bank($C$6,"31",H6,1000000)</f>
        <v>3296815</v>
      </c>
      <c r="I276" s="325">
        <f>[1]!s_stmnote_bank($C$6,"31",I6,1000000)</f>
        <v>3547697</v>
      </c>
      <c r="J276" s="325">
        <f>[1]!s_stmnote_bank($C$6,"31",J6,1000000)</f>
        <v>3916818</v>
      </c>
      <c r="K276" s="325">
        <f>[1]!s_stmnote_bank($C$6,"31",K6,1000000)</f>
        <v>0</v>
      </c>
    </row>
    <row r="277" spans="2:11" ht="13.5" x14ac:dyDescent="0.4">
      <c r="B277" s="278"/>
      <c r="C277" s="274" t="s">
        <v>399</v>
      </c>
      <c r="E277" s="326">
        <f>[1]!s_stmnote_bank($C$6,"34",E6,1000000)</f>
        <v>58179</v>
      </c>
      <c r="F277" s="326">
        <f>[1]!s_stmnote_bank($C$6,"34",F6,1000000)</f>
        <v>68324</v>
      </c>
      <c r="G277" s="326">
        <f>[1]!s_stmnote_bank($C$6,"34",G6,1000000)</f>
        <v>59047</v>
      </c>
      <c r="H277" s="326">
        <f>[1]!s_stmnote_bank($C$6,"34",H6,1000000)</f>
        <v>91903</v>
      </c>
      <c r="I277" s="326">
        <f>[1]!s_stmnote_bank($C$6,"34",I6,1000000)</f>
        <v>118103</v>
      </c>
      <c r="J277" s="326">
        <f>[1]!s_stmnote_bank($C$6,"34",J6,1000000)</f>
        <v>123741</v>
      </c>
      <c r="K277" s="326">
        <f>[1]!s_stmnote_bank($C$6,"34",K6,1000000)</f>
        <v>0</v>
      </c>
    </row>
    <row r="278" spans="2:11" ht="13.5" x14ac:dyDescent="0.4">
      <c r="B278" s="278"/>
      <c r="C278" s="274" t="s">
        <v>400</v>
      </c>
      <c r="E278" s="326">
        <f>[1]!s_stmnote_bank($C$6,"37",E6,1000000)</f>
        <v>9042</v>
      </c>
      <c r="F278" s="326">
        <f>[1]!s_stmnote_bank($C$6,"37",F6,1000000)</f>
        <v>13269</v>
      </c>
      <c r="G278" s="326">
        <f>[1]!s_stmnote_bank($C$6,"37",G6,1000000)</f>
        <v>13778</v>
      </c>
      <c r="H278" s="326">
        <f>[1]!s_stmnote_bank($C$6,"37",H6,1000000)</f>
        <v>16103</v>
      </c>
      <c r="I278" s="326">
        <f>[1]!s_stmnote_bank($C$6,"37",I6,1000000)</f>
        <v>22953</v>
      </c>
      <c r="J278" s="326">
        <f>[1]!s_stmnote_bank($C$6,"37",J6,1000000)</f>
        <v>17513</v>
      </c>
      <c r="K278" s="326">
        <f>[1]!s_stmnote_bank($C$6,"37",K6,1000000)</f>
        <v>0</v>
      </c>
    </row>
    <row r="279" spans="2:11" ht="13.5" x14ac:dyDescent="0.4">
      <c r="B279" s="278"/>
      <c r="C279" s="274" t="s">
        <v>401</v>
      </c>
      <c r="E279" s="326">
        <f>[1]!s_stmnote_bank($C$6,"40",E6,1000000)</f>
        <v>8450</v>
      </c>
      <c r="F279" s="326">
        <f>[1]!s_stmnote_bank($C$6,"40",F6,1000000)</f>
        <v>9793</v>
      </c>
      <c r="G279" s="326">
        <f>[1]!s_stmnote_bank($C$6,"40",G6,1000000)</f>
        <v>13586</v>
      </c>
      <c r="H279" s="326">
        <f>[1]!s_stmnote_bank($C$6,"40",H6,1000000)</f>
        <v>18680</v>
      </c>
      <c r="I279" s="326">
        <f>[1]!s_stmnote_bank($C$6,"40",I6,1000000)</f>
        <v>22521</v>
      </c>
      <c r="J279" s="326">
        <f>[1]!s_stmnote_bank($C$6,"40",J6,1000000)</f>
        <v>26950</v>
      </c>
      <c r="K279" s="326">
        <f>[1]!s_stmnote_bank($C$6,"40",K6,1000000)</f>
        <v>0</v>
      </c>
    </row>
    <row r="280" spans="2:11" ht="13.5" x14ac:dyDescent="0.4">
      <c r="B280" s="278"/>
      <c r="C280" s="274" t="s">
        <v>402</v>
      </c>
      <c r="E280" s="345">
        <f>[1]!s_stmnote_bank($C$6,"43",E6,1000000)</f>
        <v>4494</v>
      </c>
      <c r="F280" s="345">
        <f>[1]!s_stmnote_bank($C$6,"43",F6,1000000)</f>
        <v>3933</v>
      </c>
      <c r="G280" s="345">
        <f>[1]!s_stmnote_bank($C$6,"43",G6,1000000)</f>
        <v>6946</v>
      </c>
      <c r="H280" s="345">
        <f>[1]!s_stmnote_bank($C$6,"43",H6,1000000)</f>
        <v>8234</v>
      </c>
      <c r="I280" s="345">
        <f>[1]!s_stmnote_bank($C$6,"43",I6,1000000)</f>
        <v>10732</v>
      </c>
      <c r="J280" s="345">
        <f>[1]!s_stmnote_bank($C$6,"43",J6,1000000)</f>
        <v>17937</v>
      </c>
      <c r="K280" s="345">
        <f>[1]!s_stmnote_bank($C$6,"43",K6,1000000)</f>
        <v>0</v>
      </c>
    </row>
    <row r="281" spans="2:11" ht="13.5" x14ac:dyDescent="0.4">
      <c r="B281" s="263"/>
      <c r="C281" s="315" t="s">
        <v>403</v>
      </c>
      <c r="E281" s="346">
        <f>[1]!s_stmnote_bank_26($C$6,E6,1,1000000)</f>
        <v>21986</v>
      </c>
      <c r="F281" s="346">
        <f>[1]!s_stmnote_bank_26($C$6,F6,1,1000000)</f>
        <v>26995</v>
      </c>
      <c r="G281" s="346">
        <f>[1]!s_stmnote_bank_26($C$6,G6,1,1000000)</f>
        <v>34310</v>
      </c>
      <c r="H281" s="346">
        <f>[1]!s_stmnote_bank_26($C$6,H6,1,1000000)</f>
        <v>43017</v>
      </c>
      <c r="I281" s="346">
        <f>[1]!s_stmnote_bank_26($C$6,I6,1,1000000)</f>
        <v>56206</v>
      </c>
      <c r="J281" s="346">
        <f>[1]!s_stmnote_bank_26($C$6,J6,1,1000000)</f>
        <v>62400</v>
      </c>
      <c r="K281" s="346">
        <f>[1]!s_stmnote_bank_26($C$6,K6,1,1000000)</f>
        <v>0</v>
      </c>
    </row>
    <row r="282" spans="2:11" ht="13.5" x14ac:dyDescent="0.4">
      <c r="B282" s="263"/>
      <c r="C282" s="263" t="s">
        <v>323</v>
      </c>
      <c r="E282" s="347">
        <f t="shared" ref="E282:K282" si="52">E112</f>
        <v>2561750</v>
      </c>
      <c r="F282" s="347">
        <f t="shared" si="52"/>
        <v>2947299</v>
      </c>
      <c r="G282" s="347">
        <f t="shared" si="52"/>
        <v>3266368</v>
      </c>
      <c r="H282" s="347">
        <f t="shared" si="52"/>
        <v>3431735</v>
      </c>
      <c r="I282" s="347">
        <f t="shared" si="52"/>
        <v>3722006</v>
      </c>
      <c r="J282" s="347">
        <f t="shared" si="52"/>
        <v>4102959</v>
      </c>
      <c r="K282" s="347">
        <f t="shared" si="52"/>
        <v>4343741</v>
      </c>
    </row>
    <row r="283" spans="2:11" ht="13.9" thickBot="1" x14ac:dyDescent="0.45">
      <c r="B283" s="263"/>
      <c r="C283" s="280" t="s">
        <v>404</v>
      </c>
      <c r="E283" s="330">
        <f>[1]!s_stmnote_bank_5n($C$6,E6,1)/100</f>
        <v>8.6E-3</v>
      </c>
      <c r="F283" s="330">
        <f>[1]!s_stmnote_bank_5n($C$6,F6,1)/100</f>
        <v>9.1999999999999998E-3</v>
      </c>
      <c r="G283" s="330">
        <f>[1]!s_stmnote_bank_5n($C$6,G6,1)/100</f>
        <v>1.0500000000000001E-2</v>
      </c>
      <c r="H283" s="330">
        <f>[1]!s_stmnote_bank_5n($C$6,H6,1)/100</f>
        <v>1.2500000000000001E-2</v>
      </c>
      <c r="I283" s="330">
        <f>[1]!s_stmnote_bank_5n($C$6,I6,1)/100</f>
        <v>1.5100000000000001E-2</v>
      </c>
      <c r="J283" s="330">
        <f>[1]!s_stmnote_bank_5n($C$6,J6,1)/100</f>
        <v>1.52E-2</v>
      </c>
      <c r="K283" s="330">
        <f>[1]!s_stmnote_bank_5n($C$6,K6,1)/100</f>
        <v>1.52E-2</v>
      </c>
    </row>
    <row r="284" spans="2:11" s="231" customFormat="1" ht="13.5" x14ac:dyDescent="0.4">
      <c r="B284" s="348"/>
      <c r="C284" s="230" t="s">
        <v>281</v>
      </c>
      <c r="E284" s="349">
        <f t="shared" ref="E284:I284" si="53">IF(E278=0,0,E282-SUM(E276:E280))</f>
        <v>0</v>
      </c>
      <c r="F284" s="349">
        <f t="shared" si="53"/>
        <v>0</v>
      </c>
      <c r="G284" s="349">
        <f>IF(G278=0,0,G282-SUM(G276:G280))</f>
        <v>0</v>
      </c>
      <c r="H284" s="349">
        <f t="shared" si="53"/>
        <v>0</v>
      </c>
      <c r="I284" s="349">
        <f t="shared" si="53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405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406</v>
      </c>
      <c r="E288" s="355">
        <f>[1]!s_stmnote_bank_0001($C$6,E6,1,1000000)</f>
        <v>6779</v>
      </c>
      <c r="F288" s="355">
        <f>[1]!s_stmnote_bank_0001($C$6,F6,1,1000000)</f>
        <v>15771</v>
      </c>
      <c r="G288" s="355">
        <f>[1]!s_stmnote_bank_0001($C$6,G6,1,1000000)</f>
        <v>14313</v>
      </c>
      <c r="H288" s="355">
        <f>[1]!s_stmnote_bank_0001($C$6,H6,1,1000000)</f>
        <v>36633</v>
      </c>
      <c r="I288" s="355">
        <f>[1]!s_stmnote_bank_0001($C$6,I6,1,1000000)</f>
        <v>21910</v>
      </c>
      <c r="J288" s="355">
        <f>[1]!s_stmnote_bank_0001($C$6,J6,1,1000000)</f>
        <v>21401</v>
      </c>
      <c r="K288" s="325">
        <f>[1]!s_stmnote_bank_0001($C$6,K6,1,1000000)</f>
        <v>0</v>
      </c>
    </row>
    <row r="289" spans="2:11" ht="13.5" x14ac:dyDescent="0.4">
      <c r="B289" s="278"/>
      <c r="C289" s="354" t="s">
        <v>407</v>
      </c>
      <c r="E289" s="326">
        <f>[1]!s_stmnote_bank_0002($C$6,E6,1,1000000)</f>
        <v>3455</v>
      </c>
      <c r="F289" s="326">
        <f>[1]!s_stmnote_bank_0002($C$6,F6,1,1000000)</f>
        <v>9596</v>
      </c>
      <c r="G289" s="326">
        <f>[1]!s_stmnote_bank_0002($C$6,G6,1,1000000)</f>
        <v>17172</v>
      </c>
      <c r="H289" s="326">
        <f>[1]!s_stmnote_bank_0002($C$6,H6,1,1000000)</f>
        <v>28646</v>
      </c>
      <c r="I289" s="326">
        <f>[1]!s_stmnote_bank_0002($C$6,I6,1,1000000)</f>
        <v>49321</v>
      </c>
      <c r="J289" s="326">
        <f>[1]!s_stmnote_bank_0002($C$6,J6,1,1000000)</f>
        <v>35019</v>
      </c>
      <c r="K289" s="326">
        <f>[1]!s_stmnote_bank_0002($C$6,K6,1,1000000)</f>
        <v>0</v>
      </c>
    </row>
    <row r="290" spans="2:11" ht="13.5" x14ac:dyDescent="0.4">
      <c r="B290" s="278"/>
      <c r="C290" s="354" t="s">
        <v>408</v>
      </c>
      <c r="E290" s="356">
        <f>[1]!s_stmnote_bank_0003($C$6,E6,1,1000000)</f>
        <v>5309</v>
      </c>
      <c r="F290" s="356">
        <f>[1]!s_stmnote_bank_0003($C$6,F6,1,1000000)</f>
        <v>5369</v>
      </c>
      <c r="G290" s="356">
        <f>[1]!s_stmnote_bank_0003($C$6,G6,1,1000000)</f>
        <v>11802</v>
      </c>
      <c r="H290" s="356">
        <f>[1]!s_stmnote_bank_0003($C$6,H6,1,1000000)</f>
        <v>13558</v>
      </c>
      <c r="I290" s="356">
        <f>[1]!s_stmnote_bank_0003($C$6,I6,1,1000000)</f>
        <v>38454</v>
      </c>
      <c r="J290" s="356">
        <f>[1]!s_stmnote_bank_0003($C$6,J6,1,1000000)</f>
        <v>44772</v>
      </c>
      <c r="K290" s="326">
        <f>[1]!s_stmnote_bank_0003($C$6,K7,1,1000000)</f>
        <v>0</v>
      </c>
    </row>
    <row r="291" spans="2:11" ht="13.5" x14ac:dyDescent="0.4">
      <c r="B291" s="278"/>
      <c r="C291" s="354" t="s">
        <v>409</v>
      </c>
      <c r="E291" s="326">
        <f>[1]!s_stmnote_bank_0004($C$6,E6,1,1000000)</f>
        <v>6464</v>
      </c>
      <c r="F291" s="326">
        <f>[1]!s_stmnote_bank_0004($C$6,F6,1,1000000)</f>
        <v>5487</v>
      </c>
      <c r="G291" s="326">
        <f>[1]!s_stmnote_bank_0004($C$6,G6,1,1000000)</f>
        <v>2840</v>
      </c>
      <c r="H291" s="326">
        <f>[1]!s_stmnote_bank_0004($C$6,H6,1,1000000)</f>
        <v>2410</v>
      </c>
      <c r="I291" s="326">
        <f>[1]!s_stmnote_bank_0004($C$6,I6,1,1000000)</f>
        <v>3648</v>
      </c>
      <c r="J291" s="326">
        <f>[1]!s_stmnote_bank_0004($C$6,J6,1,1000000)</f>
        <v>6991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410</v>
      </c>
      <c r="E292" s="358">
        <f t="shared" ref="E292:K292" si="54">SUM(E288:E291)</f>
        <v>22007</v>
      </c>
      <c r="F292" s="358">
        <f t="shared" si="54"/>
        <v>36223</v>
      </c>
      <c r="G292" s="358">
        <f t="shared" si="54"/>
        <v>46127</v>
      </c>
      <c r="H292" s="358">
        <f>SUM(H288:H291)</f>
        <v>81247</v>
      </c>
      <c r="I292" s="358">
        <f t="shared" si="54"/>
        <v>113333</v>
      </c>
      <c r="J292" s="358">
        <f>SUM(J288:J291)</f>
        <v>108183</v>
      </c>
      <c r="K292" s="358">
        <f t="shared" si="54"/>
        <v>0</v>
      </c>
    </row>
    <row r="293" spans="2:11" x14ac:dyDescent="0.4">
      <c r="B293" s="278"/>
      <c r="C293" s="350"/>
      <c r="I293" s="521"/>
      <c r="J293" s="521"/>
    </row>
    <row r="294" spans="2:11" ht="13.9" thickBot="1" x14ac:dyDescent="0.45">
      <c r="B294" s="263" t="s">
        <v>411</v>
      </c>
    </row>
    <row r="295" spans="2:11" x14ac:dyDescent="0.4">
      <c r="B295" s="278"/>
      <c r="C295" s="359" t="s">
        <v>412</v>
      </c>
      <c r="E295" s="360"/>
      <c r="F295" s="325">
        <f>[1]!s_div_aualaccmdiv($C$6,2012,1000000)</f>
        <v>17823.054394799998</v>
      </c>
      <c r="G295" s="325">
        <f>[1]!s_div_aualaccmdiv($C$6,2013,1000000)</f>
        <v>19308.3089277</v>
      </c>
      <c r="H295" s="325">
        <f>[1]!s_div_aualaccmdiv($C$6,2014,1000000)</f>
        <v>20050.936194150003</v>
      </c>
      <c r="I295" s="325">
        <f>[1]!s_div_aualaccmdiv($C$6,2015,1000000)</f>
        <v>20050.936194150003</v>
      </c>
      <c r="J295" s="325">
        <f>[1]!s_div_aualaccmdiv($C$6,2016,1000000)</f>
        <v>20162.330284117495</v>
      </c>
      <c r="K295" s="360"/>
    </row>
    <row r="296" spans="2:11" ht="13.9" thickBot="1" x14ac:dyDescent="0.45">
      <c r="C296" s="252" t="s">
        <v>413</v>
      </c>
      <c r="E296" s="361"/>
      <c r="F296" s="362">
        <f>[1]!s_div_cashbeforetax($C$6,F6)</f>
        <v>0.24</v>
      </c>
      <c r="G296" s="362">
        <f>[1]!s_div_cashbeforetax($C$6,G6)</f>
        <v>0.26</v>
      </c>
      <c r="H296" s="362">
        <f>[1]!s_div_cashbeforetax($C$6,H6)</f>
        <v>0.27</v>
      </c>
      <c r="I296" s="362">
        <f>[1]!s_div_cashbeforetax($C$6,I6)</f>
        <v>0.27</v>
      </c>
      <c r="J296" s="362">
        <f>[1]!s_div_cashbeforetax($C$6,J6)</f>
        <v>0.27149999999999996</v>
      </c>
      <c r="K296" s="361"/>
    </row>
    <row r="299" spans="2:11" ht="13.9" thickBot="1" x14ac:dyDescent="0.45">
      <c r="B299" s="253" t="s">
        <v>488</v>
      </c>
    </row>
    <row r="300" spans="2:11" x14ac:dyDescent="0.4">
      <c r="B300" s="278"/>
      <c r="C300" s="359" t="s">
        <v>415</v>
      </c>
      <c r="E300" s="363">
        <f>[1]!s_stmnote_bank_6n($C$6,E6,1)/100</f>
        <v>0.71939999999999993</v>
      </c>
      <c r="F300" s="363">
        <f>[1]!s_stmnote_bank_6n($C$6,F6,1)/100</f>
        <v>0.72709999999999997</v>
      </c>
      <c r="G300" s="363">
        <f>[1]!s_stmnote_bank_6n($C$6,G6,1)/100</f>
        <v>0.7340000000000001</v>
      </c>
      <c r="H300" s="363">
        <f>[1]!s_stmnote_bank_6n($C$6,H6,1)/100</f>
        <v>0.74069999999999991</v>
      </c>
      <c r="I300" s="363">
        <f>[1]!s_stmnote_bank_6n($C$6,I6,1)/100</f>
        <v>0.74080000000000001</v>
      </c>
      <c r="J300" s="363">
        <f>[1]!s_stmnote_bank_6n($C$6,J6,1)/100</f>
        <v>0.73980000000000001</v>
      </c>
      <c r="K300" s="363">
        <f>[1]!s_stmnote_bank_6n($C$6,K6,1)/100</f>
        <v>0.879714</v>
      </c>
    </row>
    <row r="305" spans="2:12" s="429" customFormat="1" ht="13.5" thickBot="1" x14ac:dyDescent="0.45"/>
    <row r="306" spans="2:12" ht="13.9" thickTop="1" x14ac:dyDescent="0.4">
      <c r="B306" s="183" t="s">
        <v>416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4">
      <c r="C308" s="437" t="s">
        <v>464</v>
      </c>
      <c r="E308" s="465">
        <v>40908</v>
      </c>
      <c r="F308" s="465">
        <v>41274</v>
      </c>
      <c r="G308" s="465">
        <v>41639</v>
      </c>
      <c r="H308" s="465">
        <v>42004</v>
      </c>
      <c r="I308" s="465">
        <v>42369</v>
      </c>
      <c r="J308" s="465">
        <v>42551</v>
      </c>
      <c r="K308" s="465">
        <v>42735</v>
      </c>
      <c r="L308" s="465">
        <v>42916</v>
      </c>
    </row>
    <row r="309" spans="2:12" x14ac:dyDescent="0.4">
      <c r="C309" s="437" t="s">
        <v>465</v>
      </c>
      <c r="E309" s="466"/>
      <c r="F309" s="466">
        <v>563.65</v>
      </c>
      <c r="G309" s="466">
        <v>676.71</v>
      </c>
      <c r="H309" s="466">
        <v>733.05</v>
      </c>
      <c r="I309" s="466">
        <v>769.48</v>
      </c>
      <c r="J309" s="466">
        <v>874.38</v>
      </c>
      <c r="K309" s="466">
        <v>874.38</v>
      </c>
      <c r="L309" s="436">
        <v>939.13</v>
      </c>
    </row>
    <row r="310" spans="2:12" x14ac:dyDescent="0.4">
      <c r="C310" s="437" t="s">
        <v>466</v>
      </c>
      <c r="E310" s="466"/>
      <c r="F310" s="466">
        <v>184.28</v>
      </c>
      <c r="G310" s="466">
        <v>200.28</v>
      </c>
      <c r="H310" s="466">
        <v>219.55</v>
      </c>
      <c r="I310" s="466">
        <v>289.93</v>
      </c>
      <c r="J310" s="466">
        <v>158.88999999999999</v>
      </c>
      <c r="K310" s="466">
        <v>302.69</v>
      </c>
      <c r="L310" s="436">
        <v>156.24</v>
      </c>
    </row>
    <row r="311" spans="2:12" x14ac:dyDescent="0.4">
      <c r="C311" s="437" t="s">
        <v>489</v>
      </c>
      <c r="E311" s="466"/>
      <c r="F311" s="466">
        <v>-38.909999999999997</v>
      </c>
      <c r="G311" s="466">
        <v>-16.18</v>
      </c>
      <c r="H311" s="466">
        <v>-15.16</v>
      </c>
      <c r="I311" s="466">
        <v>-18.329999999999998</v>
      </c>
      <c r="J311" s="466">
        <v>-10.82</v>
      </c>
      <c r="K311" s="466">
        <v>-17.89</v>
      </c>
      <c r="L311" s="436">
        <v>-9.7799999999999994</v>
      </c>
    </row>
    <row r="312" spans="2:12" x14ac:dyDescent="0.4">
      <c r="C312" s="437" t="s">
        <v>490</v>
      </c>
      <c r="E312" s="466"/>
      <c r="F312" s="466">
        <v>-26.5</v>
      </c>
      <c r="G312" s="466">
        <v>-118.1</v>
      </c>
      <c r="H312" s="466">
        <v>-158.11000000000001</v>
      </c>
      <c r="I312" s="466">
        <v>-152.68</v>
      </c>
      <c r="J312" s="466">
        <v>-94.38</v>
      </c>
      <c r="K312" s="466">
        <v>-212.25</v>
      </c>
      <c r="L312" s="436">
        <v>-82.37</v>
      </c>
    </row>
    <row r="313" spans="2:12" x14ac:dyDescent="0.4">
      <c r="C313" s="437" t="s">
        <v>467</v>
      </c>
      <c r="E313" s="466"/>
      <c r="F313" s="466">
        <v>-5.77</v>
      </c>
      <c r="G313" s="466">
        <v>-7.78</v>
      </c>
      <c r="H313" s="466">
        <v>-10.61</v>
      </c>
      <c r="I313" s="466">
        <v>-14.71</v>
      </c>
      <c r="J313" s="466">
        <v>-6.48</v>
      </c>
      <c r="K313" s="466">
        <v>-10.31</v>
      </c>
      <c r="L313" s="436">
        <v>-5.8</v>
      </c>
    </row>
    <row r="314" spans="2:12" x14ac:dyDescent="0.4">
      <c r="C314" s="437" t="s">
        <v>491</v>
      </c>
      <c r="E314" s="466"/>
      <c r="F314" s="466">
        <v>3.23</v>
      </c>
      <c r="G314" s="466">
        <v>4.67</v>
      </c>
      <c r="H314" s="466">
        <v>4.41</v>
      </c>
      <c r="I314" s="466">
        <v>5</v>
      </c>
      <c r="J314" s="466">
        <v>3.07</v>
      </c>
      <c r="K314" s="466">
        <v>8.08</v>
      </c>
      <c r="L314" s="436">
        <v>3.25</v>
      </c>
    </row>
    <row r="315" spans="2:12" x14ac:dyDescent="0.4">
      <c r="C315" s="437" t="s">
        <v>468</v>
      </c>
      <c r="E315" s="466"/>
      <c r="F315" s="466">
        <v>-9</v>
      </c>
      <c r="G315" s="466">
        <v>-12.45</v>
      </c>
      <c r="H315" s="466">
        <v>-15.02</v>
      </c>
      <c r="I315" s="466">
        <v>-19.71</v>
      </c>
      <c r="J315" s="466">
        <v>-9.5500000000000007</v>
      </c>
      <c r="K315" s="466">
        <v>-19.59</v>
      </c>
      <c r="L315" s="436">
        <v>-9.0500000000000007</v>
      </c>
    </row>
    <row r="316" spans="2:12" x14ac:dyDescent="0.4">
      <c r="C316" s="437" t="s">
        <v>469</v>
      </c>
      <c r="E316" s="466"/>
      <c r="F316" s="466"/>
      <c r="G316" s="466"/>
      <c r="H316" s="466"/>
      <c r="I316" s="466"/>
      <c r="J316" s="466"/>
      <c r="K316" s="466">
        <v>1.2</v>
      </c>
      <c r="L316" s="436"/>
    </row>
    <row r="317" spans="2:12" x14ac:dyDescent="0.4">
      <c r="C317" s="437" t="s">
        <v>492</v>
      </c>
      <c r="E317" s="466"/>
      <c r="F317" s="466"/>
      <c r="G317" s="466"/>
      <c r="H317" s="466"/>
      <c r="I317" s="466"/>
      <c r="J317" s="466"/>
      <c r="K317" s="466"/>
      <c r="L317" s="436"/>
    </row>
    <row r="318" spans="2:12" x14ac:dyDescent="0.4">
      <c r="C318" s="437" t="s">
        <v>470</v>
      </c>
      <c r="E318" s="466"/>
      <c r="F318" s="466">
        <v>-0.04</v>
      </c>
      <c r="G318" s="466">
        <v>-1.88</v>
      </c>
      <c r="H318" s="466">
        <v>0.76</v>
      </c>
      <c r="I318" s="466">
        <v>0.69</v>
      </c>
      <c r="J318" s="466">
        <v>1.66</v>
      </c>
      <c r="K318" s="466">
        <v>936.62</v>
      </c>
      <c r="L318" s="436">
        <v>-1.37</v>
      </c>
    </row>
    <row r="319" spans="2:12" x14ac:dyDescent="0.4">
      <c r="C319" s="438" t="s">
        <v>471</v>
      </c>
      <c r="E319" s="466"/>
      <c r="F319" s="466">
        <v>676.71</v>
      </c>
      <c r="G319" s="466">
        <v>733.05</v>
      </c>
      <c r="H319" s="466">
        <v>769.48</v>
      </c>
      <c r="I319" s="466">
        <v>874.38</v>
      </c>
      <c r="J319" s="466">
        <v>923.25</v>
      </c>
      <c r="K319" s="466">
        <v>939.13</v>
      </c>
      <c r="L319" s="436">
        <v>996.05</v>
      </c>
    </row>
    <row r="320" spans="2:12" x14ac:dyDescent="0.4">
      <c r="C320" s="437" t="s">
        <v>493</v>
      </c>
      <c r="E320" s="467">
        <v>219.86</v>
      </c>
      <c r="F320" s="467">
        <v>269.95</v>
      </c>
      <c r="G320" s="467">
        <v>343.1</v>
      </c>
      <c r="H320" s="467">
        <v>430.17</v>
      </c>
      <c r="I320" s="467">
        <v>562.05999999999995</v>
      </c>
      <c r="J320" s="467">
        <v>613.64</v>
      </c>
      <c r="K320" s="467">
        <v>624</v>
      </c>
      <c r="L320" s="467">
        <v>659.53</v>
      </c>
    </row>
    <row r="321" spans="2:12" x14ac:dyDescent="0.4">
      <c r="C321" s="437" t="s">
        <v>494</v>
      </c>
      <c r="E321" s="467">
        <v>25617.5</v>
      </c>
      <c r="F321" s="467">
        <v>29472.99</v>
      </c>
      <c r="G321" s="467">
        <v>32663.68</v>
      </c>
      <c r="H321" s="467">
        <v>34317.35</v>
      </c>
      <c r="I321" s="467">
        <v>37220.06</v>
      </c>
      <c r="J321" s="467">
        <v>39837.56</v>
      </c>
      <c r="K321" s="467">
        <v>41029.589999999997</v>
      </c>
      <c r="L321" s="467">
        <v>43701.47</v>
      </c>
    </row>
    <row r="324" spans="2:12" x14ac:dyDescent="0.4">
      <c r="E324" s="442" t="s">
        <v>495</v>
      </c>
      <c r="F324" s="443">
        <v>2012</v>
      </c>
      <c r="G324" s="443">
        <v>2013</v>
      </c>
      <c r="H324" s="443">
        <v>2014</v>
      </c>
      <c r="I324" s="443">
        <v>2015</v>
      </c>
      <c r="J324" s="444" t="s">
        <v>214</v>
      </c>
      <c r="K324" s="445">
        <v>2016</v>
      </c>
      <c r="L324" s="446" t="s">
        <v>215</v>
      </c>
    </row>
    <row r="325" spans="2:12" x14ac:dyDescent="0.4">
      <c r="E325" s="447" t="s">
        <v>496</v>
      </c>
      <c r="F325" s="448">
        <v>184.28</v>
      </c>
      <c r="G325" s="448">
        <v>200.28</v>
      </c>
      <c r="H325" s="448">
        <v>219.55</v>
      </c>
      <c r="I325" s="448">
        <v>289.93</v>
      </c>
      <c r="J325" s="448">
        <v>158.88999999999999</v>
      </c>
      <c r="K325" s="449">
        <v>302.69</v>
      </c>
      <c r="L325" s="449">
        <v>156.24</v>
      </c>
    </row>
    <row r="326" spans="2:12" x14ac:dyDescent="0.4">
      <c r="E326" s="450" t="s">
        <v>472</v>
      </c>
      <c r="F326" s="436">
        <v>-35.5</v>
      </c>
      <c r="G326" s="436">
        <v>-130.54999999999998</v>
      </c>
      <c r="H326" s="436">
        <v>-173.13000000000002</v>
      </c>
      <c r="I326" s="436">
        <v>-172.39000000000001</v>
      </c>
      <c r="J326" s="436">
        <v>-103.92999999999999</v>
      </c>
      <c r="K326" s="451">
        <v>-231.84</v>
      </c>
      <c r="L326" s="451">
        <v>-91.42</v>
      </c>
    </row>
    <row r="327" spans="2:12" x14ac:dyDescent="0.4">
      <c r="E327" s="452" t="s">
        <v>497</v>
      </c>
      <c r="F327" s="453">
        <v>3.23</v>
      </c>
      <c r="G327" s="453">
        <v>4.67</v>
      </c>
      <c r="H327" s="453">
        <v>4.41</v>
      </c>
      <c r="I327" s="453">
        <v>5</v>
      </c>
      <c r="J327" s="453">
        <v>3.07</v>
      </c>
      <c r="K327" s="454">
        <v>8.08</v>
      </c>
      <c r="L327" s="454">
        <v>3.25</v>
      </c>
    </row>
    <row r="328" spans="2:12" x14ac:dyDescent="0.4">
      <c r="E328" s="436"/>
      <c r="F328" s="436"/>
      <c r="G328" s="436"/>
      <c r="H328" s="436"/>
      <c r="I328" s="436"/>
      <c r="J328" s="436"/>
      <c r="K328" s="436"/>
      <c r="L328" s="436"/>
    </row>
    <row r="329" spans="2:12" x14ac:dyDescent="0.4">
      <c r="E329" s="436"/>
      <c r="F329" s="455">
        <v>2012</v>
      </c>
      <c r="G329" s="456">
        <v>2013</v>
      </c>
      <c r="H329" s="456">
        <v>2014</v>
      </c>
      <c r="I329" s="456">
        <v>2015</v>
      </c>
      <c r="J329" s="457" t="s">
        <v>214</v>
      </c>
      <c r="K329" s="445">
        <v>2016</v>
      </c>
      <c r="L329" s="446" t="s">
        <v>215</v>
      </c>
    </row>
    <row r="330" spans="2:12" x14ac:dyDescent="0.4">
      <c r="E330" s="458" t="s">
        <v>498</v>
      </c>
      <c r="F330" s="459">
        <v>85.589999999999975</v>
      </c>
      <c r="G330" s="460">
        <v>203.70000000000002</v>
      </c>
      <c r="H330" s="460">
        <v>260.20000000000005</v>
      </c>
      <c r="I330" s="460">
        <v>304.27999999999997</v>
      </c>
      <c r="J330" s="460">
        <v>155.51000000000005</v>
      </c>
      <c r="K330" s="461">
        <v>293.78000000000009</v>
      </c>
      <c r="L330" s="461">
        <v>126.94999999999997</v>
      </c>
    </row>
    <row r="331" spans="2:12" x14ac:dyDescent="0.4">
      <c r="E331" s="458" t="s">
        <v>499</v>
      </c>
      <c r="F331" s="462">
        <v>3.3410754367131832E-3</v>
      </c>
      <c r="G331" s="463">
        <v>6.9114127884547854E-3</v>
      </c>
      <c r="H331" s="463">
        <v>7.9660344455982929E-3</v>
      </c>
      <c r="I331" s="463">
        <v>8.8666519996444936E-3</v>
      </c>
      <c r="J331" s="569" t="e">
        <f>NA()</f>
        <v>#N/A</v>
      </c>
      <c r="K331" s="464">
        <v>7.8930555189862701E-3</v>
      </c>
      <c r="L331" s="570" t="e">
        <f>NA()</f>
        <v>#N/A</v>
      </c>
    </row>
    <row r="333" spans="2:12" s="429" customFormat="1" ht="13.5" thickBot="1" x14ac:dyDescent="0.45"/>
    <row r="334" spans="2:12" ht="13.9" thickTop="1" x14ac:dyDescent="0.4">
      <c r="B334" s="15" t="s">
        <v>447</v>
      </c>
    </row>
    <row r="335" spans="2:12" ht="13.5" thickBot="1" x14ac:dyDescent="0.45"/>
    <row r="336" spans="2:12" ht="14.25" thickBot="1" x14ac:dyDescent="0.45">
      <c r="E336" s="522" t="s">
        <v>457</v>
      </c>
      <c r="F336" s="523">
        <v>42916</v>
      </c>
      <c r="G336" s="523">
        <v>42735</v>
      </c>
      <c r="H336" s="524" t="s">
        <v>458</v>
      </c>
      <c r="I336" s="525"/>
      <c r="J336" s="523">
        <v>42916</v>
      </c>
      <c r="K336" s="523">
        <v>42735</v>
      </c>
      <c r="L336" s="524" t="s">
        <v>458</v>
      </c>
    </row>
    <row r="337" spans="5:12" ht="13.5" x14ac:dyDescent="0.4">
      <c r="E337" s="526" t="s">
        <v>15</v>
      </c>
      <c r="F337" s="527">
        <v>1969.32</v>
      </c>
      <c r="G337" s="527">
        <v>1792.21</v>
      </c>
      <c r="H337" s="528">
        <v>177.1099999999999</v>
      </c>
      <c r="I337" s="529" t="s">
        <v>21</v>
      </c>
      <c r="J337" s="530">
        <v>14502.1</v>
      </c>
      <c r="K337" s="530">
        <v>14077.99</v>
      </c>
      <c r="L337" s="531">
        <v>424.1099999999999</v>
      </c>
    </row>
    <row r="338" spans="5:12" ht="13.9" x14ac:dyDescent="0.4">
      <c r="E338" s="532" t="s">
        <v>459</v>
      </c>
      <c r="F338" s="533">
        <v>83.2</v>
      </c>
      <c r="G338" s="534">
        <v>103.14</v>
      </c>
      <c r="H338" s="535">
        <v>-19.939999999999998</v>
      </c>
      <c r="I338" s="536" t="s">
        <v>459</v>
      </c>
      <c r="J338" s="537">
        <v>10670.11</v>
      </c>
      <c r="K338" s="537">
        <v>10039.620000000001</v>
      </c>
      <c r="L338" s="538">
        <v>630.48999999999978</v>
      </c>
    </row>
    <row r="339" spans="5:12" ht="13.9" x14ac:dyDescent="0.4">
      <c r="E339" s="532" t="s">
        <v>460</v>
      </c>
      <c r="F339" s="533">
        <v>25.88</v>
      </c>
      <c r="G339" s="533">
        <v>4.74</v>
      </c>
      <c r="H339" s="535">
        <v>21.14</v>
      </c>
      <c r="I339" s="536" t="s">
        <v>460</v>
      </c>
      <c r="J339" s="537">
        <v>299.89</v>
      </c>
      <c r="K339" s="537">
        <v>285.05</v>
      </c>
      <c r="L339" s="538">
        <v>14.839999999999975</v>
      </c>
    </row>
    <row r="340" spans="5:12" ht="13.9" x14ac:dyDescent="0.4">
      <c r="E340" s="532" t="s">
        <v>461</v>
      </c>
      <c r="F340" s="533">
        <v>340.34</v>
      </c>
      <c r="G340" s="533">
        <v>320.85000000000002</v>
      </c>
      <c r="H340" s="535">
        <v>19.489999999999952</v>
      </c>
      <c r="I340" s="536" t="s">
        <v>461</v>
      </c>
      <c r="J340" s="537">
        <v>2920.27</v>
      </c>
      <c r="K340" s="537">
        <v>3065.91</v>
      </c>
      <c r="L340" s="535">
        <v>-145.63999999999987</v>
      </c>
    </row>
    <row r="341" spans="5:12" ht="13.9" x14ac:dyDescent="0.4">
      <c r="E341" s="532" t="s">
        <v>462</v>
      </c>
      <c r="F341" s="533">
        <v>306.95</v>
      </c>
      <c r="G341" s="533">
        <v>562.04999999999995</v>
      </c>
      <c r="H341" s="539">
        <v>-255.09999999999997</v>
      </c>
      <c r="I341" s="536" t="s">
        <v>462</v>
      </c>
      <c r="J341" s="536">
        <v>611.83000000000004</v>
      </c>
      <c r="K341" s="536">
        <v>687.41</v>
      </c>
      <c r="L341" s="535">
        <v>-75.579999999999927</v>
      </c>
    </row>
    <row r="342" spans="5:12" ht="13.9" x14ac:dyDescent="0.4">
      <c r="E342" s="532" t="s">
        <v>500</v>
      </c>
      <c r="F342" s="533">
        <v>1.58</v>
      </c>
      <c r="G342" s="533">
        <v>0.34</v>
      </c>
      <c r="H342" s="535">
        <v>1.24</v>
      </c>
      <c r="I342" s="536"/>
      <c r="J342" s="536"/>
      <c r="K342" s="536"/>
      <c r="L342" s="535"/>
    </row>
    <row r="343" spans="5:12" ht="13.9" x14ac:dyDescent="0.4">
      <c r="E343" s="532" t="s">
        <v>501</v>
      </c>
      <c r="F343" s="533">
        <v>550.87</v>
      </c>
      <c r="G343" s="533">
        <v>180.56</v>
      </c>
      <c r="H343" s="535">
        <v>370.31</v>
      </c>
      <c r="I343" s="536"/>
      <c r="J343" s="536"/>
      <c r="K343" s="536"/>
      <c r="L343" s="535"/>
    </row>
    <row r="344" spans="5:12" ht="14.25" thickBot="1" x14ac:dyDescent="0.45">
      <c r="E344" s="532" t="s">
        <v>502</v>
      </c>
      <c r="F344" s="533">
        <v>660.5</v>
      </c>
      <c r="G344" s="533">
        <v>620.53</v>
      </c>
      <c r="H344" s="535">
        <v>39.970000000000027</v>
      </c>
      <c r="I344" s="536"/>
      <c r="J344" s="536"/>
      <c r="K344" s="536"/>
      <c r="L344" s="535"/>
    </row>
    <row r="345" spans="5:12" ht="13.5" x14ac:dyDescent="0.4">
      <c r="E345" s="540" t="s">
        <v>20</v>
      </c>
      <c r="F345" s="541">
        <v>3939.3800000000006</v>
      </c>
      <c r="G345" s="542">
        <v>3427.5499999999997</v>
      </c>
      <c r="H345" s="543">
        <v>511.83000000000084</v>
      </c>
      <c r="I345" s="542" t="s">
        <v>22</v>
      </c>
      <c r="J345" s="544">
        <v>4130.84</v>
      </c>
      <c r="K345" s="544">
        <v>3878.23</v>
      </c>
      <c r="L345" s="545">
        <v>252.61000000000013</v>
      </c>
    </row>
    <row r="346" spans="5:12" ht="13.9" x14ac:dyDescent="0.4">
      <c r="E346" s="532" t="s">
        <v>459</v>
      </c>
      <c r="F346" s="533">
        <v>401.39</v>
      </c>
      <c r="G346" s="533">
        <v>377.35</v>
      </c>
      <c r="H346" s="539">
        <v>24.039999999999964</v>
      </c>
      <c r="I346" s="536" t="s">
        <v>459</v>
      </c>
      <c r="J346" s="537">
        <v>985.19</v>
      </c>
      <c r="K346" s="537">
        <v>805.72</v>
      </c>
      <c r="L346" s="538">
        <v>179.47000000000003</v>
      </c>
    </row>
    <row r="347" spans="5:12" ht="13.9" x14ac:dyDescent="0.4">
      <c r="E347" s="532" t="s">
        <v>460</v>
      </c>
      <c r="F347" s="533">
        <v>60.16</v>
      </c>
      <c r="G347" s="533">
        <v>44.72</v>
      </c>
      <c r="H347" s="535">
        <v>15.439999999999998</v>
      </c>
      <c r="I347" s="536" t="s">
        <v>461</v>
      </c>
      <c r="J347" s="537">
        <v>150.49</v>
      </c>
      <c r="K347" s="537">
        <v>204.55</v>
      </c>
      <c r="L347" s="535">
        <v>-54.06</v>
      </c>
    </row>
    <row r="348" spans="5:12" ht="13.9" x14ac:dyDescent="0.4">
      <c r="E348" s="532" t="s">
        <v>461</v>
      </c>
      <c r="F348" s="533">
        <v>2808.92</v>
      </c>
      <c r="G348" s="533">
        <v>2254.62</v>
      </c>
      <c r="H348" s="535">
        <v>554.30000000000018</v>
      </c>
      <c r="I348" s="536" t="s">
        <v>503</v>
      </c>
      <c r="J348" s="537">
        <v>208</v>
      </c>
      <c r="K348" s="537">
        <v>443</v>
      </c>
      <c r="L348" s="535">
        <v>-235</v>
      </c>
    </row>
    <row r="349" spans="5:12" ht="13.9" x14ac:dyDescent="0.4">
      <c r="E349" s="532" t="s">
        <v>462</v>
      </c>
      <c r="F349" s="533">
        <v>603.57000000000005</v>
      </c>
      <c r="G349" s="533">
        <v>663.8</v>
      </c>
      <c r="H349" s="535">
        <v>-60.229999999999905</v>
      </c>
      <c r="I349" s="536" t="s">
        <v>504</v>
      </c>
      <c r="J349" s="537">
        <v>2787.16</v>
      </c>
      <c r="K349" s="537">
        <v>2424.96</v>
      </c>
      <c r="L349" s="535">
        <v>362.19999999999982</v>
      </c>
    </row>
    <row r="350" spans="5:12" ht="13.9" x14ac:dyDescent="0.4">
      <c r="E350" s="532" t="s">
        <v>500</v>
      </c>
      <c r="F350" s="533">
        <v>48.71</v>
      </c>
      <c r="G350" s="533">
        <v>68.040000000000006</v>
      </c>
      <c r="H350" s="535">
        <v>-19.330000000000005</v>
      </c>
      <c r="I350" s="536"/>
      <c r="J350" s="536"/>
      <c r="K350" s="536"/>
      <c r="L350" s="535"/>
    </row>
    <row r="351" spans="5:12" ht="13.9" x14ac:dyDescent="0.4">
      <c r="E351" s="532" t="s">
        <v>501</v>
      </c>
      <c r="F351" s="533">
        <v>16.63</v>
      </c>
      <c r="G351" s="533">
        <v>19.02</v>
      </c>
      <c r="H351" s="535">
        <v>-2.3900000000000006</v>
      </c>
      <c r="I351" s="536"/>
      <c r="J351" s="536"/>
      <c r="K351" s="536"/>
      <c r="L351" s="535"/>
    </row>
    <row r="352" spans="5:12" ht="13.9" x14ac:dyDescent="0.4">
      <c r="E352" s="532"/>
      <c r="F352" s="536"/>
      <c r="G352" s="536"/>
      <c r="H352" s="535"/>
      <c r="I352" s="536"/>
      <c r="J352" s="536"/>
      <c r="K352" s="536"/>
      <c r="L352" s="535"/>
    </row>
    <row r="353" spans="5:12" ht="13.9" x14ac:dyDescent="0.4">
      <c r="E353" s="532"/>
      <c r="F353" s="536"/>
      <c r="G353" s="536"/>
      <c r="H353" s="535"/>
      <c r="I353" s="536"/>
      <c r="J353" s="536"/>
      <c r="K353" s="536"/>
      <c r="L353" s="535"/>
    </row>
    <row r="354" spans="5:12" ht="14.25" thickBot="1" x14ac:dyDescent="0.45">
      <c r="E354" s="546"/>
      <c r="F354" s="547"/>
      <c r="G354" s="547"/>
      <c r="H354" s="548"/>
      <c r="I354" s="547"/>
      <c r="J354" s="547"/>
      <c r="K354" s="547"/>
      <c r="L354" s="548"/>
    </row>
    <row r="355" spans="5:12" ht="14.25" thickBot="1" x14ac:dyDescent="0.45">
      <c r="E355" s="536"/>
      <c r="F355" s="536"/>
      <c r="G355" s="536"/>
      <c r="H355" s="537">
        <v>511.83000000000027</v>
      </c>
      <c r="I355" s="536"/>
      <c r="J355" s="536"/>
      <c r="K355" s="536"/>
      <c r="L355" s="537">
        <v>252.60999999999984</v>
      </c>
    </row>
    <row r="356" spans="5:12" ht="13.9" x14ac:dyDescent="0.4">
      <c r="E356" s="549"/>
      <c r="F356" s="550">
        <v>42916</v>
      </c>
      <c r="G356" s="550">
        <v>42735</v>
      </c>
      <c r="H356" s="551" t="s">
        <v>458</v>
      </c>
      <c r="I356" s="536"/>
      <c r="J356" s="536"/>
      <c r="K356" s="536"/>
      <c r="L356" s="552"/>
    </row>
    <row r="357" spans="5:12" ht="13.9" x14ac:dyDescent="0.4">
      <c r="E357" s="553" t="s">
        <v>459</v>
      </c>
      <c r="F357" s="552">
        <v>12139.890000000001</v>
      </c>
      <c r="G357" s="552">
        <v>11325.83</v>
      </c>
      <c r="H357" s="539">
        <v>814.06000000000131</v>
      </c>
      <c r="I357" s="536"/>
      <c r="J357" s="536"/>
      <c r="K357" s="536"/>
      <c r="L357" s="536"/>
    </row>
    <row r="358" spans="5:12" ht="13.9" x14ac:dyDescent="0.4">
      <c r="E358" s="553" t="s">
        <v>460</v>
      </c>
      <c r="F358" s="552">
        <v>385.92999999999995</v>
      </c>
      <c r="G358" s="552">
        <v>334.51</v>
      </c>
      <c r="H358" s="539">
        <v>51.419999999999959</v>
      </c>
      <c r="I358" s="536"/>
      <c r="J358" s="536"/>
      <c r="K358" s="536"/>
      <c r="L358" s="536"/>
    </row>
    <row r="359" spans="5:12" ht="13.9" x14ac:dyDescent="0.4">
      <c r="E359" s="553" t="s">
        <v>461</v>
      </c>
      <c r="F359" s="552">
        <v>6220.02</v>
      </c>
      <c r="G359" s="552">
        <v>5845.9299999999994</v>
      </c>
      <c r="H359" s="539">
        <v>374.09000000000106</v>
      </c>
      <c r="I359" s="536"/>
      <c r="J359" s="536"/>
      <c r="K359" s="536"/>
      <c r="L359" s="536"/>
    </row>
    <row r="360" spans="5:12" ht="13.9" x14ac:dyDescent="0.4">
      <c r="E360" s="553" t="s">
        <v>462</v>
      </c>
      <c r="F360" s="552">
        <v>1522.35</v>
      </c>
      <c r="G360" s="552">
        <v>1913.2599999999998</v>
      </c>
      <c r="H360" s="539">
        <v>-390.90999999999985</v>
      </c>
      <c r="I360" s="536"/>
      <c r="J360" s="536"/>
      <c r="K360" s="536"/>
      <c r="L360" s="536"/>
    </row>
    <row r="361" spans="5:12" ht="13.9" x14ac:dyDescent="0.4">
      <c r="E361" s="553" t="s">
        <v>500</v>
      </c>
      <c r="F361" s="533">
        <v>50.29</v>
      </c>
      <c r="G361" s="533">
        <v>68.38000000000001</v>
      </c>
      <c r="H361" s="539">
        <v>-18.090000000000011</v>
      </c>
      <c r="I361" s="536"/>
      <c r="J361" s="536"/>
      <c r="K361" s="536"/>
      <c r="L361" s="536"/>
    </row>
    <row r="362" spans="5:12" ht="13.9" x14ac:dyDescent="0.4">
      <c r="E362" s="553" t="s">
        <v>501</v>
      </c>
      <c r="F362" s="554">
        <v>567.5</v>
      </c>
      <c r="G362" s="554">
        <v>199.58</v>
      </c>
      <c r="H362" s="539">
        <v>367.91999999999996</v>
      </c>
      <c r="I362" s="536"/>
      <c r="J362" s="536"/>
      <c r="K362" s="536"/>
      <c r="L362" s="536"/>
    </row>
    <row r="363" spans="5:12" ht="13.9" x14ac:dyDescent="0.4">
      <c r="E363" s="553" t="s">
        <v>502</v>
      </c>
      <c r="F363" s="552">
        <v>660.5</v>
      </c>
      <c r="G363" s="552">
        <v>620.53</v>
      </c>
      <c r="H363" s="539">
        <v>39.970000000000027</v>
      </c>
      <c r="I363" s="536"/>
      <c r="J363" s="536"/>
      <c r="K363" s="536"/>
      <c r="L363" s="536"/>
    </row>
    <row r="364" spans="5:12" ht="13.9" x14ac:dyDescent="0.4">
      <c r="E364" s="553" t="s">
        <v>504</v>
      </c>
      <c r="F364" s="537">
        <v>2787.16</v>
      </c>
      <c r="G364" s="537">
        <v>2424.96</v>
      </c>
      <c r="H364" s="539">
        <v>362.19999999999982</v>
      </c>
      <c r="I364" s="536"/>
      <c r="J364" s="536"/>
      <c r="K364" s="536"/>
      <c r="L364" s="536"/>
    </row>
    <row r="365" spans="5:12" ht="14.25" x14ac:dyDescent="0.4">
      <c r="E365" s="555" t="s">
        <v>503</v>
      </c>
      <c r="F365" s="537">
        <v>208</v>
      </c>
      <c r="G365" s="537">
        <v>443</v>
      </c>
      <c r="H365" s="539">
        <v>-235</v>
      </c>
      <c r="I365" s="536"/>
      <c r="J365" s="536"/>
      <c r="K365" s="536"/>
      <c r="L365" s="536"/>
    </row>
    <row r="366" spans="5:12" ht="13.9" x14ac:dyDescent="0.4">
      <c r="E366" s="553"/>
      <c r="F366" s="536"/>
      <c r="G366" s="536"/>
      <c r="H366" s="539"/>
      <c r="I366" s="536"/>
      <c r="J366" s="536"/>
      <c r="K366" s="536"/>
      <c r="L366" s="536"/>
    </row>
    <row r="367" spans="5:12" ht="13.9" x14ac:dyDescent="0.4">
      <c r="E367" s="553"/>
      <c r="F367" s="536"/>
      <c r="G367" s="536"/>
      <c r="H367" s="539"/>
      <c r="I367" s="536"/>
      <c r="J367" s="536"/>
      <c r="K367" s="536"/>
      <c r="L367" s="536"/>
    </row>
    <row r="368" spans="5:12" ht="14.25" thickBot="1" x14ac:dyDescent="0.45">
      <c r="E368" s="556"/>
      <c r="F368" s="547"/>
      <c r="G368" s="547"/>
      <c r="H368" s="557"/>
      <c r="I368" s="536"/>
      <c r="J368" s="536"/>
      <c r="K368" s="536"/>
      <c r="L368" s="536"/>
    </row>
  </sheetData>
  <phoneticPr fontId="2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4" workbookViewId="0">
      <selection activeCell="E338" sqref="E338"/>
    </sheetView>
  </sheetViews>
  <sheetFormatPr defaultColWidth="8" defaultRowHeight="12.75" x14ac:dyDescent="0.35"/>
  <cols>
    <col min="1" max="1" width="1.3984375" style="12" customWidth="1"/>
    <col min="2" max="2" width="4.46484375" style="12" customWidth="1"/>
    <col min="3" max="3" width="26.73046875" style="12" customWidth="1"/>
    <col min="4" max="4" width="0.59765625" style="12" customWidth="1"/>
    <col min="5" max="5" width="12.86328125" style="12" bestFit="1" customWidth="1"/>
    <col min="6" max="6" width="13.1328125" style="12" bestFit="1" customWidth="1"/>
    <col min="7" max="8" width="9.73046875" style="12" customWidth="1"/>
    <col min="9" max="9" width="11.265625" style="12" bestFit="1" customWidth="1"/>
    <col min="10" max="10" width="10.59765625" style="12" customWidth="1"/>
    <col min="11" max="11" width="10.73046875" style="12" bestFit="1" customWidth="1"/>
    <col min="12" max="217" width="8" style="12"/>
    <col min="218" max="218" width="1.3984375" style="12" customWidth="1"/>
    <col min="219" max="219" width="4.46484375" style="12" customWidth="1"/>
    <col min="220" max="220" width="26.73046875" style="12" customWidth="1"/>
    <col min="221" max="221" width="0.46484375" style="12" customWidth="1"/>
    <col min="222" max="252" width="9.73046875" style="12" customWidth="1"/>
    <col min="253" max="253" width="10.86328125" style="12" customWidth="1"/>
    <col min="254" max="473" width="8" style="12"/>
    <col min="474" max="474" width="1.3984375" style="12" customWidth="1"/>
    <col min="475" max="475" width="4.46484375" style="12" customWidth="1"/>
    <col min="476" max="476" width="26.73046875" style="12" customWidth="1"/>
    <col min="477" max="477" width="0.46484375" style="12" customWidth="1"/>
    <col min="478" max="508" width="9.73046875" style="12" customWidth="1"/>
    <col min="509" max="509" width="10.86328125" style="12" customWidth="1"/>
    <col min="510" max="729" width="8" style="12"/>
    <col min="730" max="730" width="1.3984375" style="12" customWidth="1"/>
    <col min="731" max="731" width="4.46484375" style="12" customWidth="1"/>
    <col min="732" max="732" width="26.73046875" style="12" customWidth="1"/>
    <col min="733" max="733" width="0.46484375" style="12" customWidth="1"/>
    <col min="734" max="764" width="9.73046875" style="12" customWidth="1"/>
    <col min="765" max="765" width="10.86328125" style="12" customWidth="1"/>
    <col min="766" max="985" width="8" style="12"/>
    <col min="986" max="986" width="1.3984375" style="12" customWidth="1"/>
    <col min="987" max="987" width="4.46484375" style="12" customWidth="1"/>
    <col min="988" max="988" width="26.73046875" style="12" customWidth="1"/>
    <col min="989" max="989" width="0.46484375" style="12" customWidth="1"/>
    <col min="990" max="1020" width="9.73046875" style="12" customWidth="1"/>
    <col min="1021" max="1021" width="10.86328125" style="12" customWidth="1"/>
    <col min="1022" max="1241" width="8" style="12"/>
    <col min="1242" max="1242" width="1.3984375" style="12" customWidth="1"/>
    <col min="1243" max="1243" width="4.46484375" style="12" customWidth="1"/>
    <col min="1244" max="1244" width="26.73046875" style="12" customWidth="1"/>
    <col min="1245" max="1245" width="0.46484375" style="12" customWidth="1"/>
    <col min="1246" max="1276" width="9.73046875" style="12" customWidth="1"/>
    <col min="1277" max="1277" width="10.86328125" style="12" customWidth="1"/>
    <col min="1278" max="1497" width="8" style="12"/>
    <col min="1498" max="1498" width="1.3984375" style="12" customWidth="1"/>
    <col min="1499" max="1499" width="4.46484375" style="12" customWidth="1"/>
    <col min="1500" max="1500" width="26.73046875" style="12" customWidth="1"/>
    <col min="1501" max="1501" width="0.46484375" style="12" customWidth="1"/>
    <col min="1502" max="1532" width="9.73046875" style="12" customWidth="1"/>
    <col min="1533" max="1533" width="10.86328125" style="12" customWidth="1"/>
    <col min="1534" max="1753" width="8" style="12"/>
    <col min="1754" max="1754" width="1.3984375" style="12" customWidth="1"/>
    <col min="1755" max="1755" width="4.46484375" style="12" customWidth="1"/>
    <col min="1756" max="1756" width="26.73046875" style="12" customWidth="1"/>
    <col min="1757" max="1757" width="0.46484375" style="12" customWidth="1"/>
    <col min="1758" max="1788" width="9.73046875" style="12" customWidth="1"/>
    <col min="1789" max="1789" width="10.86328125" style="12" customWidth="1"/>
    <col min="1790" max="2009" width="8" style="12"/>
    <col min="2010" max="2010" width="1.3984375" style="12" customWidth="1"/>
    <col min="2011" max="2011" width="4.46484375" style="12" customWidth="1"/>
    <col min="2012" max="2012" width="26.73046875" style="12" customWidth="1"/>
    <col min="2013" max="2013" width="0.46484375" style="12" customWidth="1"/>
    <col min="2014" max="2044" width="9.73046875" style="12" customWidth="1"/>
    <col min="2045" max="2045" width="10.86328125" style="12" customWidth="1"/>
    <col min="2046" max="2265" width="8" style="12"/>
    <col min="2266" max="2266" width="1.3984375" style="12" customWidth="1"/>
    <col min="2267" max="2267" width="4.46484375" style="12" customWidth="1"/>
    <col min="2268" max="2268" width="26.73046875" style="12" customWidth="1"/>
    <col min="2269" max="2269" width="0.46484375" style="12" customWidth="1"/>
    <col min="2270" max="2300" width="9.73046875" style="12" customWidth="1"/>
    <col min="2301" max="2301" width="10.86328125" style="12" customWidth="1"/>
    <col min="2302" max="2521" width="8" style="12"/>
    <col min="2522" max="2522" width="1.3984375" style="12" customWidth="1"/>
    <col min="2523" max="2523" width="4.46484375" style="12" customWidth="1"/>
    <col min="2524" max="2524" width="26.73046875" style="12" customWidth="1"/>
    <col min="2525" max="2525" width="0.46484375" style="12" customWidth="1"/>
    <col min="2526" max="2556" width="9.73046875" style="12" customWidth="1"/>
    <col min="2557" max="2557" width="10.86328125" style="12" customWidth="1"/>
    <col min="2558" max="2777" width="8" style="12"/>
    <col min="2778" max="2778" width="1.3984375" style="12" customWidth="1"/>
    <col min="2779" max="2779" width="4.46484375" style="12" customWidth="1"/>
    <col min="2780" max="2780" width="26.73046875" style="12" customWidth="1"/>
    <col min="2781" max="2781" width="0.46484375" style="12" customWidth="1"/>
    <col min="2782" max="2812" width="9.73046875" style="12" customWidth="1"/>
    <col min="2813" max="2813" width="10.86328125" style="12" customWidth="1"/>
    <col min="2814" max="3033" width="8" style="12"/>
    <col min="3034" max="3034" width="1.3984375" style="12" customWidth="1"/>
    <col min="3035" max="3035" width="4.46484375" style="12" customWidth="1"/>
    <col min="3036" max="3036" width="26.73046875" style="12" customWidth="1"/>
    <col min="3037" max="3037" width="0.46484375" style="12" customWidth="1"/>
    <col min="3038" max="3068" width="9.73046875" style="12" customWidth="1"/>
    <col min="3069" max="3069" width="10.86328125" style="12" customWidth="1"/>
    <col min="3070" max="3289" width="8" style="12"/>
    <col min="3290" max="3290" width="1.3984375" style="12" customWidth="1"/>
    <col min="3291" max="3291" width="4.46484375" style="12" customWidth="1"/>
    <col min="3292" max="3292" width="26.73046875" style="12" customWidth="1"/>
    <col min="3293" max="3293" width="0.46484375" style="12" customWidth="1"/>
    <col min="3294" max="3324" width="9.73046875" style="12" customWidth="1"/>
    <col min="3325" max="3325" width="10.86328125" style="12" customWidth="1"/>
    <col min="3326" max="3545" width="8" style="12"/>
    <col min="3546" max="3546" width="1.3984375" style="12" customWidth="1"/>
    <col min="3547" max="3547" width="4.46484375" style="12" customWidth="1"/>
    <col min="3548" max="3548" width="26.73046875" style="12" customWidth="1"/>
    <col min="3549" max="3549" width="0.46484375" style="12" customWidth="1"/>
    <col min="3550" max="3580" width="9.73046875" style="12" customWidth="1"/>
    <col min="3581" max="3581" width="10.86328125" style="12" customWidth="1"/>
    <col min="3582" max="3801" width="8" style="12"/>
    <col min="3802" max="3802" width="1.3984375" style="12" customWidth="1"/>
    <col min="3803" max="3803" width="4.46484375" style="12" customWidth="1"/>
    <col min="3804" max="3804" width="26.73046875" style="12" customWidth="1"/>
    <col min="3805" max="3805" width="0.46484375" style="12" customWidth="1"/>
    <col min="3806" max="3836" width="9.73046875" style="12" customWidth="1"/>
    <col min="3837" max="3837" width="10.86328125" style="12" customWidth="1"/>
    <col min="3838" max="4057" width="8" style="12"/>
    <col min="4058" max="4058" width="1.3984375" style="12" customWidth="1"/>
    <col min="4059" max="4059" width="4.46484375" style="12" customWidth="1"/>
    <col min="4060" max="4060" width="26.73046875" style="12" customWidth="1"/>
    <col min="4061" max="4061" width="0.46484375" style="12" customWidth="1"/>
    <col min="4062" max="4092" width="9.73046875" style="12" customWidth="1"/>
    <col min="4093" max="4093" width="10.86328125" style="12" customWidth="1"/>
    <col min="4094" max="4313" width="8" style="12"/>
    <col min="4314" max="4314" width="1.3984375" style="12" customWidth="1"/>
    <col min="4315" max="4315" width="4.46484375" style="12" customWidth="1"/>
    <col min="4316" max="4316" width="26.73046875" style="12" customWidth="1"/>
    <col min="4317" max="4317" width="0.46484375" style="12" customWidth="1"/>
    <col min="4318" max="4348" width="9.73046875" style="12" customWidth="1"/>
    <col min="4349" max="4349" width="10.86328125" style="12" customWidth="1"/>
    <col min="4350" max="4569" width="8" style="12"/>
    <col min="4570" max="4570" width="1.3984375" style="12" customWidth="1"/>
    <col min="4571" max="4571" width="4.46484375" style="12" customWidth="1"/>
    <col min="4572" max="4572" width="26.73046875" style="12" customWidth="1"/>
    <col min="4573" max="4573" width="0.46484375" style="12" customWidth="1"/>
    <col min="4574" max="4604" width="9.73046875" style="12" customWidth="1"/>
    <col min="4605" max="4605" width="10.86328125" style="12" customWidth="1"/>
    <col min="4606" max="4825" width="8" style="12"/>
    <col min="4826" max="4826" width="1.3984375" style="12" customWidth="1"/>
    <col min="4827" max="4827" width="4.46484375" style="12" customWidth="1"/>
    <col min="4828" max="4828" width="26.73046875" style="12" customWidth="1"/>
    <col min="4829" max="4829" width="0.46484375" style="12" customWidth="1"/>
    <col min="4830" max="4860" width="9.73046875" style="12" customWidth="1"/>
    <col min="4861" max="4861" width="10.86328125" style="12" customWidth="1"/>
    <col min="4862" max="5081" width="8" style="12"/>
    <col min="5082" max="5082" width="1.3984375" style="12" customWidth="1"/>
    <col min="5083" max="5083" width="4.46484375" style="12" customWidth="1"/>
    <col min="5084" max="5084" width="26.73046875" style="12" customWidth="1"/>
    <col min="5085" max="5085" width="0.46484375" style="12" customWidth="1"/>
    <col min="5086" max="5116" width="9.73046875" style="12" customWidth="1"/>
    <col min="5117" max="5117" width="10.86328125" style="12" customWidth="1"/>
    <col min="5118" max="5337" width="8" style="12"/>
    <col min="5338" max="5338" width="1.3984375" style="12" customWidth="1"/>
    <col min="5339" max="5339" width="4.46484375" style="12" customWidth="1"/>
    <col min="5340" max="5340" width="26.73046875" style="12" customWidth="1"/>
    <col min="5341" max="5341" width="0.46484375" style="12" customWidth="1"/>
    <col min="5342" max="5372" width="9.73046875" style="12" customWidth="1"/>
    <col min="5373" max="5373" width="10.86328125" style="12" customWidth="1"/>
    <col min="5374" max="5593" width="8" style="12"/>
    <col min="5594" max="5594" width="1.3984375" style="12" customWidth="1"/>
    <col min="5595" max="5595" width="4.46484375" style="12" customWidth="1"/>
    <col min="5596" max="5596" width="26.73046875" style="12" customWidth="1"/>
    <col min="5597" max="5597" width="0.46484375" style="12" customWidth="1"/>
    <col min="5598" max="5628" width="9.73046875" style="12" customWidth="1"/>
    <col min="5629" max="5629" width="10.86328125" style="12" customWidth="1"/>
    <col min="5630" max="5849" width="8" style="12"/>
    <col min="5850" max="5850" width="1.3984375" style="12" customWidth="1"/>
    <col min="5851" max="5851" width="4.46484375" style="12" customWidth="1"/>
    <col min="5852" max="5852" width="26.73046875" style="12" customWidth="1"/>
    <col min="5853" max="5853" width="0.46484375" style="12" customWidth="1"/>
    <col min="5854" max="5884" width="9.73046875" style="12" customWidth="1"/>
    <col min="5885" max="5885" width="10.86328125" style="12" customWidth="1"/>
    <col min="5886" max="6105" width="8" style="12"/>
    <col min="6106" max="6106" width="1.3984375" style="12" customWidth="1"/>
    <col min="6107" max="6107" width="4.46484375" style="12" customWidth="1"/>
    <col min="6108" max="6108" width="26.73046875" style="12" customWidth="1"/>
    <col min="6109" max="6109" width="0.46484375" style="12" customWidth="1"/>
    <col min="6110" max="6140" width="9.73046875" style="12" customWidth="1"/>
    <col min="6141" max="6141" width="10.86328125" style="12" customWidth="1"/>
    <col min="6142" max="6361" width="8" style="12"/>
    <col min="6362" max="6362" width="1.3984375" style="12" customWidth="1"/>
    <col min="6363" max="6363" width="4.46484375" style="12" customWidth="1"/>
    <col min="6364" max="6364" width="26.73046875" style="12" customWidth="1"/>
    <col min="6365" max="6365" width="0.46484375" style="12" customWidth="1"/>
    <col min="6366" max="6396" width="9.73046875" style="12" customWidth="1"/>
    <col min="6397" max="6397" width="10.86328125" style="12" customWidth="1"/>
    <col min="6398" max="6617" width="8" style="12"/>
    <col min="6618" max="6618" width="1.3984375" style="12" customWidth="1"/>
    <col min="6619" max="6619" width="4.46484375" style="12" customWidth="1"/>
    <col min="6620" max="6620" width="26.73046875" style="12" customWidth="1"/>
    <col min="6621" max="6621" width="0.46484375" style="12" customWidth="1"/>
    <col min="6622" max="6652" width="9.73046875" style="12" customWidth="1"/>
    <col min="6653" max="6653" width="10.86328125" style="12" customWidth="1"/>
    <col min="6654" max="6873" width="8" style="12"/>
    <col min="6874" max="6874" width="1.3984375" style="12" customWidth="1"/>
    <col min="6875" max="6875" width="4.46484375" style="12" customWidth="1"/>
    <col min="6876" max="6876" width="26.73046875" style="12" customWidth="1"/>
    <col min="6877" max="6877" width="0.46484375" style="12" customWidth="1"/>
    <col min="6878" max="6908" width="9.73046875" style="12" customWidth="1"/>
    <col min="6909" max="6909" width="10.86328125" style="12" customWidth="1"/>
    <col min="6910" max="7129" width="8" style="12"/>
    <col min="7130" max="7130" width="1.3984375" style="12" customWidth="1"/>
    <col min="7131" max="7131" width="4.46484375" style="12" customWidth="1"/>
    <col min="7132" max="7132" width="26.73046875" style="12" customWidth="1"/>
    <col min="7133" max="7133" width="0.46484375" style="12" customWidth="1"/>
    <col min="7134" max="7164" width="9.73046875" style="12" customWidth="1"/>
    <col min="7165" max="7165" width="10.86328125" style="12" customWidth="1"/>
    <col min="7166" max="7385" width="8" style="12"/>
    <col min="7386" max="7386" width="1.3984375" style="12" customWidth="1"/>
    <col min="7387" max="7387" width="4.46484375" style="12" customWidth="1"/>
    <col min="7388" max="7388" width="26.73046875" style="12" customWidth="1"/>
    <col min="7389" max="7389" width="0.46484375" style="12" customWidth="1"/>
    <col min="7390" max="7420" width="9.73046875" style="12" customWidth="1"/>
    <col min="7421" max="7421" width="10.86328125" style="12" customWidth="1"/>
    <col min="7422" max="7641" width="8" style="12"/>
    <col min="7642" max="7642" width="1.3984375" style="12" customWidth="1"/>
    <col min="7643" max="7643" width="4.46484375" style="12" customWidth="1"/>
    <col min="7644" max="7644" width="26.73046875" style="12" customWidth="1"/>
    <col min="7645" max="7645" width="0.46484375" style="12" customWidth="1"/>
    <col min="7646" max="7676" width="9.73046875" style="12" customWidth="1"/>
    <col min="7677" max="7677" width="10.86328125" style="12" customWidth="1"/>
    <col min="7678" max="7897" width="8" style="12"/>
    <col min="7898" max="7898" width="1.3984375" style="12" customWidth="1"/>
    <col min="7899" max="7899" width="4.46484375" style="12" customWidth="1"/>
    <col min="7900" max="7900" width="26.73046875" style="12" customWidth="1"/>
    <col min="7901" max="7901" width="0.46484375" style="12" customWidth="1"/>
    <col min="7902" max="7932" width="9.73046875" style="12" customWidth="1"/>
    <col min="7933" max="7933" width="10.86328125" style="12" customWidth="1"/>
    <col min="7934" max="8153" width="8" style="12"/>
    <col min="8154" max="8154" width="1.3984375" style="12" customWidth="1"/>
    <col min="8155" max="8155" width="4.46484375" style="12" customWidth="1"/>
    <col min="8156" max="8156" width="26.73046875" style="12" customWidth="1"/>
    <col min="8157" max="8157" width="0.46484375" style="12" customWidth="1"/>
    <col min="8158" max="8188" width="9.73046875" style="12" customWidth="1"/>
    <col min="8189" max="8189" width="10.86328125" style="12" customWidth="1"/>
    <col min="8190" max="8409" width="8" style="12"/>
    <col min="8410" max="8410" width="1.3984375" style="12" customWidth="1"/>
    <col min="8411" max="8411" width="4.46484375" style="12" customWidth="1"/>
    <col min="8412" max="8412" width="26.73046875" style="12" customWidth="1"/>
    <col min="8413" max="8413" width="0.46484375" style="12" customWidth="1"/>
    <col min="8414" max="8444" width="9.73046875" style="12" customWidth="1"/>
    <col min="8445" max="8445" width="10.86328125" style="12" customWidth="1"/>
    <col min="8446" max="8665" width="8" style="12"/>
    <col min="8666" max="8666" width="1.3984375" style="12" customWidth="1"/>
    <col min="8667" max="8667" width="4.46484375" style="12" customWidth="1"/>
    <col min="8668" max="8668" width="26.73046875" style="12" customWidth="1"/>
    <col min="8669" max="8669" width="0.46484375" style="12" customWidth="1"/>
    <col min="8670" max="8700" width="9.73046875" style="12" customWidth="1"/>
    <col min="8701" max="8701" width="10.86328125" style="12" customWidth="1"/>
    <col min="8702" max="8921" width="8" style="12"/>
    <col min="8922" max="8922" width="1.3984375" style="12" customWidth="1"/>
    <col min="8923" max="8923" width="4.46484375" style="12" customWidth="1"/>
    <col min="8924" max="8924" width="26.73046875" style="12" customWidth="1"/>
    <col min="8925" max="8925" width="0.46484375" style="12" customWidth="1"/>
    <col min="8926" max="8956" width="9.73046875" style="12" customWidth="1"/>
    <col min="8957" max="8957" width="10.86328125" style="12" customWidth="1"/>
    <col min="8958" max="9177" width="8" style="12"/>
    <col min="9178" max="9178" width="1.3984375" style="12" customWidth="1"/>
    <col min="9179" max="9179" width="4.46484375" style="12" customWidth="1"/>
    <col min="9180" max="9180" width="26.73046875" style="12" customWidth="1"/>
    <col min="9181" max="9181" width="0.46484375" style="12" customWidth="1"/>
    <col min="9182" max="9212" width="9.73046875" style="12" customWidth="1"/>
    <col min="9213" max="9213" width="10.86328125" style="12" customWidth="1"/>
    <col min="9214" max="9433" width="8" style="12"/>
    <col min="9434" max="9434" width="1.3984375" style="12" customWidth="1"/>
    <col min="9435" max="9435" width="4.46484375" style="12" customWidth="1"/>
    <col min="9436" max="9436" width="26.73046875" style="12" customWidth="1"/>
    <col min="9437" max="9437" width="0.46484375" style="12" customWidth="1"/>
    <col min="9438" max="9468" width="9.73046875" style="12" customWidth="1"/>
    <col min="9469" max="9469" width="10.86328125" style="12" customWidth="1"/>
    <col min="9470" max="9689" width="8" style="12"/>
    <col min="9690" max="9690" width="1.3984375" style="12" customWidth="1"/>
    <col min="9691" max="9691" width="4.46484375" style="12" customWidth="1"/>
    <col min="9692" max="9692" width="26.73046875" style="12" customWidth="1"/>
    <col min="9693" max="9693" width="0.46484375" style="12" customWidth="1"/>
    <col min="9694" max="9724" width="9.73046875" style="12" customWidth="1"/>
    <col min="9725" max="9725" width="10.86328125" style="12" customWidth="1"/>
    <col min="9726" max="9945" width="8" style="12"/>
    <col min="9946" max="9946" width="1.3984375" style="12" customWidth="1"/>
    <col min="9947" max="9947" width="4.46484375" style="12" customWidth="1"/>
    <col min="9948" max="9948" width="26.73046875" style="12" customWidth="1"/>
    <col min="9949" max="9949" width="0.46484375" style="12" customWidth="1"/>
    <col min="9950" max="9980" width="9.73046875" style="12" customWidth="1"/>
    <col min="9981" max="9981" width="10.86328125" style="12" customWidth="1"/>
    <col min="9982" max="10201" width="8" style="12"/>
    <col min="10202" max="10202" width="1.3984375" style="12" customWidth="1"/>
    <col min="10203" max="10203" width="4.46484375" style="12" customWidth="1"/>
    <col min="10204" max="10204" width="26.73046875" style="12" customWidth="1"/>
    <col min="10205" max="10205" width="0.46484375" style="12" customWidth="1"/>
    <col min="10206" max="10236" width="9.73046875" style="12" customWidth="1"/>
    <col min="10237" max="10237" width="10.86328125" style="12" customWidth="1"/>
    <col min="10238" max="10457" width="8" style="12"/>
    <col min="10458" max="10458" width="1.3984375" style="12" customWidth="1"/>
    <col min="10459" max="10459" width="4.46484375" style="12" customWidth="1"/>
    <col min="10460" max="10460" width="26.73046875" style="12" customWidth="1"/>
    <col min="10461" max="10461" width="0.46484375" style="12" customWidth="1"/>
    <col min="10462" max="10492" width="9.73046875" style="12" customWidth="1"/>
    <col min="10493" max="10493" width="10.86328125" style="12" customWidth="1"/>
    <col min="10494" max="10713" width="8" style="12"/>
    <col min="10714" max="10714" width="1.3984375" style="12" customWidth="1"/>
    <col min="10715" max="10715" width="4.46484375" style="12" customWidth="1"/>
    <col min="10716" max="10716" width="26.73046875" style="12" customWidth="1"/>
    <col min="10717" max="10717" width="0.46484375" style="12" customWidth="1"/>
    <col min="10718" max="10748" width="9.73046875" style="12" customWidth="1"/>
    <col min="10749" max="10749" width="10.86328125" style="12" customWidth="1"/>
    <col min="10750" max="10969" width="8" style="12"/>
    <col min="10970" max="10970" width="1.3984375" style="12" customWidth="1"/>
    <col min="10971" max="10971" width="4.46484375" style="12" customWidth="1"/>
    <col min="10972" max="10972" width="26.73046875" style="12" customWidth="1"/>
    <col min="10973" max="10973" width="0.46484375" style="12" customWidth="1"/>
    <col min="10974" max="11004" width="9.73046875" style="12" customWidth="1"/>
    <col min="11005" max="11005" width="10.86328125" style="12" customWidth="1"/>
    <col min="11006" max="11225" width="8" style="12"/>
    <col min="11226" max="11226" width="1.3984375" style="12" customWidth="1"/>
    <col min="11227" max="11227" width="4.46484375" style="12" customWidth="1"/>
    <col min="11228" max="11228" width="26.73046875" style="12" customWidth="1"/>
    <col min="11229" max="11229" width="0.46484375" style="12" customWidth="1"/>
    <col min="11230" max="11260" width="9.73046875" style="12" customWidth="1"/>
    <col min="11261" max="11261" width="10.86328125" style="12" customWidth="1"/>
    <col min="11262" max="11481" width="8" style="12"/>
    <col min="11482" max="11482" width="1.3984375" style="12" customWidth="1"/>
    <col min="11483" max="11483" width="4.46484375" style="12" customWidth="1"/>
    <col min="11484" max="11484" width="26.73046875" style="12" customWidth="1"/>
    <col min="11485" max="11485" width="0.46484375" style="12" customWidth="1"/>
    <col min="11486" max="11516" width="9.73046875" style="12" customWidth="1"/>
    <col min="11517" max="11517" width="10.86328125" style="12" customWidth="1"/>
    <col min="11518" max="11737" width="8" style="12"/>
    <col min="11738" max="11738" width="1.3984375" style="12" customWidth="1"/>
    <col min="11739" max="11739" width="4.46484375" style="12" customWidth="1"/>
    <col min="11740" max="11740" width="26.73046875" style="12" customWidth="1"/>
    <col min="11741" max="11741" width="0.46484375" style="12" customWidth="1"/>
    <col min="11742" max="11772" width="9.73046875" style="12" customWidth="1"/>
    <col min="11773" max="11773" width="10.86328125" style="12" customWidth="1"/>
    <col min="11774" max="11993" width="8" style="12"/>
    <col min="11994" max="11994" width="1.3984375" style="12" customWidth="1"/>
    <col min="11995" max="11995" width="4.46484375" style="12" customWidth="1"/>
    <col min="11996" max="11996" width="26.73046875" style="12" customWidth="1"/>
    <col min="11997" max="11997" width="0.46484375" style="12" customWidth="1"/>
    <col min="11998" max="12028" width="9.73046875" style="12" customWidth="1"/>
    <col min="12029" max="12029" width="10.86328125" style="12" customWidth="1"/>
    <col min="12030" max="12249" width="8" style="12"/>
    <col min="12250" max="12250" width="1.3984375" style="12" customWidth="1"/>
    <col min="12251" max="12251" width="4.46484375" style="12" customWidth="1"/>
    <col min="12252" max="12252" width="26.73046875" style="12" customWidth="1"/>
    <col min="12253" max="12253" width="0.46484375" style="12" customWidth="1"/>
    <col min="12254" max="12284" width="9.73046875" style="12" customWidth="1"/>
    <col min="12285" max="12285" width="10.86328125" style="12" customWidth="1"/>
    <col min="12286" max="12505" width="8" style="12"/>
    <col min="12506" max="12506" width="1.3984375" style="12" customWidth="1"/>
    <col min="12507" max="12507" width="4.46484375" style="12" customWidth="1"/>
    <col min="12508" max="12508" width="26.73046875" style="12" customWidth="1"/>
    <col min="12509" max="12509" width="0.46484375" style="12" customWidth="1"/>
    <col min="12510" max="12540" width="9.73046875" style="12" customWidth="1"/>
    <col min="12541" max="12541" width="10.86328125" style="12" customWidth="1"/>
    <col min="12542" max="12761" width="8" style="12"/>
    <col min="12762" max="12762" width="1.3984375" style="12" customWidth="1"/>
    <col min="12763" max="12763" width="4.46484375" style="12" customWidth="1"/>
    <col min="12764" max="12764" width="26.73046875" style="12" customWidth="1"/>
    <col min="12765" max="12765" width="0.46484375" style="12" customWidth="1"/>
    <col min="12766" max="12796" width="9.73046875" style="12" customWidth="1"/>
    <col min="12797" max="12797" width="10.86328125" style="12" customWidth="1"/>
    <col min="12798" max="13017" width="8" style="12"/>
    <col min="13018" max="13018" width="1.3984375" style="12" customWidth="1"/>
    <col min="13019" max="13019" width="4.46484375" style="12" customWidth="1"/>
    <col min="13020" max="13020" width="26.73046875" style="12" customWidth="1"/>
    <col min="13021" max="13021" width="0.46484375" style="12" customWidth="1"/>
    <col min="13022" max="13052" width="9.73046875" style="12" customWidth="1"/>
    <col min="13053" max="13053" width="10.86328125" style="12" customWidth="1"/>
    <col min="13054" max="13273" width="8" style="12"/>
    <col min="13274" max="13274" width="1.3984375" style="12" customWidth="1"/>
    <col min="13275" max="13275" width="4.46484375" style="12" customWidth="1"/>
    <col min="13276" max="13276" width="26.73046875" style="12" customWidth="1"/>
    <col min="13277" max="13277" width="0.46484375" style="12" customWidth="1"/>
    <col min="13278" max="13308" width="9.73046875" style="12" customWidth="1"/>
    <col min="13309" max="13309" width="10.86328125" style="12" customWidth="1"/>
    <col min="13310" max="13529" width="8" style="12"/>
    <col min="13530" max="13530" width="1.3984375" style="12" customWidth="1"/>
    <col min="13531" max="13531" width="4.46484375" style="12" customWidth="1"/>
    <col min="13532" max="13532" width="26.73046875" style="12" customWidth="1"/>
    <col min="13533" max="13533" width="0.46484375" style="12" customWidth="1"/>
    <col min="13534" max="13564" width="9.73046875" style="12" customWidth="1"/>
    <col min="13565" max="13565" width="10.86328125" style="12" customWidth="1"/>
    <col min="13566" max="13785" width="8" style="12"/>
    <col min="13786" max="13786" width="1.3984375" style="12" customWidth="1"/>
    <col min="13787" max="13787" width="4.46484375" style="12" customWidth="1"/>
    <col min="13788" max="13788" width="26.73046875" style="12" customWidth="1"/>
    <col min="13789" max="13789" width="0.46484375" style="12" customWidth="1"/>
    <col min="13790" max="13820" width="9.73046875" style="12" customWidth="1"/>
    <col min="13821" max="13821" width="10.86328125" style="12" customWidth="1"/>
    <col min="13822" max="14041" width="8" style="12"/>
    <col min="14042" max="14042" width="1.3984375" style="12" customWidth="1"/>
    <col min="14043" max="14043" width="4.46484375" style="12" customWidth="1"/>
    <col min="14044" max="14044" width="26.73046875" style="12" customWidth="1"/>
    <col min="14045" max="14045" width="0.46484375" style="12" customWidth="1"/>
    <col min="14046" max="14076" width="9.73046875" style="12" customWidth="1"/>
    <col min="14077" max="14077" width="10.86328125" style="12" customWidth="1"/>
    <col min="14078" max="14297" width="8" style="12"/>
    <col min="14298" max="14298" width="1.3984375" style="12" customWidth="1"/>
    <col min="14299" max="14299" width="4.46484375" style="12" customWidth="1"/>
    <col min="14300" max="14300" width="26.73046875" style="12" customWidth="1"/>
    <col min="14301" max="14301" width="0.46484375" style="12" customWidth="1"/>
    <col min="14302" max="14332" width="9.73046875" style="12" customWidth="1"/>
    <col min="14333" max="14333" width="10.86328125" style="12" customWidth="1"/>
    <col min="14334" max="14553" width="8" style="12"/>
    <col min="14554" max="14554" width="1.3984375" style="12" customWidth="1"/>
    <col min="14555" max="14555" width="4.46484375" style="12" customWidth="1"/>
    <col min="14556" max="14556" width="26.73046875" style="12" customWidth="1"/>
    <col min="14557" max="14557" width="0.46484375" style="12" customWidth="1"/>
    <col min="14558" max="14588" width="9.73046875" style="12" customWidth="1"/>
    <col min="14589" max="14589" width="10.86328125" style="12" customWidth="1"/>
    <col min="14590" max="14809" width="8" style="12"/>
    <col min="14810" max="14810" width="1.3984375" style="12" customWidth="1"/>
    <col min="14811" max="14811" width="4.46484375" style="12" customWidth="1"/>
    <col min="14812" max="14812" width="26.73046875" style="12" customWidth="1"/>
    <col min="14813" max="14813" width="0.46484375" style="12" customWidth="1"/>
    <col min="14814" max="14844" width="9.73046875" style="12" customWidth="1"/>
    <col min="14845" max="14845" width="10.86328125" style="12" customWidth="1"/>
    <col min="14846" max="15065" width="8" style="12"/>
    <col min="15066" max="15066" width="1.3984375" style="12" customWidth="1"/>
    <col min="15067" max="15067" width="4.46484375" style="12" customWidth="1"/>
    <col min="15068" max="15068" width="26.73046875" style="12" customWidth="1"/>
    <col min="15069" max="15069" width="0.46484375" style="12" customWidth="1"/>
    <col min="15070" max="15100" width="9.73046875" style="12" customWidth="1"/>
    <col min="15101" max="15101" width="10.86328125" style="12" customWidth="1"/>
    <col min="15102" max="15321" width="8" style="12"/>
    <col min="15322" max="15322" width="1.3984375" style="12" customWidth="1"/>
    <col min="15323" max="15323" width="4.46484375" style="12" customWidth="1"/>
    <col min="15324" max="15324" width="26.73046875" style="12" customWidth="1"/>
    <col min="15325" max="15325" width="0.46484375" style="12" customWidth="1"/>
    <col min="15326" max="15356" width="9.73046875" style="12" customWidth="1"/>
    <col min="15357" max="15357" width="10.86328125" style="12" customWidth="1"/>
    <col min="15358" max="15577" width="8" style="12"/>
    <col min="15578" max="15578" width="1.3984375" style="12" customWidth="1"/>
    <col min="15579" max="15579" width="4.46484375" style="12" customWidth="1"/>
    <col min="15580" max="15580" width="26.73046875" style="12" customWidth="1"/>
    <col min="15581" max="15581" width="0.46484375" style="12" customWidth="1"/>
    <col min="15582" max="15612" width="9.73046875" style="12" customWidth="1"/>
    <col min="15613" max="15613" width="10.86328125" style="12" customWidth="1"/>
    <col min="15614" max="15833" width="8" style="12"/>
    <col min="15834" max="15834" width="1.3984375" style="12" customWidth="1"/>
    <col min="15835" max="15835" width="4.46484375" style="12" customWidth="1"/>
    <col min="15836" max="15836" width="26.73046875" style="12" customWidth="1"/>
    <col min="15837" max="15837" width="0.46484375" style="12" customWidth="1"/>
    <col min="15838" max="15868" width="9.73046875" style="12" customWidth="1"/>
    <col min="15869" max="15869" width="10.86328125" style="12" customWidth="1"/>
    <col min="15870" max="16089" width="8" style="12"/>
    <col min="16090" max="16090" width="1.3984375" style="12" customWidth="1"/>
    <col min="16091" max="16091" width="4.46484375" style="12" customWidth="1"/>
    <col min="16092" max="16092" width="26.73046875" style="12" customWidth="1"/>
    <col min="16093" max="16093" width="0.46484375" style="12" customWidth="1"/>
    <col min="16094" max="16124" width="9.73046875" style="12" customWidth="1"/>
    <col min="16125" max="16125" width="10.86328125" style="12" customWidth="1"/>
    <col min="16126" max="16384" width="8" style="12"/>
  </cols>
  <sheetData>
    <row r="1" spans="1:11" s="2" customFormat="1" ht="13.5" x14ac:dyDescent="0.4">
      <c r="A1" s="1" t="s">
        <v>0</v>
      </c>
      <c r="C1" s="3" t="s">
        <v>183</v>
      </c>
      <c r="D1" s="4"/>
    </row>
    <row r="2" spans="1:11" s="2" customFormat="1" ht="13.5" x14ac:dyDescent="0.4">
      <c r="A2" s="1" t="s">
        <v>1</v>
      </c>
      <c r="C2" s="3" t="s">
        <v>184</v>
      </c>
      <c r="D2" s="4"/>
    </row>
    <row r="3" spans="1:11" s="2" customFormat="1" ht="13.15" x14ac:dyDescent="0.4">
      <c r="A3" s="1" t="s">
        <v>2</v>
      </c>
      <c r="C3" s="4" t="s">
        <v>3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125" customFormat="1" ht="13.5" x14ac:dyDescent="0.4">
      <c r="A6" s="120"/>
      <c r="B6" s="121"/>
      <c r="C6" s="122" t="str">
        <f>[1]!to_tradecode(C1)</f>
        <v>000001</v>
      </c>
      <c r="D6" s="7">
        <v>38990</v>
      </c>
      <c r="E6" s="7">
        <v>40908</v>
      </c>
      <c r="F6" s="7">
        <v>41274</v>
      </c>
      <c r="G6" s="7">
        <v>41639</v>
      </c>
      <c r="H6" s="7">
        <v>42004</v>
      </c>
      <c r="I6" s="7">
        <v>42369</v>
      </c>
      <c r="J6" s="123">
        <v>42735</v>
      </c>
      <c r="K6" s="124">
        <v>42825</v>
      </c>
    </row>
    <row r="7" spans="1:11" s="8" customFormat="1" ht="2.25" customHeight="1" x14ac:dyDescent="0.4">
      <c r="B7" s="9"/>
      <c r="C7" s="10"/>
      <c r="E7" s="11"/>
      <c r="F7" s="11"/>
      <c r="G7" s="11"/>
      <c r="H7" s="11"/>
      <c r="I7" s="11"/>
      <c r="J7" s="11"/>
      <c r="K7" s="11"/>
    </row>
    <row r="8" spans="1:11" s="8" customFormat="1" ht="13.5" x14ac:dyDescent="0.4">
      <c r="B8" s="57" t="s">
        <v>4</v>
      </c>
      <c r="C8" s="10"/>
      <c r="E8" s="11"/>
      <c r="F8" s="11"/>
      <c r="G8" s="11"/>
      <c r="H8" s="11"/>
      <c r="I8" s="11"/>
      <c r="J8" s="11"/>
      <c r="K8" s="11"/>
    </row>
    <row r="9" spans="1:11" s="126" customFormat="1" ht="13.5" thickBot="1" x14ac:dyDescent="0.4">
      <c r="C9" s="13" t="s">
        <v>5</v>
      </c>
      <c r="E9" s="126">
        <v>2011</v>
      </c>
      <c r="F9" s="126">
        <v>2012</v>
      </c>
      <c r="G9" s="126">
        <v>2013</v>
      </c>
      <c r="H9" s="126">
        <v>2014</v>
      </c>
      <c r="I9" s="126">
        <v>2015</v>
      </c>
      <c r="J9" s="126">
        <v>2016</v>
      </c>
      <c r="K9" s="126" t="s">
        <v>185</v>
      </c>
    </row>
    <row r="10" spans="1:11" ht="13.15" x14ac:dyDescent="0.35">
      <c r="C10" s="99" t="s">
        <v>11</v>
      </c>
      <c r="E10" s="115">
        <v>160635.236</v>
      </c>
      <c r="F10" s="115">
        <v>219347.476</v>
      </c>
      <c r="G10" s="115">
        <v>229924</v>
      </c>
      <c r="H10" s="115">
        <v>306298</v>
      </c>
      <c r="I10" s="127">
        <v>291715</v>
      </c>
      <c r="J10" s="127">
        <v>311258</v>
      </c>
      <c r="K10" s="115">
        <v>269541</v>
      </c>
    </row>
    <row r="11" spans="1:11" ht="13.15" x14ac:dyDescent="0.35">
      <c r="C11" s="15" t="s">
        <v>12</v>
      </c>
      <c r="E11" s="32">
        <v>39884.341999999997</v>
      </c>
      <c r="F11" s="32">
        <v>94295.112999999998</v>
      </c>
      <c r="G11" s="32">
        <v>71914</v>
      </c>
      <c r="H11" s="32">
        <v>66969</v>
      </c>
      <c r="I11" s="128">
        <v>109046</v>
      </c>
      <c r="J11" s="128">
        <v>166882</v>
      </c>
      <c r="K11" s="32">
        <v>173066</v>
      </c>
    </row>
    <row r="12" spans="1:11" ht="13.15" x14ac:dyDescent="0.35">
      <c r="C12" s="15" t="s">
        <v>13</v>
      </c>
      <c r="E12" s="32">
        <v>0</v>
      </c>
      <c r="F12" s="32">
        <v>2430.4639999999999</v>
      </c>
      <c r="G12" s="32">
        <v>21286</v>
      </c>
      <c r="H12" s="32">
        <v>45254</v>
      </c>
      <c r="I12" s="128">
        <v>63744</v>
      </c>
      <c r="J12" s="128">
        <v>93787</v>
      </c>
      <c r="K12" s="32">
        <v>108137</v>
      </c>
    </row>
    <row r="13" spans="1:11" ht="13.15" x14ac:dyDescent="0.35">
      <c r="C13" s="15" t="s">
        <v>14</v>
      </c>
      <c r="E13" s="32">
        <v>8446.5669999999991</v>
      </c>
      <c r="F13" s="32">
        <v>65426</v>
      </c>
      <c r="G13" s="32">
        <v>27241</v>
      </c>
      <c r="H13" s="32">
        <v>45841</v>
      </c>
      <c r="I13" s="128">
        <v>76636</v>
      </c>
      <c r="J13" s="128">
        <v>97450</v>
      </c>
      <c r="K13" s="32">
        <v>69009</v>
      </c>
    </row>
    <row r="14" spans="1:11" ht="13.15" x14ac:dyDescent="0.35">
      <c r="C14" s="15" t="s">
        <v>15</v>
      </c>
      <c r="E14" s="32">
        <v>2607.902</v>
      </c>
      <c r="F14" s="32">
        <v>4237.4520000000002</v>
      </c>
      <c r="G14" s="32">
        <v>10421</v>
      </c>
      <c r="H14" s="32">
        <v>25811</v>
      </c>
      <c r="I14" s="128">
        <v>19757</v>
      </c>
      <c r="J14" s="128">
        <v>57179</v>
      </c>
      <c r="K14" s="32">
        <v>44044</v>
      </c>
    </row>
    <row r="15" spans="1:11" ht="13.15" x14ac:dyDescent="0.35">
      <c r="C15" s="15" t="s">
        <v>16</v>
      </c>
      <c r="E15" s="32">
        <v>810.577</v>
      </c>
      <c r="F15" s="32">
        <v>966.65499999999997</v>
      </c>
      <c r="G15" s="32">
        <v>3397</v>
      </c>
      <c r="H15" s="32">
        <v>4300</v>
      </c>
      <c r="I15" s="128">
        <v>8144</v>
      </c>
      <c r="J15" s="128">
        <v>8730</v>
      </c>
      <c r="K15" s="32">
        <v>4188</v>
      </c>
    </row>
    <row r="16" spans="1:11" ht="13.15" x14ac:dyDescent="0.35">
      <c r="C16" s="15" t="s">
        <v>17</v>
      </c>
      <c r="E16" s="32">
        <v>34303.887000000002</v>
      </c>
      <c r="F16" s="32">
        <v>186472.796</v>
      </c>
      <c r="G16" s="32">
        <v>271692</v>
      </c>
      <c r="H16" s="32">
        <v>178636</v>
      </c>
      <c r="I16" s="128">
        <v>117291</v>
      </c>
      <c r="J16" s="128">
        <v>8876</v>
      </c>
      <c r="K16" s="32">
        <v>810</v>
      </c>
    </row>
    <row r="17" spans="3:11" ht="13.15" x14ac:dyDescent="0.35">
      <c r="C17" s="15" t="s">
        <v>18</v>
      </c>
      <c r="E17" s="32">
        <v>7274.1890000000003</v>
      </c>
      <c r="F17" s="32">
        <v>8757.08</v>
      </c>
      <c r="G17" s="32">
        <v>10043</v>
      </c>
      <c r="H17" s="32">
        <v>11937</v>
      </c>
      <c r="I17" s="128">
        <v>13540</v>
      </c>
      <c r="J17" s="128">
        <v>15770</v>
      </c>
      <c r="K17" s="32">
        <v>17071</v>
      </c>
    </row>
    <row r="18" spans="3:11" ht="13.15" x14ac:dyDescent="0.35">
      <c r="C18" s="15" t="s">
        <v>186</v>
      </c>
      <c r="E18" s="32">
        <v>170589.01</v>
      </c>
      <c r="F18" s="32">
        <v>8364.14</v>
      </c>
      <c r="G18" s="32">
        <v>7058</v>
      </c>
      <c r="H18" s="32">
        <v>9925</v>
      </c>
      <c r="I18" s="128">
        <v>6624</v>
      </c>
      <c r="J18" s="128">
        <v>5568</v>
      </c>
      <c r="K18" s="32">
        <v>5226</v>
      </c>
    </row>
    <row r="19" spans="3:11" ht="12.75" customHeight="1" x14ac:dyDescent="0.35">
      <c r="C19" s="15" t="s">
        <v>19</v>
      </c>
      <c r="E19" s="32">
        <v>610075.33600000001</v>
      </c>
      <c r="F19" s="32">
        <v>708262.39</v>
      </c>
      <c r="G19" s="32">
        <v>832127</v>
      </c>
      <c r="H19" s="32">
        <v>1003637</v>
      </c>
      <c r="I19" s="128">
        <v>1186872</v>
      </c>
      <c r="J19" s="128">
        <v>1435869</v>
      </c>
      <c r="K19" s="32">
        <v>1504184</v>
      </c>
    </row>
    <row r="20" spans="3:11" ht="13.15" x14ac:dyDescent="0.35">
      <c r="C20" s="15" t="s">
        <v>20</v>
      </c>
      <c r="E20" s="32">
        <v>78383.525999999998</v>
      </c>
      <c r="F20" s="32">
        <v>89895.873999999996</v>
      </c>
      <c r="G20" s="32">
        <v>467</v>
      </c>
      <c r="H20" s="32">
        <v>1493</v>
      </c>
      <c r="I20" s="128">
        <v>1245</v>
      </c>
      <c r="J20" s="128">
        <v>1179</v>
      </c>
      <c r="K20" s="32">
        <v>1238</v>
      </c>
    </row>
    <row r="21" spans="3:11" ht="13.15" x14ac:dyDescent="0.35">
      <c r="C21" s="15" t="s">
        <v>21</v>
      </c>
      <c r="E21" s="32">
        <v>107683.08</v>
      </c>
      <c r="F21" s="32">
        <v>103124.183</v>
      </c>
      <c r="G21" s="32">
        <v>195667</v>
      </c>
      <c r="H21" s="32">
        <v>207874</v>
      </c>
      <c r="I21" s="128">
        <v>266166</v>
      </c>
      <c r="J21" s="128">
        <v>286802</v>
      </c>
      <c r="K21" s="32">
        <v>291433</v>
      </c>
    </row>
    <row r="22" spans="3:11" ht="13.15" x14ac:dyDescent="0.35">
      <c r="C22" s="15" t="s">
        <v>22</v>
      </c>
      <c r="E22" s="32">
        <v>13732.1</v>
      </c>
      <c r="F22" s="32">
        <v>90837.7</v>
      </c>
      <c r="G22" s="32">
        <v>184656</v>
      </c>
      <c r="H22" s="32">
        <v>246258</v>
      </c>
      <c r="I22" s="128">
        <v>307635</v>
      </c>
      <c r="J22" s="128">
        <v>414278</v>
      </c>
      <c r="K22" s="32">
        <v>465280</v>
      </c>
    </row>
    <row r="23" spans="3:11" ht="13.15" x14ac:dyDescent="0.35">
      <c r="C23" s="15" t="s">
        <v>23</v>
      </c>
      <c r="E23" s="32"/>
      <c r="F23" s="32"/>
      <c r="G23" s="32"/>
      <c r="H23" s="32"/>
      <c r="I23" s="128"/>
      <c r="J23" s="128"/>
      <c r="K23" s="32"/>
    </row>
    <row r="24" spans="3:11" ht="13.15" x14ac:dyDescent="0.35">
      <c r="C24" s="15" t="s">
        <v>24</v>
      </c>
      <c r="E24" s="32">
        <v>539.29399999999998</v>
      </c>
      <c r="F24" s="32">
        <v>521.79600000000005</v>
      </c>
      <c r="G24" s="32">
        <v>596</v>
      </c>
      <c r="H24" s="32">
        <v>486</v>
      </c>
      <c r="I24" s="128">
        <v>521</v>
      </c>
      <c r="J24" s="128">
        <v>0</v>
      </c>
      <c r="K24" s="32">
        <v>0</v>
      </c>
    </row>
    <row r="25" spans="3:11" ht="13.15" x14ac:dyDescent="0.35">
      <c r="C25" s="15" t="s">
        <v>25</v>
      </c>
      <c r="E25" s="32">
        <v>3524.2649999999999</v>
      </c>
      <c r="F25" s="32">
        <v>3536.4430000000002</v>
      </c>
      <c r="G25" s="32">
        <v>3694</v>
      </c>
      <c r="H25" s="32">
        <v>3812</v>
      </c>
      <c r="I25" s="128">
        <v>4788</v>
      </c>
      <c r="J25" s="128">
        <v>8316</v>
      </c>
      <c r="K25" s="32">
        <v>8119</v>
      </c>
    </row>
    <row r="26" spans="3:11" ht="13.15" x14ac:dyDescent="0.35">
      <c r="C26" s="15" t="s">
        <v>182</v>
      </c>
      <c r="E26" s="32">
        <v>262.79000000000002</v>
      </c>
      <c r="F26" s="32">
        <v>196.37</v>
      </c>
      <c r="G26" s="32">
        <v>116</v>
      </c>
      <c r="H26" s="32">
        <v>110</v>
      </c>
      <c r="I26" s="128">
        <v>212</v>
      </c>
      <c r="J26" s="128">
        <v>221</v>
      </c>
      <c r="K26" s="32">
        <v>221</v>
      </c>
    </row>
    <row r="27" spans="3:11" ht="13.15" x14ac:dyDescent="0.35">
      <c r="C27" s="15" t="s">
        <v>27</v>
      </c>
      <c r="E27" s="32">
        <v>5989.7309999999998</v>
      </c>
      <c r="F27" s="32">
        <v>5878.3789999999999</v>
      </c>
      <c r="G27" s="32">
        <v>5463</v>
      </c>
      <c r="H27" s="32">
        <v>5293</v>
      </c>
      <c r="I27" s="128">
        <v>4961</v>
      </c>
      <c r="J27" s="128">
        <v>4771</v>
      </c>
      <c r="K27" s="32">
        <v>4734</v>
      </c>
    </row>
    <row r="28" spans="3:11" ht="13.15" x14ac:dyDescent="0.35">
      <c r="C28" s="15" t="s">
        <v>28</v>
      </c>
      <c r="E28" s="32">
        <v>7568.3040000000001</v>
      </c>
      <c r="F28" s="32">
        <v>7568.3040000000001</v>
      </c>
      <c r="G28" s="32">
        <v>7568</v>
      </c>
      <c r="H28" s="32">
        <v>7568</v>
      </c>
      <c r="I28" s="128">
        <v>7568</v>
      </c>
      <c r="J28" s="128">
        <v>7568</v>
      </c>
      <c r="K28" s="32">
        <v>7568</v>
      </c>
    </row>
    <row r="29" spans="3:11" ht="13.15" x14ac:dyDescent="0.35">
      <c r="C29" s="15" t="s">
        <v>29</v>
      </c>
      <c r="E29" s="32">
        <v>2889.7620000000002</v>
      </c>
      <c r="F29" s="32">
        <v>3449.6410000000001</v>
      </c>
      <c r="G29" s="32">
        <v>4406</v>
      </c>
      <c r="H29" s="32">
        <v>6834</v>
      </c>
      <c r="I29" s="128">
        <v>8728</v>
      </c>
      <c r="J29" s="128">
        <v>17831</v>
      </c>
      <c r="K29" s="32">
        <v>18935</v>
      </c>
    </row>
    <row r="30" spans="3:11" ht="13.15" x14ac:dyDescent="0.35">
      <c r="C30" s="15" t="s">
        <v>30</v>
      </c>
      <c r="E30" s="104">
        <v>2977.0459999996237</v>
      </c>
      <c r="F30" s="104">
        <v>2968.5039999997243</v>
      </c>
      <c r="G30" s="104">
        <v>4005</v>
      </c>
      <c r="H30" s="104">
        <v>8123</v>
      </c>
      <c r="I30" s="104">
        <v>11956</v>
      </c>
      <c r="J30" s="104">
        <v>11099</v>
      </c>
      <c r="K30" s="104">
        <v>13391</v>
      </c>
    </row>
    <row r="31" spans="3:11" ht="13.5" thickBot="1" x14ac:dyDescent="0.45">
      <c r="C31" s="16" t="s">
        <v>31</v>
      </c>
      <c r="E31" s="70">
        <v>1258176.9439999999</v>
      </c>
      <c r="F31" s="70">
        <v>1606536.76</v>
      </c>
      <c r="G31" s="70">
        <v>1891741</v>
      </c>
      <c r="H31" s="70">
        <v>2186459</v>
      </c>
      <c r="I31" s="129">
        <v>2507149</v>
      </c>
      <c r="J31" s="129">
        <v>2953434</v>
      </c>
      <c r="K31" s="70">
        <v>3006195</v>
      </c>
    </row>
    <row r="33" spans="3:11" ht="13.5" thickBot="1" x14ac:dyDescent="0.45">
      <c r="C33" s="18" t="s">
        <v>32</v>
      </c>
    </row>
    <row r="34" spans="3:11" ht="13.15" x14ac:dyDescent="0.35">
      <c r="C34" s="99" t="s">
        <v>33</v>
      </c>
      <c r="E34" s="115">
        <v>1130.876</v>
      </c>
      <c r="F34" s="115">
        <v>16167.915000000001</v>
      </c>
      <c r="G34" s="115">
        <v>2264</v>
      </c>
      <c r="H34" s="115">
        <v>2754</v>
      </c>
      <c r="I34" s="127">
        <v>3051</v>
      </c>
      <c r="J34" s="127">
        <v>19137</v>
      </c>
      <c r="K34" s="115">
        <v>25074</v>
      </c>
    </row>
    <row r="35" spans="3:11" ht="13.15" x14ac:dyDescent="0.35">
      <c r="C35" s="15" t="s">
        <v>34</v>
      </c>
      <c r="E35" s="32">
        <v>155409.777</v>
      </c>
      <c r="F35" s="32">
        <v>354222.804</v>
      </c>
      <c r="G35" s="32">
        <v>450789</v>
      </c>
      <c r="H35" s="32">
        <v>385451</v>
      </c>
      <c r="I35" s="128">
        <v>311106</v>
      </c>
      <c r="J35" s="128">
        <v>392351</v>
      </c>
      <c r="K35" s="32">
        <v>400576</v>
      </c>
    </row>
    <row r="36" spans="3:11" ht="13.15" x14ac:dyDescent="0.35">
      <c r="C36" s="15" t="s">
        <v>35</v>
      </c>
      <c r="E36" s="32">
        <v>25279.348999999998</v>
      </c>
      <c r="F36" s="32">
        <v>39068.123</v>
      </c>
      <c r="G36" s="32">
        <v>22633</v>
      </c>
      <c r="H36" s="32">
        <v>13551</v>
      </c>
      <c r="I36" s="128">
        <v>12143</v>
      </c>
      <c r="J36" s="128">
        <v>52586</v>
      </c>
      <c r="K36" s="32">
        <v>59513</v>
      </c>
    </row>
    <row r="37" spans="3:11" x14ac:dyDescent="0.35">
      <c r="C37" s="12" t="s">
        <v>36</v>
      </c>
      <c r="E37" s="32">
        <v>0</v>
      </c>
      <c r="F37" s="32">
        <v>1722.3119999999999</v>
      </c>
      <c r="G37" s="32">
        <v>3692</v>
      </c>
      <c r="H37" s="32">
        <v>4259</v>
      </c>
      <c r="I37" s="128">
        <v>8506</v>
      </c>
      <c r="J37" s="128">
        <v>21913</v>
      </c>
      <c r="K37" s="32">
        <v>9663</v>
      </c>
    </row>
    <row r="38" spans="3:11" x14ac:dyDescent="0.35">
      <c r="C38" s="12" t="s">
        <v>37</v>
      </c>
      <c r="E38" s="32">
        <v>732.41800000000001</v>
      </c>
      <c r="F38" s="32">
        <v>952.26099999999997</v>
      </c>
      <c r="G38" s="32">
        <v>2914</v>
      </c>
      <c r="H38" s="32">
        <v>2662</v>
      </c>
      <c r="I38" s="128">
        <v>4037</v>
      </c>
      <c r="J38" s="128">
        <v>8349</v>
      </c>
      <c r="K38" s="32">
        <v>6964</v>
      </c>
    </row>
    <row r="39" spans="3:11" x14ac:dyDescent="0.35">
      <c r="C39" s="12" t="s">
        <v>38</v>
      </c>
      <c r="E39" s="32">
        <v>39197.370999999999</v>
      </c>
      <c r="F39" s="32">
        <v>46147.767999999996</v>
      </c>
      <c r="G39" s="32">
        <v>36049</v>
      </c>
      <c r="H39" s="32">
        <v>22568</v>
      </c>
      <c r="I39" s="128">
        <v>11000</v>
      </c>
      <c r="J39" s="128">
        <v>18941</v>
      </c>
      <c r="K39" s="32">
        <v>12332</v>
      </c>
    </row>
    <row r="40" spans="3:11" ht="13.15" x14ac:dyDescent="0.35">
      <c r="C40" s="15" t="s">
        <v>187</v>
      </c>
      <c r="E40" s="32">
        <v>70560.733999999997</v>
      </c>
      <c r="F40" s="32">
        <v>3051.78</v>
      </c>
      <c r="G40" s="32">
        <v>2149</v>
      </c>
      <c r="H40" s="32">
        <v>1883</v>
      </c>
      <c r="I40" s="128">
        <v>44</v>
      </c>
      <c r="J40" s="128">
        <v>0</v>
      </c>
      <c r="K40" s="32">
        <v>0</v>
      </c>
    </row>
    <row r="41" spans="3:11" x14ac:dyDescent="0.35">
      <c r="C41" s="12" t="s">
        <v>40</v>
      </c>
      <c r="E41" s="32">
        <v>850845.147</v>
      </c>
      <c r="F41" s="32">
        <v>1021107.702</v>
      </c>
      <c r="G41" s="32">
        <v>1217002</v>
      </c>
      <c r="H41" s="32">
        <v>1533183</v>
      </c>
      <c r="I41" s="128">
        <v>1733921</v>
      </c>
      <c r="J41" s="128">
        <v>1921835</v>
      </c>
      <c r="K41" s="32">
        <v>1912082</v>
      </c>
    </row>
    <row r="42" spans="3:11" x14ac:dyDescent="0.35">
      <c r="C42" s="12" t="s">
        <v>41</v>
      </c>
      <c r="E42" s="32">
        <v>3600.3449999999998</v>
      </c>
      <c r="F42" s="32">
        <v>4863.1059999999998</v>
      </c>
      <c r="G42" s="32">
        <v>6013</v>
      </c>
      <c r="H42" s="32">
        <v>7961</v>
      </c>
      <c r="I42" s="128">
        <v>10351</v>
      </c>
      <c r="J42" s="128">
        <v>9289</v>
      </c>
      <c r="K42" s="32">
        <v>6907</v>
      </c>
    </row>
    <row r="43" spans="3:11" x14ac:dyDescent="0.35">
      <c r="C43" s="12" t="s">
        <v>42</v>
      </c>
      <c r="E43" s="32">
        <v>2535.8139999999999</v>
      </c>
      <c r="F43" s="32">
        <v>2298.6419999999998</v>
      </c>
      <c r="G43" s="32">
        <v>4205</v>
      </c>
      <c r="H43" s="32">
        <v>5794</v>
      </c>
      <c r="I43" s="128">
        <v>6571</v>
      </c>
      <c r="J43" s="128">
        <v>12754</v>
      </c>
      <c r="K43" s="32">
        <v>15199</v>
      </c>
    </row>
    <row r="44" spans="3:11" x14ac:dyDescent="0.35">
      <c r="C44" s="12" t="s">
        <v>43</v>
      </c>
      <c r="E44" s="32">
        <v>9913.6610000000001</v>
      </c>
      <c r="F44" s="32">
        <v>11525.905000000001</v>
      </c>
      <c r="G44" s="32">
        <v>16605</v>
      </c>
      <c r="H44" s="32">
        <v>25229</v>
      </c>
      <c r="I44" s="128">
        <v>23253</v>
      </c>
      <c r="J44" s="128">
        <v>21532</v>
      </c>
      <c r="K44" s="32">
        <v>21327</v>
      </c>
    </row>
    <row r="45" spans="3:11" x14ac:dyDescent="0.35">
      <c r="C45" s="12" t="s">
        <v>44</v>
      </c>
      <c r="E45" s="32">
        <v>112.246</v>
      </c>
      <c r="F45" s="32">
        <v>127.676</v>
      </c>
      <c r="G45" s="32">
        <v>56</v>
      </c>
      <c r="H45" s="32">
        <v>25</v>
      </c>
      <c r="I45" s="128">
        <v>26</v>
      </c>
      <c r="J45" s="128">
        <v>90</v>
      </c>
      <c r="K45" s="32">
        <v>60</v>
      </c>
    </row>
    <row r="46" spans="3:11" ht="13.15" x14ac:dyDescent="0.35">
      <c r="C46" s="15" t="s">
        <v>45</v>
      </c>
      <c r="E46" s="32">
        <v>16054.486000000001</v>
      </c>
      <c r="F46" s="32">
        <v>16078.612999999999</v>
      </c>
      <c r="G46" s="32">
        <v>8102</v>
      </c>
      <c r="H46" s="32">
        <v>41750</v>
      </c>
      <c r="I46" s="128">
        <v>212963</v>
      </c>
      <c r="J46" s="128">
        <v>263464</v>
      </c>
      <c r="K46" s="32">
        <v>317079</v>
      </c>
    </row>
    <row r="47" spans="3:11" x14ac:dyDescent="0.35">
      <c r="C47" s="12" t="s">
        <v>46</v>
      </c>
      <c r="E47" s="32">
        <v>1351.0619999999999</v>
      </c>
      <c r="F47" s="32">
        <v>1271.902</v>
      </c>
      <c r="G47" s="32">
        <v>0</v>
      </c>
      <c r="H47" s="32">
        <v>0</v>
      </c>
      <c r="I47" s="128">
        <v>0</v>
      </c>
      <c r="J47" s="128">
        <v>0</v>
      </c>
      <c r="K47" s="32">
        <v>0</v>
      </c>
    </row>
    <row r="48" spans="3:11" x14ac:dyDescent="0.35">
      <c r="C48" s="12" t="s">
        <v>188</v>
      </c>
      <c r="E48" s="104">
        <v>6073.0739999999996</v>
      </c>
      <c r="F48" s="104">
        <v>3131.4760000000001</v>
      </c>
      <c r="G48" s="104">
        <v>7187</v>
      </c>
      <c r="H48" s="104">
        <v>8440</v>
      </c>
      <c r="I48" s="104">
        <v>8677</v>
      </c>
      <c r="J48" s="104">
        <v>9022</v>
      </c>
      <c r="K48" s="104">
        <v>11680</v>
      </c>
    </row>
    <row r="49" spans="3:11" ht="13.5" thickBot="1" x14ac:dyDescent="0.45">
      <c r="C49" s="16" t="s">
        <v>48</v>
      </c>
      <c r="E49" s="70">
        <v>1182796.3600000001</v>
      </c>
      <c r="F49" s="70">
        <v>1521737.9850000001</v>
      </c>
      <c r="G49" s="70">
        <v>1779660</v>
      </c>
      <c r="H49" s="70">
        <v>2055510</v>
      </c>
      <c r="I49" s="129">
        <v>2345649</v>
      </c>
      <c r="J49" s="129">
        <v>2751263</v>
      </c>
      <c r="K49" s="70">
        <v>2798456</v>
      </c>
    </row>
    <row r="50" spans="3:11" x14ac:dyDescent="0.35"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</row>
    <row r="51" spans="3:11" ht="13.5" thickBot="1" x14ac:dyDescent="0.45">
      <c r="C51" s="18" t="s">
        <v>49</v>
      </c>
    </row>
    <row r="52" spans="3:11" x14ac:dyDescent="0.35">
      <c r="C52" s="20" t="s">
        <v>50</v>
      </c>
      <c r="E52" s="115">
        <v>5123.3500000000004</v>
      </c>
      <c r="F52" s="115">
        <v>5123.3500000000004</v>
      </c>
      <c r="G52" s="115">
        <v>9521</v>
      </c>
      <c r="H52" s="115">
        <v>11425</v>
      </c>
      <c r="I52" s="127">
        <v>14309</v>
      </c>
      <c r="J52" s="127">
        <v>17170</v>
      </c>
      <c r="K52" s="115">
        <v>17170</v>
      </c>
    </row>
    <row r="53" spans="3:11" ht="13.15" x14ac:dyDescent="0.35">
      <c r="C53" s="100" t="s">
        <v>189</v>
      </c>
      <c r="E53" s="68"/>
      <c r="F53" s="68">
        <v>0</v>
      </c>
      <c r="G53" s="68">
        <v>0</v>
      </c>
      <c r="H53" s="68">
        <v>0</v>
      </c>
      <c r="I53" s="130">
        <v>0</v>
      </c>
      <c r="J53" s="130">
        <v>19953</v>
      </c>
      <c r="K53" s="68">
        <v>19953</v>
      </c>
    </row>
    <row r="54" spans="3:11" x14ac:dyDescent="0.35">
      <c r="C54" s="12" t="s">
        <v>52</v>
      </c>
      <c r="E54" s="32">
        <v>41537.745999999999</v>
      </c>
      <c r="F54" s="32">
        <v>40135.319000000003</v>
      </c>
      <c r="G54" s="32">
        <v>51734</v>
      </c>
      <c r="H54" s="32">
        <v>52270</v>
      </c>
      <c r="I54" s="128">
        <v>59326</v>
      </c>
      <c r="J54" s="128">
        <v>56465</v>
      </c>
      <c r="K54" s="32">
        <v>56465</v>
      </c>
    </row>
    <row r="55" spans="3:11" x14ac:dyDescent="0.35">
      <c r="C55" s="12" t="s">
        <v>91</v>
      </c>
      <c r="E55" s="32">
        <v>0</v>
      </c>
      <c r="F55" s="32">
        <v>0</v>
      </c>
      <c r="G55" s="32">
        <v>0</v>
      </c>
      <c r="H55" s="32">
        <v>-1851</v>
      </c>
      <c r="I55" s="128">
        <v>-1117</v>
      </c>
      <c r="J55" s="128">
        <v>-809</v>
      </c>
      <c r="K55" s="32">
        <v>-581</v>
      </c>
    </row>
    <row r="56" spans="3:11" x14ac:dyDescent="0.35">
      <c r="C56" s="12" t="s">
        <v>54</v>
      </c>
      <c r="E56" s="32">
        <v>2830.4589999999998</v>
      </c>
      <c r="F56" s="32">
        <v>2830.4589999999998</v>
      </c>
      <c r="G56" s="32">
        <v>4354</v>
      </c>
      <c r="H56" s="32">
        <v>6334</v>
      </c>
      <c r="I56" s="128">
        <v>8521</v>
      </c>
      <c r="J56" s="128">
        <v>10781</v>
      </c>
      <c r="K56" s="32">
        <v>10781</v>
      </c>
    </row>
    <row r="57" spans="3:11" x14ac:dyDescent="0.35">
      <c r="C57" s="12" t="s">
        <v>55</v>
      </c>
      <c r="E57" s="32">
        <v>7954.9030000000002</v>
      </c>
      <c r="F57" s="32">
        <v>13632.932000000001</v>
      </c>
      <c r="G57" s="32">
        <v>16509</v>
      </c>
      <c r="H57" s="32">
        <v>19115</v>
      </c>
      <c r="I57" s="128">
        <v>27528</v>
      </c>
      <c r="J57" s="128">
        <v>34468</v>
      </c>
      <c r="K57" s="32">
        <v>34468</v>
      </c>
    </row>
    <row r="58" spans="3:11" x14ac:dyDescent="0.35">
      <c r="C58" s="12" t="s">
        <v>56</v>
      </c>
      <c r="E58" s="32">
        <v>15864.379000000001</v>
      </c>
      <c r="F58" s="32">
        <v>23076.715</v>
      </c>
      <c r="G58" s="32">
        <v>29963</v>
      </c>
      <c r="H58" s="32">
        <v>43656</v>
      </c>
      <c r="I58" s="128">
        <v>52933</v>
      </c>
      <c r="J58" s="128">
        <v>64143</v>
      </c>
      <c r="K58" s="32">
        <v>69483</v>
      </c>
    </row>
    <row r="59" spans="3:11" x14ac:dyDescent="0.35">
      <c r="C59" s="12" t="s">
        <v>57</v>
      </c>
      <c r="E59" s="39">
        <v>0</v>
      </c>
      <c r="F59" s="39">
        <v>0</v>
      </c>
      <c r="G59" s="39">
        <v>0</v>
      </c>
      <c r="H59" s="39">
        <v>0</v>
      </c>
      <c r="I59" s="131">
        <v>0</v>
      </c>
      <c r="J59" s="131">
        <v>0</v>
      </c>
      <c r="K59" s="39">
        <v>0</v>
      </c>
    </row>
    <row r="60" spans="3:11" x14ac:dyDescent="0.35">
      <c r="C60" s="21" t="s">
        <v>58</v>
      </c>
      <c r="E60" s="132">
        <v>73310.837</v>
      </c>
      <c r="F60" s="132">
        <v>84798.774999999994</v>
      </c>
      <c r="G60" s="132">
        <v>112081</v>
      </c>
      <c r="H60" s="132">
        <v>130949</v>
      </c>
      <c r="I60" s="133">
        <v>161500</v>
      </c>
      <c r="J60" s="133">
        <v>202171</v>
      </c>
      <c r="K60" s="132">
        <v>207739</v>
      </c>
    </row>
    <row r="61" spans="3:11" x14ac:dyDescent="0.35">
      <c r="C61" s="22" t="s">
        <v>59</v>
      </c>
      <c r="E61" s="65">
        <v>2069.7469999999998</v>
      </c>
      <c r="F61" s="65">
        <v>0</v>
      </c>
      <c r="G61" s="65">
        <v>0</v>
      </c>
      <c r="H61" s="65">
        <v>0</v>
      </c>
      <c r="I61" s="134">
        <v>0</v>
      </c>
      <c r="J61" s="134">
        <v>0</v>
      </c>
      <c r="K61" s="65">
        <v>0</v>
      </c>
    </row>
    <row r="62" spans="3:11" ht="13.15" x14ac:dyDescent="0.4">
      <c r="C62" s="23" t="s">
        <v>60</v>
      </c>
      <c r="E62" s="24">
        <v>75380.584000000003</v>
      </c>
      <c r="F62" s="24">
        <v>84798.774999999994</v>
      </c>
      <c r="G62" s="24">
        <v>112081</v>
      </c>
      <c r="H62" s="24">
        <v>130949</v>
      </c>
      <c r="I62" s="24">
        <v>161500</v>
      </c>
      <c r="J62" s="24">
        <v>202171</v>
      </c>
      <c r="K62" s="24">
        <v>207739</v>
      </c>
    </row>
    <row r="63" spans="3:11" ht="13.5" thickBot="1" x14ac:dyDescent="0.45">
      <c r="C63" s="25" t="s">
        <v>61</v>
      </c>
      <c r="E63" s="26">
        <v>1258176.9440000001</v>
      </c>
      <c r="F63" s="26">
        <v>1606536.76</v>
      </c>
      <c r="G63" s="26">
        <v>1891741</v>
      </c>
      <c r="H63" s="26">
        <v>2186459</v>
      </c>
      <c r="I63" s="26">
        <v>2507149</v>
      </c>
      <c r="J63" s="26">
        <v>2953434</v>
      </c>
      <c r="K63" s="26">
        <v>3006195</v>
      </c>
    </row>
    <row r="64" spans="3:11" s="28" customFormat="1" ht="13.15" x14ac:dyDescent="0.35">
      <c r="C64" s="27" t="s">
        <v>62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</row>
    <row r="65" spans="2:11" x14ac:dyDescent="0.35">
      <c r="C65" s="12" t="s">
        <v>190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  <c r="K65" s="12">
        <v>0</v>
      </c>
    </row>
    <row r="67" spans="2:11" ht="13.5" thickBot="1" x14ac:dyDescent="0.4">
      <c r="B67" s="57" t="s">
        <v>63</v>
      </c>
      <c r="E67" s="12">
        <v>0</v>
      </c>
      <c r="F67" s="12">
        <v>0</v>
      </c>
      <c r="G67" s="12">
        <v>0</v>
      </c>
      <c r="H67" s="12">
        <v>0</v>
      </c>
      <c r="I67" s="12">
        <v>0</v>
      </c>
      <c r="J67" s="12">
        <v>0</v>
      </c>
      <c r="K67" s="12">
        <v>0</v>
      </c>
    </row>
    <row r="68" spans="2:11" ht="13.15" x14ac:dyDescent="0.4">
      <c r="C68" s="30" t="s">
        <v>64</v>
      </c>
      <c r="E68" s="31">
        <v>29643.061000000002</v>
      </c>
      <c r="F68" s="31">
        <v>39748.648000000008</v>
      </c>
      <c r="G68" s="31">
        <v>52189</v>
      </c>
      <c r="H68" s="31">
        <v>73407</v>
      </c>
      <c r="I68" s="31">
        <v>96163</v>
      </c>
      <c r="J68" s="31">
        <v>107715</v>
      </c>
      <c r="K68" s="31">
        <v>27712</v>
      </c>
    </row>
    <row r="69" spans="2:11" x14ac:dyDescent="0.35">
      <c r="C69" s="12" t="s">
        <v>65</v>
      </c>
      <c r="E69" s="14">
        <v>25289.774000000001</v>
      </c>
      <c r="F69" s="14">
        <v>33035.352000000006</v>
      </c>
      <c r="G69" s="14">
        <v>40688</v>
      </c>
      <c r="H69" s="14">
        <v>53046</v>
      </c>
      <c r="I69" s="14">
        <v>66099</v>
      </c>
      <c r="J69" s="14">
        <v>76411</v>
      </c>
      <c r="K69" s="14">
        <v>18869</v>
      </c>
    </row>
    <row r="70" spans="2:11" x14ac:dyDescent="0.35">
      <c r="C70" s="12" t="s">
        <v>66</v>
      </c>
      <c r="E70" s="32">
        <v>52330.697</v>
      </c>
      <c r="F70" s="32">
        <v>74613.675000000003</v>
      </c>
      <c r="G70" s="32">
        <v>93102</v>
      </c>
      <c r="H70" s="32">
        <v>119202</v>
      </c>
      <c r="I70" s="128">
        <v>131649</v>
      </c>
      <c r="J70" s="128">
        <v>131119</v>
      </c>
      <c r="K70" s="32">
        <v>35045</v>
      </c>
    </row>
    <row r="71" spans="2:11" x14ac:dyDescent="0.35">
      <c r="C71" s="12" t="s">
        <v>67</v>
      </c>
      <c r="E71" s="39">
        <v>-27040.922999999999</v>
      </c>
      <c r="F71" s="39">
        <v>-41578.322999999997</v>
      </c>
      <c r="G71" s="39">
        <v>-52414</v>
      </c>
      <c r="H71" s="39">
        <v>-66156</v>
      </c>
      <c r="I71" s="131">
        <v>-65550</v>
      </c>
      <c r="J71" s="131">
        <v>-54708</v>
      </c>
      <c r="K71" s="39">
        <v>-16176</v>
      </c>
    </row>
    <row r="72" spans="2:11" x14ac:dyDescent="0.35">
      <c r="C72" s="33" t="s">
        <v>68</v>
      </c>
      <c r="E72" s="34">
        <v>4353.2870000000003</v>
      </c>
      <c r="F72" s="34">
        <v>6713.2959999999994</v>
      </c>
      <c r="G72" s="34">
        <v>11501</v>
      </c>
      <c r="H72" s="34">
        <v>20361</v>
      </c>
      <c r="I72" s="34">
        <v>30064</v>
      </c>
      <c r="J72" s="34">
        <v>31304</v>
      </c>
      <c r="K72" s="34">
        <v>8843</v>
      </c>
    </row>
    <row r="73" spans="2:11" x14ac:dyDescent="0.35">
      <c r="C73" s="12" t="s">
        <v>69</v>
      </c>
      <c r="E73" s="14">
        <v>3664.6690000000003</v>
      </c>
      <c r="F73" s="14">
        <v>5721.2749999999996</v>
      </c>
      <c r="G73" s="14">
        <v>10456</v>
      </c>
      <c r="H73" s="14">
        <v>17378</v>
      </c>
      <c r="I73" s="14">
        <v>26445</v>
      </c>
      <c r="J73" s="14">
        <v>27859</v>
      </c>
      <c r="K73" s="14">
        <v>8150</v>
      </c>
    </row>
    <row r="74" spans="2:11" x14ac:dyDescent="0.35">
      <c r="C74" s="12" t="s">
        <v>70</v>
      </c>
      <c r="E74" s="32">
        <v>4129.6000000000004</v>
      </c>
      <c r="F74" s="32">
        <v>6449.518</v>
      </c>
      <c r="G74" s="32">
        <v>11821</v>
      </c>
      <c r="H74" s="32">
        <v>19706</v>
      </c>
      <c r="I74" s="128">
        <v>29185</v>
      </c>
      <c r="J74" s="128">
        <v>31309</v>
      </c>
      <c r="K74" s="32">
        <v>9125</v>
      </c>
    </row>
    <row r="75" spans="2:11" x14ac:dyDescent="0.35">
      <c r="C75" s="22" t="s">
        <v>71</v>
      </c>
      <c r="E75" s="65">
        <v>-464.93099999999998</v>
      </c>
      <c r="F75" s="65">
        <v>-728.24300000000005</v>
      </c>
      <c r="G75" s="65">
        <v>-1365</v>
      </c>
      <c r="H75" s="65">
        <v>-2328</v>
      </c>
      <c r="I75" s="134">
        <v>-2740</v>
      </c>
      <c r="J75" s="134">
        <v>-3450</v>
      </c>
      <c r="K75" s="65">
        <v>-975</v>
      </c>
    </row>
    <row r="76" spans="2:11" x14ac:dyDescent="0.35">
      <c r="C76" s="12" t="s">
        <v>72</v>
      </c>
      <c r="E76" s="14">
        <v>688.61799999999994</v>
      </c>
      <c r="F76" s="14">
        <v>992.02099999999996</v>
      </c>
      <c r="G76" s="14">
        <v>1045</v>
      </c>
      <c r="H76" s="14">
        <v>2983</v>
      </c>
      <c r="I76" s="14">
        <v>3619</v>
      </c>
      <c r="J76" s="14">
        <v>3445</v>
      </c>
      <c r="K76" s="14">
        <v>693</v>
      </c>
    </row>
    <row r="77" spans="2:11" x14ac:dyDescent="0.35">
      <c r="C77" s="12" t="s">
        <v>73</v>
      </c>
      <c r="E77" s="32">
        <v>6.0049999999999999</v>
      </c>
      <c r="F77" s="32">
        <v>-29.215</v>
      </c>
      <c r="G77" s="32">
        <v>711</v>
      </c>
      <c r="H77" s="32">
        <v>-10</v>
      </c>
      <c r="I77" s="128">
        <v>107</v>
      </c>
      <c r="J77" s="128">
        <v>49</v>
      </c>
      <c r="K77" s="32">
        <v>-25</v>
      </c>
    </row>
    <row r="78" spans="2:11" x14ac:dyDescent="0.35">
      <c r="C78" s="12" t="s">
        <v>74</v>
      </c>
      <c r="E78" s="32">
        <v>264.97699999999998</v>
      </c>
      <c r="F78" s="32">
        <v>243.27199999999999</v>
      </c>
      <c r="G78" s="32">
        <v>-163</v>
      </c>
      <c r="H78" s="32">
        <v>-388</v>
      </c>
      <c r="I78" s="128">
        <v>-573</v>
      </c>
      <c r="J78" s="128">
        <v>882</v>
      </c>
      <c r="K78" s="32">
        <v>45</v>
      </c>
    </row>
    <row r="79" spans="2:11" ht="13.15" x14ac:dyDescent="0.35">
      <c r="C79" s="15" t="s">
        <v>75</v>
      </c>
      <c r="E79" s="32">
        <v>284.75299999999999</v>
      </c>
      <c r="F79" s="32">
        <v>623.19299999999998</v>
      </c>
      <c r="G79" s="32">
        <v>347</v>
      </c>
      <c r="H79" s="32">
        <v>3168</v>
      </c>
      <c r="I79" s="128">
        <v>3924</v>
      </c>
      <c r="J79" s="128">
        <v>2368</v>
      </c>
      <c r="K79" s="32">
        <v>611</v>
      </c>
    </row>
    <row r="80" spans="2:11" ht="13.15" thickBot="1" x14ac:dyDescent="0.4">
      <c r="C80" s="35" t="s">
        <v>76</v>
      </c>
      <c r="E80" s="36">
        <v>132.88300000000001</v>
      </c>
      <c r="F80" s="36">
        <v>154.77099999999999</v>
      </c>
      <c r="G80" s="36">
        <v>150</v>
      </c>
      <c r="H80" s="36">
        <v>213</v>
      </c>
      <c r="I80" s="135">
        <v>161</v>
      </c>
      <c r="J80" s="135">
        <v>146</v>
      </c>
      <c r="K80" s="36">
        <v>62</v>
      </c>
    </row>
    <row r="81" spans="3:11" ht="13.15" thickBot="1" x14ac:dyDescent="0.4"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</row>
    <row r="82" spans="3:11" ht="13.15" x14ac:dyDescent="0.4">
      <c r="C82" s="30" t="s">
        <v>77</v>
      </c>
      <c r="E82" s="31">
        <v>-16510.36</v>
      </c>
      <c r="F82" s="31">
        <v>-22206.987000000001</v>
      </c>
      <c r="G82" s="31">
        <v>-32234</v>
      </c>
      <c r="H82" s="31">
        <v>-47161</v>
      </c>
      <c r="I82" s="31">
        <v>-67268</v>
      </c>
      <c r="J82" s="31">
        <v>-77936</v>
      </c>
      <c r="K82" s="31">
        <v>-19484</v>
      </c>
    </row>
    <row r="83" spans="3:11" x14ac:dyDescent="0.35">
      <c r="C83" s="12" t="s">
        <v>78</v>
      </c>
      <c r="E83" s="68">
        <v>-2506.3440000000001</v>
      </c>
      <c r="F83" s="68">
        <v>-3411.9859999999999</v>
      </c>
      <c r="G83" s="68">
        <v>-4065</v>
      </c>
      <c r="H83" s="68">
        <v>-5482</v>
      </c>
      <c r="I83" s="130">
        <v>-6671</v>
      </c>
      <c r="J83" s="130">
        <v>-3445</v>
      </c>
      <c r="K83" s="68">
        <v>-246</v>
      </c>
    </row>
    <row r="84" spans="3:11" x14ac:dyDescent="0.35">
      <c r="C84" s="12" t="s">
        <v>79</v>
      </c>
      <c r="E84" s="32">
        <v>-11855.441999999999</v>
      </c>
      <c r="F84" s="32">
        <v>-15664.394</v>
      </c>
      <c r="G84" s="32">
        <v>-21279</v>
      </c>
      <c r="H84" s="32">
        <v>-26668</v>
      </c>
      <c r="I84" s="128">
        <v>-30112</v>
      </c>
      <c r="J84" s="128">
        <v>-27973</v>
      </c>
      <c r="K84" s="32">
        <v>-6804</v>
      </c>
    </row>
    <row r="85" spans="3:11" x14ac:dyDescent="0.35">
      <c r="C85" s="12" t="s">
        <v>80</v>
      </c>
      <c r="E85" s="32">
        <v>-2148.5740000000001</v>
      </c>
      <c r="F85" s="32">
        <v>-3130.607</v>
      </c>
      <c r="G85" s="32">
        <v>-6890</v>
      </c>
      <c r="H85" s="32">
        <v>-15011</v>
      </c>
      <c r="I85" s="128">
        <v>-30485</v>
      </c>
      <c r="J85" s="128">
        <v>-46518</v>
      </c>
      <c r="K85" s="32">
        <v>-12434</v>
      </c>
    </row>
    <row r="86" spans="3:11" ht="13.15" thickBot="1" x14ac:dyDescent="0.4">
      <c r="C86" s="35" t="s">
        <v>81</v>
      </c>
      <c r="E86" s="36">
        <v>0</v>
      </c>
      <c r="F86" s="36">
        <v>0</v>
      </c>
      <c r="G86" s="36">
        <v>0</v>
      </c>
      <c r="H86" s="36">
        <v>0</v>
      </c>
      <c r="I86" s="135">
        <v>0</v>
      </c>
      <c r="J86" s="135">
        <v>0</v>
      </c>
      <c r="K86" s="36">
        <v>0</v>
      </c>
    </row>
    <row r="87" spans="3:11" ht="13.15" thickBot="1" x14ac:dyDescent="0.4"/>
    <row r="88" spans="3:11" ht="13.15" x14ac:dyDescent="0.4">
      <c r="C88" s="30" t="s">
        <v>82</v>
      </c>
      <c r="E88" s="31">
        <v>13132.701000000001</v>
      </c>
      <c r="F88" s="31">
        <v>17541.661000000007</v>
      </c>
      <c r="G88" s="31">
        <v>19955</v>
      </c>
      <c r="H88" s="31">
        <v>26246</v>
      </c>
      <c r="I88" s="31">
        <v>28895</v>
      </c>
      <c r="J88" s="31">
        <v>29779</v>
      </c>
      <c r="K88" s="31">
        <v>8228</v>
      </c>
    </row>
    <row r="89" spans="3:11" x14ac:dyDescent="0.35">
      <c r="C89" s="12" t="s">
        <v>83</v>
      </c>
      <c r="E89" s="37">
        <v>124.788</v>
      </c>
      <c r="F89" s="37">
        <v>9.2600000000000051</v>
      </c>
      <c r="G89" s="37">
        <v>85</v>
      </c>
      <c r="H89" s="37">
        <v>-52</v>
      </c>
      <c r="I89" s="136">
        <v>-49</v>
      </c>
      <c r="J89" s="136">
        <v>156</v>
      </c>
      <c r="K89" s="37">
        <v>2</v>
      </c>
    </row>
    <row r="90" spans="3:11" x14ac:dyDescent="0.35">
      <c r="C90" s="12" t="s">
        <v>84</v>
      </c>
      <c r="E90" s="32">
        <v>174.416</v>
      </c>
      <c r="F90" s="32">
        <v>97.747</v>
      </c>
      <c r="G90" s="32">
        <v>111</v>
      </c>
      <c r="H90" s="32">
        <v>40</v>
      </c>
      <c r="I90" s="128">
        <v>40</v>
      </c>
      <c r="J90" s="128">
        <v>221</v>
      </c>
      <c r="K90" s="32">
        <v>16</v>
      </c>
    </row>
    <row r="91" spans="3:11" x14ac:dyDescent="0.35">
      <c r="C91" s="38" t="s">
        <v>85</v>
      </c>
      <c r="E91" s="39">
        <v>-49.628</v>
      </c>
      <c r="F91" s="39">
        <v>-88.486999999999995</v>
      </c>
      <c r="G91" s="39">
        <v>-26</v>
      </c>
      <c r="H91" s="39">
        <v>-92</v>
      </c>
      <c r="I91" s="131">
        <v>-89</v>
      </c>
      <c r="J91" s="131">
        <v>-65</v>
      </c>
      <c r="K91" s="39">
        <v>-14</v>
      </c>
    </row>
    <row r="92" spans="3:11" ht="13.15" x14ac:dyDescent="0.4">
      <c r="C92" s="40" t="s">
        <v>86</v>
      </c>
      <c r="E92" s="41">
        <v>13257.489000000001</v>
      </c>
      <c r="F92" s="41">
        <v>17550.921000000006</v>
      </c>
      <c r="G92" s="41">
        <v>20040</v>
      </c>
      <c r="H92" s="41">
        <v>26194</v>
      </c>
      <c r="I92" s="41">
        <v>28846</v>
      </c>
      <c r="J92" s="41">
        <v>29935</v>
      </c>
      <c r="K92" s="41">
        <v>8230</v>
      </c>
    </row>
    <row r="93" spans="3:11" x14ac:dyDescent="0.35">
      <c r="C93" s="12" t="s">
        <v>87</v>
      </c>
      <c r="E93" s="137">
        <v>-2866.998</v>
      </c>
      <c r="F93" s="137">
        <v>-4040.1410000000001</v>
      </c>
      <c r="G93" s="137">
        <v>-4809</v>
      </c>
      <c r="H93" s="137">
        <v>-6392</v>
      </c>
      <c r="I93" s="138">
        <v>-6981</v>
      </c>
      <c r="J93" s="138">
        <v>-7336</v>
      </c>
      <c r="K93" s="137">
        <v>-2016</v>
      </c>
    </row>
    <row r="94" spans="3:11" ht="13.15" x14ac:dyDescent="0.4">
      <c r="C94" s="40" t="s">
        <v>88</v>
      </c>
      <c r="E94" s="41">
        <v>10390.491000000002</v>
      </c>
      <c r="F94" s="41">
        <v>13510.780000000006</v>
      </c>
      <c r="G94" s="41">
        <v>15231</v>
      </c>
      <c r="H94" s="41">
        <v>19802</v>
      </c>
      <c r="I94" s="41">
        <v>21865</v>
      </c>
      <c r="J94" s="41">
        <v>22599</v>
      </c>
      <c r="K94" s="41">
        <v>6214</v>
      </c>
    </row>
    <row r="95" spans="3:11" x14ac:dyDescent="0.35">
      <c r="C95" s="12" t="s">
        <v>89</v>
      </c>
      <c r="E95" s="68">
        <v>10278.630999999999</v>
      </c>
      <c r="F95" s="68">
        <v>13402.700999999999</v>
      </c>
      <c r="G95" s="68">
        <v>15231</v>
      </c>
      <c r="H95" s="68">
        <v>19802</v>
      </c>
      <c r="I95" s="130">
        <v>21865</v>
      </c>
      <c r="J95" s="130">
        <v>22599</v>
      </c>
      <c r="K95" s="68">
        <v>6214</v>
      </c>
    </row>
    <row r="96" spans="3:11" ht="13.15" thickBot="1" x14ac:dyDescent="0.4">
      <c r="C96" s="35" t="s">
        <v>90</v>
      </c>
      <c r="E96" s="14">
        <v>111.8600000000024</v>
      </c>
      <c r="F96" s="14">
        <v>108.079000000007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</row>
    <row r="97" spans="2:11" x14ac:dyDescent="0.35">
      <c r="C97" s="12" t="s">
        <v>91</v>
      </c>
      <c r="E97" s="119">
        <v>451</v>
      </c>
      <c r="F97" s="119">
        <v>-890</v>
      </c>
      <c r="G97" s="119">
        <v>-1811</v>
      </c>
      <c r="H97" s="119">
        <v>586</v>
      </c>
      <c r="I97" s="139">
        <v>734</v>
      </c>
      <c r="J97" s="139">
        <v>308</v>
      </c>
      <c r="K97" s="119">
        <v>227.99999999999997</v>
      </c>
    </row>
    <row r="98" spans="2:11" ht="13.15" x14ac:dyDescent="0.4">
      <c r="C98" s="40" t="s">
        <v>92</v>
      </c>
      <c r="E98" s="24">
        <v>10841.053</v>
      </c>
      <c r="F98" s="24">
        <v>12620.58</v>
      </c>
      <c r="G98" s="24">
        <v>13420</v>
      </c>
      <c r="H98" s="24">
        <v>20388</v>
      </c>
      <c r="I98" s="24">
        <v>22599</v>
      </c>
      <c r="J98" s="24">
        <v>22907</v>
      </c>
      <c r="K98" s="24">
        <v>6442</v>
      </c>
    </row>
    <row r="99" spans="2:11" x14ac:dyDescent="0.35">
      <c r="C99" s="12" t="s">
        <v>93</v>
      </c>
      <c r="E99" s="132">
        <v>10721.543</v>
      </c>
      <c r="F99" s="132">
        <v>12494.233</v>
      </c>
      <c r="G99" s="132">
        <v>13420</v>
      </c>
      <c r="H99" s="132">
        <v>20388</v>
      </c>
      <c r="I99" s="133">
        <v>22599</v>
      </c>
      <c r="J99" s="133">
        <v>22907</v>
      </c>
      <c r="K99" s="132">
        <v>6442</v>
      </c>
    </row>
    <row r="100" spans="2:11" ht="13.15" thickBot="1" x14ac:dyDescent="0.4">
      <c r="C100" s="35" t="s">
        <v>94</v>
      </c>
      <c r="E100" s="140">
        <v>119.51</v>
      </c>
      <c r="F100" s="140">
        <v>126.34699999999999</v>
      </c>
      <c r="G100" s="140">
        <v>0</v>
      </c>
      <c r="H100" s="140">
        <v>0</v>
      </c>
      <c r="I100" s="140">
        <v>0</v>
      </c>
      <c r="J100" s="140">
        <v>0</v>
      </c>
      <c r="K100" s="140">
        <v>0</v>
      </c>
    </row>
    <row r="101" spans="2:11" ht="13.15" thickBot="1" x14ac:dyDescent="0.4">
      <c r="E101" s="12">
        <v>0.43800000000192085</v>
      </c>
      <c r="F101" s="12">
        <v>0.20000000000618456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</row>
    <row r="102" spans="2:11" ht="13.15" x14ac:dyDescent="0.4">
      <c r="C102" s="42" t="s">
        <v>95</v>
      </c>
      <c r="E102" s="20"/>
      <c r="F102" s="20"/>
      <c r="G102" s="20"/>
      <c r="H102" s="20"/>
      <c r="I102" s="20"/>
      <c r="J102" s="20"/>
      <c r="K102" s="20"/>
    </row>
    <row r="103" spans="2:11" x14ac:dyDescent="0.35">
      <c r="C103" s="12" t="s">
        <v>96</v>
      </c>
      <c r="E103" s="141">
        <v>2.4700000000000002</v>
      </c>
      <c r="F103" s="141">
        <v>2.62</v>
      </c>
      <c r="G103" s="141">
        <v>1.86</v>
      </c>
      <c r="H103" s="141">
        <v>1.73</v>
      </c>
      <c r="I103" s="141">
        <v>1.56</v>
      </c>
      <c r="J103" s="141">
        <v>1.32</v>
      </c>
      <c r="K103" s="141">
        <v>0.31</v>
      </c>
    </row>
    <row r="104" spans="2:11" ht="13.15" thickBot="1" x14ac:dyDescent="0.4">
      <c r="C104" s="35" t="s">
        <v>97</v>
      </c>
      <c r="E104" s="142">
        <v>2.4700000000000002</v>
      </c>
      <c r="F104" s="142">
        <v>2.62</v>
      </c>
      <c r="G104" s="142">
        <v>1.86</v>
      </c>
      <c r="H104" s="141">
        <v>1.73</v>
      </c>
      <c r="I104" s="141">
        <v>1.56</v>
      </c>
      <c r="J104" s="141">
        <v>1.32</v>
      </c>
      <c r="K104" s="141">
        <v>0.31</v>
      </c>
    </row>
    <row r="106" spans="2:11" ht="13.15" x14ac:dyDescent="0.35">
      <c r="C106" s="15"/>
    </row>
    <row r="107" spans="2:11" ht="13.5" thickBot="1" x14ac:dyDescent="0.4">
      <c r="B107" s="55" t="s">
        <v>98</v>
      </c>
      <c r="C107" s="43"/>
    </row>
    <row r="108" spans="2:11" ht="13.15" x14ac:dyDescent="0.35">
      <c r="B108" s="44"/>
      <c r="C108" s="45" t="s">
        <v>99</v>
      </c>
      <c r="E108" s="115">
        <v>430705.60700000002</v>
      </c>
      <c r="F108" s="115">
        <v>494945.52799999999</v>
      </c>
      <c r="G108" s="115">
        <v>521639</v>
      </c>
      <c r="H108" s="115">
        <v>639739</v>
      </c>
      <c r="I108" s="127">
        <v>774996</v>
      </c>
      <c r="J108" s="127">
        <v>934857</v>
      </c>
      <c r="K108" s="115">
        <v>963004</v>
      </c>
    </row>
    <row r="109" spans="2:11" ht="13.15" x14ac:dyDescent="0.35">
      <c r="B109" s="44"/>
      <c r="C109" s="45" t="s">
        <v>100</v>
      </c>
      <c r="E109" s="32">
        <v>413022.70500000002</v>
      </c>
      <c r="F109" s="32">
        <v>484535.16499999998</v>
      </c>
      <c r="G109" s="32">
        <v>509301</v>
      </c>
      <c r="H109" s="32">
        <v>627326</v>
      </c>
      <c r="I109" s="128">
        <v>761331</v>
      </c>
      <c r="J109" s="128">
        <v>920011</v>
      </c>
      <c r="K109" s="32">
        <v>956386</v>
      </c>
    </row>
    <row r="110" spans="2:11" ht="13.15" x14ac:dyDescent="0.35">
      <c r="B110" s="44"/>
      <c r="C110" s="45" t="s">
        <v>115</v>
      </c>
      <c r="E110" s="32">
        <v>17682.901999999998</v>
      </c>
      <c r="F110" s="32">
        <v>10410.362999999999</v>
      </c>
      <c r="G110" s="32">
        <v>12338</v>
      </c>
      <c r="H110" s="32">
        <v>12413</v>
      </c>
      <c r="I110" s="128">
        <v>13665</v>
      </c>
      <c r="J110" s="128">
        <v>14846</v>
      </c>
      <c r="K110" s="32">
        <v>6618</v>
      </c>
    </row>
    <row r="111" spans="2:11" ht="13.15" x14ac:dyDescent="0.35">
      <c r="B111" s="46"/>
      <c r="C111" s="45" t="s">
        <v>116</v>
      </c>
      <c r="E111" s="32">
        <v>189936.21</v>
      </c>
      <c r="F111" s="32">
        <v>225834.52</v>
      </c>
      <c r="G111" s="32">
        <v>325650</v>
      </c>
      <c r="H111" s="32">
        <v>384995</v>
      </c>
      <c r="I111" s="128">
        <v>441142</v>
      </c>
      <c r="J111" s="128">
        <v>540944</v>
      </c>
      <c r="K111" s="32">
        <v>585158</v>
      </c>
    </row>
    <row r="112" spans="2:11" ht="13.15" x14ac:dyDescent="0.35">
      <c r="B112" s="44"/>
      <c r="C112" s="45" t="s">
        <v>101</v>
      </c>
      <c r="E112" s="32">
        <v>-10565.746999999999</v>
      </c>
      <c r="F112" s="32">
        <v>-12517.657999999999</v>
      </c>
      <c r="G112" s="32">
        <v>-15162</v>
      </c>
      <c r="H112" s="32">
        <v>-21097</v>
      </c>
      <c r="I112" s="128">
        <v>-29266</v>
      </c>
      <c r="J112" s="128">
        <v>-39932</v>
      </c>
      <c r="K112" s="32">
        <v>-43978</v>
      </c>
    </row>
    <row r="113" spans="2:11" ht="13.5" x14ac:dyDescent="0.4">
      <c r="B113" s="47"/>
      <c r="C113" s="48" t="s">
        <v>102</v>
      </c>
      <c r="E113" s="143">
        <v>620641.08299999998</v>
      </c>
      <c r="F113" s="143">
        <v>720780.04800000007</v>
      </c>
      <c r="G113" s="143">
        <v>847289</v>
      </c>
      <c r="H113" s="143">
        <v>1024734</v>
      </c>
      <c r="I113" s="143">
        <v>1216138</v>
      </c>
      <c r="J113" s="143">
        <v>1475801</v>
      </c>
      <c r="K113" s="143">
        <v>1548162</v>
      </c>
    </row>
    <row r="114" spans="2:11" ht="13.9" thickBot="1" x14ac:dyDescent="0.45">
      <c r="B114" s="47"/>
      <c r="C114" s="49" t="s">
        <v>103</v>
      </c>
      <c r="E114" s="26">
        <v>610075.33600000001</v>
      </c>
      <c r="F114" s="26">
        <v>708262.39</v>
      </c>
      <c r="G114" s="26">
        <v>832127</v>
      </c>
      <c r="H114" s="26">
        <v>1003637</v>
      </c>
      <c r="I114" s="26">
        <v>1186872</v>
      </c>
      <c r="J114" s="26">
        <v>1435869</v>
      </c>
      <c r="K114" s="26">
        <v>1504184</v>
      </c>
    </row>
    <row r="115" spans="2:11" s="28" customFormat="1" ht="13.15" x14ac:dyDescent="0.35">
      <c r="C115" s="27" t="s">
        <v>62</v>
      </c>
      <c r="E115" s="29">
        <v>-0.7340000000258442</v>
      </c>
      <c r="F115" s="29">
        <v>8.7311491370201111E-11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</row>
    <row r="118" spans="2:11" ht="13.5" thickBot="1" x14ac:dyDescent="0.4">
      <c r="B118" s="55" t="s">
        <v>104</v>
      </c>
      <c r="C118" s="50"/>
    </row>
    <row r="119" spans="2:11" ht="13.15" x14ac:dyDescent="0.35">
      <c r="B119" s="46"/>
      <c r="C119" s="45" t="s">
        <v>105</v>
      </c>
      <c r="E119" s="144">
        <f>E120+E121</f>
        <v>273818.82900000003</v>
      </c>
      <c r="F119" s="144">
        <f>F120+F121</f>
        <v>342563.16800000001</v>
      </c>
      <c r="G119" s="144">
        <f t="shared" ref="G119:K119" si="0">G120+G121</f>
        <v>380275</v>
      </c>
      <c r="H119" s="144">
        <f t="shared" si="0"/>
        <v>405340</v>
      </c>
      <c r="I119" s="144">
        <f t="shared" si="0"/>
        <v>548555</v>
      </c>
      <c r="J119" s="144">
        <f t="shared" si="0"/>
        <v>797867</v>
      </c>
      <c r="K119" s="144">
        <f t="shared" si="0"/>
        <v>0</v>
      </c>
    </row>
    <row r="120" spans="2:11" ht="13.15" x14ac:dyDescent="0.35">
      <c r="B120" s="46"/>
      <c r="C120" s="45" t="s">
        <v>106</v>
      </c>
      <c r="E120" s="32">
        <v>204743.62700000001</v>
      </c>
      <c r="F120" s="32">
        <v>257351.13099999999</v>
      </c>
      <c r="G120" s="32">
        <v>275775</v>
      </c>
      <c r="H120" s="32">
        <v>288534</v>
      </c>
      <c r="I120" s="128">
        <v>407795</v>
      </c>
      <c r="J120" s="128">
        <v>637159</v>
      </c>
      <c r="K120" s="32">
        <v>0</v>
      </c>
    </row>
    <row r="121" spans="2:11" ht="13.15" x14ac:dyDescent="0.35">
      <c r="B121" s="46"/>
      <c r="C121" s="45" t="s">
        <v>107</v>
      </c>
      <c r="E121" s="32">
        <v>69075.202000000005</v>
      </c>
      <c r="F121" s="32">
        <v>85212.036999999997</v>
      </c>
      <c r="G121" s="32">
        <v>104500</v>
      </c>
      <c r="H121" s="32">
        <v>116806</v>
      </c>
      <c r="I121" s="128">
        <v>140760</v>
      </c>
      <c r="J121" s="128">
        <v>160708</v>
      </c>
      <c r="K121" s="32">
        <v>0</v>
      </c>
    </row>
    <row r="122" spans="2:11" ht="13.5" x14ac:dyDescent="0.4">
      <c r="B122" s="51"/>
      <c r="C122" s="45" t="s">
        <v>108</v>
      </c>
      <c r="E122" s="145">
        <f>SUM(E123:E124)</f>
        <v>346497.51500000001</v>
      </c>
      <c r="F122" s="145">
        <f t="shared" ref="F122:J122" si="1">SUM(F123:F124)</f>
        <v>437393.30700000003</v>
      </c>
      <c r="G122" s="145">
        <f t="shared" si="1"/>
        <v>555621</v>
      </c>
      <c r="H122" s="145">
        <f t="shared" si="1"/>
        <v>735447</v>
      </c>
      <c r="I122" s="145">
        <f t="shared" si="1"/>
        <v>770988</v>
      </c>
      <c r="J122" s="145">
        <f t="shared" si="1"/>
        <v>728624</v>
      </c>
      <c r="K122" s="32">
        <v>0</v>
      </c>
    </row>
    <row r="123" spans="2:11" ht="13.5" x14ac:dyDescent="0.4">
      <c r="B123" s="51"/>
      <c r="C123" s="45" t="s">
        <v>106</v>
      </c>
      <c r="E123" s="32">
        <v>276087.20299999998</v>
      </c>
      <c r="F123" s="32">
        <v>349045.22100000002</v>
      </c>
      <c r="G123" s="32">
        <v>456656.00000000006</v>
      </c>
      <c r="H123" s="32">
        <v>622740</v>
      </c>
      <c r="I123" s="128">
        <v>657565</v>
      </c>
      <c r="J123" s="128">
        <v>646418</v>
      </c>
      <c r="K123" s="32"/>
    </row>
    <row r="124" spans="2:11" ht="13.5" x14ac:dyDescent="0.4">
      <c r="B124" s="51"/>
      <c r="C124" s="45" t="s">
        <v>107</v>
      </c>
      <c r="E124" s="32">
        <v>70410.312000000005</v>
      </c>
      <c r="F124" s="32">
        <v>88348.085999999996</v>
      </c>
      <c r="G124" s="32">
        <v>98965</v>
      </c>
      <c r="H124" s="32">
        <v>112707</v>
      </c>
      <c r="I124" s="128">
        <v>113423</v>
      </c>
      <c r="J124" s="128">
        <v>82206</v>
      </c>
      <c r="K124" s="32">
        <v>0</v>
      </c>
    </row>
    <row r="125" spans="2:11" ht="13.5" x14ac:dyDescent="0.4">
      <c r="B125" s="51"/>
      <c r="C125" s="45" t="s">
        <v>109</v>
      </c>
      <c r="E125" s="65">
        <f>E128-E122-E119</f>
        <v>230528.80299999996</v>
      </c>
      <c r="F125" s="65">
        <f t="shared" ref="F125:J125" si="2">F128-F122-F119</f>
        <v>241151.22700000001</v>
      </c>
      <c r="G125" s="65">
        <f t="shared" si="2"/>
        <v>281106</v>
      </c>
      <c r="H125" s="65">
        <f t="shared" si="2"/>
        <v>392396</v>
      </c>
      <c r="I125" s="65">
        <f t="shared" si="2"/>
        <v>414378</v>
      </c>
      <c r="J125" s="65">
        <f t="shared" si="2"/>
        <v>395344</v>
      </c>
      <c r="K125" s="65">
        <v>0</v>
      </c>
    </row>
    <row r="126" spans="2:11" ht="13.5" x14ac:dyDescent="0.4">
      <c r="B126" s="51"/>
      <c r="C126" s="52" t="s">
        <v>110</v>
      </c>
      <c r="E126" s="14">
        <f>E120+E123</f>
        <v>480830.82999999996</v>
      </c>
      <c r="F126" s="14">
        <f t="shared" ref="F126:J126" si="3">F120+F123</f>
        <v>606396.35199999996</v>
      </c>
      <c r="G126" s="14">
        <f t="shared" si="3"/>
        <v>732431</v>
      </c>
      <c r="H126" s="14">
        <f t="shared" si="3"/>
        <v>911274</v>
      </c>
      <c r="I126" s="14">
        <f t="shared" si="3"/>
        <v>1065360</v>
      </c>
      <c r="J126" s="14">
        <f t="shared" si="3"/>
        <v>1283577</v>
      </c>
      <c r="K126" s="65">
        <v>0</v>
      </c>
    </row>
    <row r="127" spans="2:11" ht="13.5" x14ac:dyDescent="0.4">
      <c r="B127" s="51"/>
      <c r="C127" s="45" t="s">
        <v>111</v>
      </c>
      <c r="E127" s="14">
        <f>E124+E121</f>
        <v>139485.51400000002</v>
      </c>
      <c r="F127" s="14">
        <f t="shared" ref="F127:J127" si="4">F124+F121</f>
        <v>173560.12299999999</v>
      </c>
      <c r="G127" s="14">
        <f t="shared" si="4"/>
        <v>203465</v>
      </c>
      <c r="H127" s="14">
        <f t="shared" si="4"/>
        <v>229513</v>
      </c>
      <c r="I127" s="14">
        <f t="shared" si="4"/>
        <v>254183</v>
      </c>
      <c r="J127" s="14">
        <f t="shared" si="4"/>
        <v>242914</v>
      </c>
      <c r="K127" s="65">
        <v>0</v>
      </c>
    </row>
    <row r="128" spans="2:11" ht="13.9" thickBot="1" x14ac:dyDescent="0.45">
      <c r="B128" s="51"/>
      <c r="C128" s="53" t="s">
        <v>112</v>
      </c>
      <c r="E128" s="26">
        <f>E41</f>
        <v>850845.147</v>
      </c>
      <c r="F128" s="26">
        <v>1021107.702</v>
      </c>
      <c r="G128" s="26">
        <v>1217002</v>
      </c>
      <c r="H128" s="26">
        <v>1533183</v>
      </c>
      <c r="I128" s="26">
        <v>1733921</v>
      </c>
      <c r="J128" s="26">
        <v>1921835</v>
      </c>
      <c r="K128" s="26">
        <v>1912082</v>
      </c>
    </row>
    <row r="129" spans="2:11" s="28" customFormat="1" ht="13.5" x14ac:dyDescent="0.4">
      <c r="B129" s="54"/>
      <c r="C129" s="27" t="s">
        <v>62</v>
      </c>
      <c r="E129" s="29"/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</row>
    <row r="130" spans="2:11" ht="13.5" x14ac:dyDescent="0.4">
      <c r="B130" s="51"/>
      <c r="C130" s="55"/>
    </row>
    <row r="132" spans="2:11" ht="13.15" x14ac:dyDescent="0.35">
      <c r="B132" s="55" t="s">
        <v>113</v>
      </c>
    </row>
    <row r="133" spans="2:11" ht="13.9" thickBot="1" x14ac:dyDescent="0.45">
      <c r="B133" s="56"/>
      <c r="C133" s="10"/>
      <c r="E133" s="12">
        <v>0</v>
      </c>
      <c r="F133" s="12">
        <v>0</v>
      </c>
      <c r="G133" s="12">
        <v>0</v>
      </c>
      <c r="H133" s="12">
        <v>0</v>
      </c>
      <c r="I133" s="12">
        <v>0</v>
      </c>
      <c r="J133" s="12">
        <v>0</v>
      </c>
      <c r="K133" s="12">
        <v>0</v>
      </c>
    </row>
    <row r="134" spans="2:11" ht="13.15" x14ac:dyDescent="0.35">
      <c r="B134" s="57"/>
      <c r="C134" s="58" t="s">
        <v>114</v>
      </c>
      <c r="E134" s="146">
        <v>1131800</v>
      </c>
      <c r="F134" s="146">
        <v>1395034</v>
      </c>
      <c r="G134" s="146">
        <v>1762388</v>
      </c>
      <c r="H134" s="146">
        <v>2064595</v>
      </c>
      <c r="I134" s="146">
        <v>2439991</v>
      </c>
      <c r="J134" s="146">
        <v>2774577</v>
      </c>
      <c r="K134" s="146"/>
    </row>
    <row r="135" spans="2:11" ht="13.15" x14ac:dyDescent="0.35">
      <c r="B135" s="57"/>
      <c r="C135" s="74" t="s">
        <v>191</v>
      </c>
      <c r="E135" s="147">
        <v>576214</v>
      </c>
      <c r="F135" s="147">
        <v>644886</v>
      </c>
      <c r="G135" s="147">
        <v>776509</v>
      </c>
      <c r="H135" s="147">
        <v>926824</v>
      </c>
      <c r="I135" s="147">
        <v>1148727</v>
      </c>
      <c r="J135" s="147">
        <v>1319934</v>
      </c>
      <c r="K135" s="147"/>
    </row>
    <row r="136" spans="2:11" ht="13.15" x14ac:dyDescent="0.35">
      <c r="B136" s="46"/>
      <c r="C136" s="59" t="s">
        <v>99</v>
      </c>
      <c r="E136" s="105"/>
      <c r="F136" s="105"/>
      <c r="G136" s="105"/>
      <c r="H136" s="105"/>
      <c r="I136" s="105"/>
      <c r="J136" s="105"/>
      <c r="K136" s="105"/>
    </row>
    <row r="137" spans="2:11" ht="13.15" x14ac:dyDescent="0.35">
      <c r="B137" s="46"/>
      <c r="C137" s="61" t="s">
        <v>192</v>
      </c>
      <c r="E137" s="32"/>
      <c r="F137" s="32"/>
      <c r="G137" s="32"/>
      <c r="H137" s="32"/>
      <c r="I137" s="128"/>
      <c r="J137" s="128"/>
      <c r="K137" s="32"/>
    </row>
    <row r="138" spans="2:11" ht="13.15" x14ac:dyDescent="0.35">
      <c r="B138" s="56"/>
      <c r="C138" s="61" t="s">
        <v>115</v>
      </c>
      <c r="E138" s="32"/>
      <c r="F138" s="32"/>
      <c r="G138" s="32"/>
      <c r="H138" s="32"/>
      <c r="I138" s="128"/>
      <c r="J138" s="128"/>
      <c r="K138" s="32"/>
    </row>
    <row r="139" spans="2:11" ht="13.15" x14ac:dyDescent="0.35">
      <c r="B139" s="56"/>
      <c r="C139" s="62" t="s">
        <v>116</v>
      </c>
      <c r="E139" s="39"/>
      <c r="F139" s="39"/>
      <c r="G139" s="39"/>
      <c r="H139" s="39"/>
      <c r="I139" s="131"/>
      <c r="J139" s="131"/>
      <c r="K139" s="39"/>
    </row>
    <row r="140" spans="2:11" ht="13.15" x14ac:dyDescent="0.35">
      <c r="B140" s="56"/>
      <c r="C140" s="89" t="s">
        <v>117</v>
      </c>
      <c r="E140" s="63">
        <v>176762</v>
      </c>
      <c r="F140" s="63">
        <v>194909</v>
      </c>
      <c r="G140" s="63">
        <v>205648</v>
      </c>
      <c r="H140" s="63">
        <v>221710</v>
      </c>
      <c r="I140" s="148">
        <v>281751</v>
      </c>
      <c r="J140" s="148">
        <v>345753</v>
      </c>
      <c r="K140" s="63"/>
    </row>
    <row r="141" spans="2:11" ht="13.15" x14ac:dyDescent="0.35">
      <c r="B141" s="56"/>
      <c r="C141" s="61" t="s">
        <v>118</v>
      </c>
      <c r="E141" s="32"/>
      <c r="F141" s="32"/>
      <c r="G141" s="32"/>
      <c r="H141" s="32"/>
      <c r="I141" s="128"/>
      <c r="J141" s="128"/>
      <c r="K141" s="32"/>
    </row>
    <row r="142" spans="2:11" ht="13.15" x14ac:dyDescent="0.35">
      <c r="B142" s="56"/>
      <c r="C142" s="61" t="s">
        <v>119</v>
      </c>
      <c r="E142" s="32"/>
      <c r="F142" s="32"/>
      <c r="G142" s="32"/>
      <c r="H142" s="32"/>
      <c r="I142" s="128"/>
      <c r="J142" s="128"/>
      <c r="K142" s="32"/>
    </row>
    <row r="143" spans="2:11" ht="13.15" x14ac:dyDescent="0.35">
      <c r="B143" s="56"/>
      <c r="C143" s="64" t="s">
        <v>120</v>
      </c>
      <c r="E143" s="32"/>
      <c r="F143" s="32"/>
      <c r="G143" s="32"/>
      <c r="H143" s="32"/>
      <c r="I143" s="128"/>
      <c r="J143" s="128"/>
      <c r="K143" s="32"/>
    </row>
    <row r="144" spans="2:11" ht="13.15" x14ac:dyDescent="0.35">
      <c r="B144" s="56"/>
      <c r="C144" s="62" t="s">
        <v>121</v>
      </c>
      <c r="E144" s="65"/>
      <c r="F144" s="65"/>
      <c r="G144" s="65"/>
      <c r="H144" s="65"/>
      <c r="I144" s="134"/>
      <c r="J144" s="134"/>
      <c r="K144" s="65"/>
    </row>
    <row r="145" spans="2:11" ht="13.15" x14ac:dyDescent="0.35">
      <c r="B145" s="56"/>
      <c r="C145" s="89" t="s">
        <v>122</v>
      </c>
      <c r="E145" s="66">
        <v>129145</v>
      </c>
      <c r="F145" s="66">
        <v>178012</v>
      </c>
      <c r="G145" s="66">
        <v>226250</v>
      </c>
      <c r="H145" s="66">
        <v>263446</v>
      </c>
      <c r="I145" s="149">
        <v>287495</v>
      </c>
      <c r="J145" s="149">
        <v>290896</v>
      </c>
      <c r="K145" s="66"/>
    </row>
    <row r="146" spans="2:11" ht="13.15" x14ac:dyDescent="0.35">
      <c r="B146" s="56"/>
      <c r="C146" s="74" t="s">
        <v>123</v>
      </c>
      <c r="E146" s="67">
        <v>190066</v>
      </c>
      <c r="F146" s="67">
        <v>255079</v>
      </c>
      <c r="G146" s="67">
        <v>549741</v>
      </c>
      <c r="H146" s="67">
        <v>645606</v>
      </c>
      <c r="I146" s="150">
        <v>663532</v>
      </c>
      <c r="J146" s="150">
        <v>736119</v>
      </c>
      <c r="K146" s="67"/>
    </row>
    <row r="147" spans="2:11" ht="13.15" x14ac:dyDescent="0.35">
      <c r="B147" s="56"/>
      <c r="C147" s="61" t="s">
        <v>124</v>
      </c>
      <c r="E147" s="68"/>
      <c r="F147" s="68"/>
      <c r="G147" s="68"/>
      <c r="H147" s="68"/>
      <c r="I147" s="68"/>
      <c r="J147" s="68"/>
      <c r="K147" s="68"/>
    </row>
    <row r="148" spans="2:11" ht="13.15" x14ac:dyDescent="0.35">
      <c r="B148" s="56"/>
      <c r="C148" s="61" t="s">
        <v>14</v>
      </c>
      <c r="E148" s="32"/>
      <c r="F148" s="32"/>
      <c r="G148" s="32"/>
      <c r="H148" s="32"/>
      <c r="I148" s="32"/>
      <c r="J148" s="32"/>
      <c r="K148" s="32"/>
    </row>
    <row r="149" spans="2:11" ht="13.15" x14ac:dyDescent="0.35">
      <c r="B149" s="56"/>
      <c r="C149" s="62" t="s">
        <v>125</v>
      </c>
      <c r="E149" s="39"/>
      <c r="F149" s="39"/>
      <c r="G149" s="39"/>
      <c r="H149" s="39"/>
      <c r="I149" s="39"/>
      <c r="J149" s="39"/>
      <c r="K149" s="39"/>
    </row>
    <row r="150" spans="2:11" ht="13.5" thickBot="1" x14ac:dyDescent="0.4">
      <c r="B150" s="56"/>
      <c r="C150" s="69" t="s">
        <v>126</v>
      </c>
      <c r="E150" s="70">
        <v>59613</v>
      </c>
      <c r="F150" s="70">
        <v>122148</v>
      </c>
      <c r="G150" s="70">
        <v>4240</v>
      </c>
      <c r="H150" s="70">
        <v>7009</v>
      </c>
      <c r="I150" s="70">
        <v>58486</v>
      </c>
      <c r="J150" s="70">
        <v>81875</v>
      </c>
      <c r="K150" s="70"/>
    </row>
    <row r="151" spans="2:11" ht="13.15" x14ac:dyDescent="0.35">
      <c r="B151" s="56"/>
      <c r="C151" s="55"/>
    </row>
    <row r="152" spans="2:11" ht="13.15" thickBot="1" x14ac:dyDescent="0.4">
      <c r="B152" s="71"/>
      <c r="C152" s="72"/>
      <c r="H152" s="12">
        <v>16844587</v>
      </c>
      <c r="I152" s="12">
        <v>18759070</v>
      </c>
      <c r="J152" s="12">
        <v>19996202</v>
      </c>
    </row>
    <row r="153" spans="2:11" ht="13.15" x14ac:dyDescent="0.35">
      <c r="B153" s="56"/>
      <c r="C153" s="73" t="s">
        <v>127</v>
      </c>
      <c r="E153" s="151">
        <v>1066341</v>
      </c>
      <c r="F153" s="151">
        <v>1315968</v>
      </c>
      <c r="G153" s="151">
        <v>1668199</v>
      </c>
      <c r="H153" s="151">
        <v>1963857</v>
      </c>
      <c r="I153" s="151">
        <v>2282197</v>
      </c>
      <c r="J153" s="151">
        <v>2572154</v>
      </c>
      <c r="K153" s="151"/>
    </row>
    <row r="154" spans="2:11" ht="13.15" x14ac:dyDescent="0.35">
      <c r="B154" s="56"/>
      <c r="C154" s="74" t="s">
        <v>128</v>
      </c>
      <c r="E154" s="147">
        <v>802740</v>
      </c>
      <c r="F154" s="147">
        <v>912025</v>
      </c>
      <c r="G154" s="147">
        <v>1141822</v>
      </c>
      <c r="H154" s="147">
        <v>1414660</v>
      </c>
      <c r="I154" s="147">
        <v>1665643</v>
      </c>
      <c r="J154" s="147">
        <v>1878116</v>
      </c>
      <c r="K154" s="147"/>
    </row>
    <row r="155" spans="2:11" ht="13.15" x14ac:dyDescent="0.35">
      <c r="B155" s="56"/>
      <c r="C155" s="61" t="s">
        <v>105</v>
      </c>
      <c r="E155" s="105"/>
      <c r="F155" s="105"/>
      <c r="G155" s="105"/>
      <c r="H155" s="105"/>
      <c r="I155" s="105"/>
      <c r="J155" s="105"/>
      <c r="K155" s="105"/>
    </row>
    <row r="156" spans="2:11" ht="13.15" x14ac:dyDescent="0.35">
      <c r="B156" s="56"/>
      <c r="C156" s="61" t="s">
        <v>129</v>
      </c>
      <c r="E156" s="32"/>
      <c r="F156" s="32"/>
      <c r="G156" s="32"/>
      <c r="H156" s="32"/>
      <c r="I156" s="128"/>
      <c r="J156" s="128"/>
      <c r="K156" s="32"/>
    </row>
    <row r="157" spans="2:11" ht="13.15" x14ac:dyDescent="0.35">
      <c r="B157" s="56"/>
      <c r="C157" s="61" t="s">
        <v>130</v>
      </c>
      <c r="E157" s="32"/>
      <c r="F157" s="32"/>
      <c r="G157" s="32"/>
      <c r="H157" s="32"/>
      <c r="I157" s="128"/>
      <c r="J157" s="128"/>
      <c r="K157" s="32"/>
    </row>
    <row r="158" spans="2:11" ht="13.15" x14ac:dyDescent="0.35">
      <c r="B158" s="56"/>
      <c r="C158" s="61" t="s">
        <v>108</v>
      </c>
      <c r="E158" s="152"/>
      <c r="F158" s="152"/>
      <c r="G158" s="152"/>
      <c r="H158" s="152"/>
      <c r="I158" s="153"/>
      <c r="J158" s="153"/>
      <c r="K158" s="152"/>
    </row>
    <row r="159" spans="2:11" ht="13.15" x14ac:dyDescent="0.35">
      <c r="B159" s="56"/>
      <c r="C159" s="61" t="s">
        <v>131</v>
      </c>
      <c r="E159" s="32"/>
      <c r="F159" s="32"/>
      <c r="G159" s="32"/>
      <c r="H159" s="32"/>
      <c r="I159" s="128"/>
      <c r="J159" s="128"/>
      <c r="K159" s="32"/>
    </row>
    <row r="160" spans="2:11" ht="13.15" x14ac:dyDescent="0.35">
      <c r="B160" s="56"/>
      <c r="C160" s="61" t="s">
        <v>132</v>
      </c>
      <c r="E160" s="32"/>
      <c r="F160" s="32"/>
      <c r="G160" s="32"/>
      <c r="H160" s="32"/>
      <c r="I160" s="128"/>
      <c r="J160" s="128"/>
      <c r="K160" s="32"/>
    </row>
    <row r="161" spans="2:11" ht="13.15" x14ac:dyDescent="0.35">
      <c r="B161" s="56"/>
      <c r="C161" s="62" t="s">
        <v>193</v>
      </c>
      <c r="E161" s="39"/>
      <c r="F161" s="39"/>
      <c r="G161" s="39"/>
      <c r="H161" s="39"/>
      <c r="I161" s="131"/>
      <c r="J161" s="131"/>
      <c r="K161" s="39"/>
    </row>
    <row r="162" spans="2:11" ht="13.15" x14ac:dyDescent="0.35">
      <c r="B162" s="56"/>
      <c r="C162" s="89" t="s">
        <v>133</v>
      </c>
      <c r="E162" s="67">
        <v>14939</v>
      </c>
      <c r="F162" s="67">
        <v>16107</v>
      </c>
      <c r="G162" s="67">
        <v>10810</v>
      </c>
      <c r="H162" s="67">
        <v>27717</v>
      </c>
      <c r="I162" s="67">
        <v>126055</v>
      </c>
      <c r="J162" s="67">
        <v>281405</v>
      </c>
      <c r="K162" s="67"/>
    </row>
    <row r="163" spans="2:11" ht="13.15" x14ac:dyDescent="0.35">
      <c r="B163" s="56"/>
      <c r="C163" s="74" t="s">
        <v>134</v>
      </c>
      <c r="E163" s="67">
        <v>223429</v>
      </c>
      <c r="F163" s="67">
        <v>351686</v>
      </c>
      <c r="G163" s="67">
        <v>515567</v>
      </c>
      <c r="H163" s="67">
        <v>521480</v>
      </c>
      <c r="I163" s="67">
        <v>490499</v>
      </c>
      <c r="J163" s="67">
        <v>412633</v>
      </c>
      <c r="K163" s="67"/>
    </row>
    <row r="164" spans="2:11" ht="13.15" x14ac:dyDescent="0.35">
      <c r="B164" s="56"/>
      <c r="C164" s="61" t="s">
        <v>135</v>
      </c>
      <c r="E164" s="68"/>
      <c r="F164" s="68"/>
      <c r="G164" s="68"/>
      <c r="H164" s="68"/>
      <c r="I164" s="68"/>
      <c r="J164" s="68"/>
      <c r="K164" s="68"/>
    </row>
    <row r="165" spans="2:11" ht="13.15" x14ac:dyDescent="0.35">
      <c r="B165" s="56"/>
      <c r="C165" s="61" t="s">
        <v>35</v>
      </c>
      <c r="E165" s="32"/>
      <c r="F165" s="32"/>
      <c r="G165" s="32"/>
      <c r="H165" s="32"/>
      <c r="I165" s="32"/>
      <c r="J165" s="32"/>
      <c r="K165" s="32"/>
    </row>
    <row r="166" spans="2:11" ht="13.15" x14ac:dyDescent="0.35">
      <c r="B166" s="56"/>
      <c r="C166" s="61" t="s">
        <v>194</v>
      </c>
      <c r="E166" s="32"/>
      <c r="F166" s="32"/>
      <c r="G166" s="32"/>
      <c r="H166" s="32"/>
      <c r="I166" s="32"/>
      <c r="J166" s="32"/>
      <c r="K166" s="32"/>
    </row>
    <row r="167" spans="2:11" ht="13.15" x14ac:dyDescent="0.35">
      <c r="B167" s="56"/>
      <c r="C167" s="61" t="s">
        <v>195</v>
      </c>
      <c r="E167" s="39"/>
      <c r="F167" s="39"/>
      <c r="G167" s="39"/>
      <c r="H167" s="39"/>
      <c r="I167" s="39"/>
      <c r="J167" s="39"/>
      <c r="K167" s="39"/>
    </row>
    <row r="168" spans="2:11" ht="13.5" thickBot="1" x14ac:dyDescent="0.4">
      <c r="B168" s="56"/>
      <c r="C168" s="69" t="s">
        <v>136</v>
      </c>
      <c r="E168" s="70">
        <v>25233</v>
      </c>
      <c r="F168" s="70">
        <v>36150</v>
      </c>
      <c r="G168" s="70"/>
      <c r="H168" s="70"/>
      <c r="I168" s="70"/>
      <c r="J168" s="70"/>
      <c r="K168" s="70"/>
    </row>
    <row r="170" spans="2:11" ht="13.15" x14ac:dyDescent="0.35">
      <c r="B170" s="55" t="s">
        <v>137</v>
      </c>
    </row>
    <row r="171" spans="2:11" ht="13.9" thickBot="1" x14ac:dyDescent="0.45">
      <c r="B171" s="56"/>
      <c r="C171" s="10"/>
    </row>
    <row r="172" spans="2:11" ht="13.5" x14ac:dyDescent="0.4">
      <c r="B172" s="57"/>
      <c r="C172" s="58" t="s">
        <v>196</v>
      </c>
      <c r="E172" s="31">
        <v>52270</v>
      </c>
      <c r="F172" s="31">
        <v>74614</v>
      </c>
      <c r="G172" s="31">
        <v>93102</v>
      </c>
      <c r="H172" s="31">
        <v>119202</v>
      </c>
      <c r="I172" s="31">
        <v>134153</v>
      </c>
      <c r="J172" s="31">
        <v>131119</v>
      </c>
      <c r="K172" s="31"/>
    </row>
    <row r="173" spans="2:11" ht="13.5" x14ac:dyDescent="0.4">
      <c r="B173" s="57"/>
      <c r="C173" s="74" t="s">
        <v>138</v>
      </c>
      <c r="E173" s="41">
        <v>32098</v>
      </c>
      <c r="F173" s="41">
        <v>44286</v>
      </c>
      <c r="G173" s="41">
        <v>53234</v>
      </c>
      <c r="H173" s="41">
        <v>70962</v>
      </c>
      <c r="I173" s="41">
        <v>85727</v>
      </c>
      <c r="J173" s="41">
        <v>84477</v>
      </c>
      <c r="K173" s="41"/>
    </row>
    <row r="174" spans="2:11" ht="13.15" x14ac:dyDescent="0.35">
      <c r="B174" s="46"/>
      <c r="C174" s="59" t="s">
        <v>99</v>
      </c>
      <c r="E174" s="34"/>
      <c r="F174" s="34"/>
      <c r="G174" s="34"/>
      <c r="H174" s="34"/>
      <c r="I174" s="34"/>
      <c r="J174" s="34"/>
      <c r="K174" s="34"/>
    </row>
    <row r="175" spans="2:11" ht="13.15" x14ac:dyDescent="0.35">
      <c r="B175" s="46"/>
      <c r="C175" s="61" t="s">
        <v>197</v>
      </c>
      <c r="E175" s="68"/>
      <c r="F175" s="68"/>
      <c r="G175" s="68"/>
      <c r="H175" s="68"/>
      <c r="I175" s="130"/>
      <c r="J175" s="130"/>
      <c r="K175" s="68"/>
    </row>
    <row r="176" spans="2:11" ht="13.15" x14ac:dyDescent="0.35">
      <c r="B176" s="56"/>
      <c r="C176" s="61" t="s">
        <v>115</v>
      </c>
      <c r="E176" s="32"/>
      <c r="F176" s="32"/>
      <c r="G176" s="32"/>
      <c r="H176" s="32"/>
      <c r="I176" s="128"/>
      <c r="J176" s="128"/>
      <c r="K176" s="32"/>
    </row>
    <row r="177" spans="2:11" ht="13.15" x14ac:dyDescent="0.35">
      <c r="B177" s="56"/>
      <c r="C177" s="62" t="s">
        <v>116</v>
      </c>
      <c r="E177" s="39"/>
      <c r="F177" s="39"/>
      <c r="G177" s="39"/>
      <c r="H177" s="39"/>
      <c r="I177" s="131"/>
      <c r="J177" s="131"/>
      <c r="K177" s="39"/>
    </row>
    <row r="178" spans="2:11" ht="13.15" x14ac:dyDescent="0.35">
      <c r="B178" s="56"/>
      <c r="C178" s="89" t="s">
        <v>117</v>
      </c>
      <c r="E178" s="63">
        <v>5580</v>
      </c>
      <c r="F178" s="63">
        <v>7678</v>
      </c>
      <c r="G178" s="63">
        <v>8206</v>
      </c>
      <c r="H178" s="63">
        <v>9186</v>
      </c>
      <c r="I178" s="148">
        <v>10594</v>
      </c>
      <c r="J178" s="148">
        <v>11497</v>
      </c>
      <c r="K178" s="63"/>
    </row>
    <row r="179" spans="2:11" ht="13.15" x14ac:dyDescent="0.35">
      <c r="B179" s="56"/>
      <c r="C179" s="61" t="s">
        <v>118</v>
      </c>
      <c r="E179" s="32"/>
      <c r="F179" s="32"/>
      <c r="G179" s="32"/>
      <c r="H179" s="32"/>
      <c r="I179" s="128"/>
      <c r="J179" s="128"/>
      <c r="K179" s="32"/>
    </row>
    <row r="180" spans="2:11" ht="13.15" x14ac:dyDescent="0.35">
      <c r="B180" s="56"/>
      <c r="C180" s="61" t="s">
        <v>119</v>
      </c>
      <c r="E180" s="32"/>
      <c r="F180" s="32"/>
      <c r="G180" s="32"/>
      <c r="H180" s="32"/>
      <c r="I180" s="128"/>
      <c r="J180" s="128"/>
      <c r="K180" s="32"/>
    </row>
    <row r="181" spans="2:11" ht="13.15" x14ac:dyDescent="0.35">
      <c r="B181" s="56"/>
      <c r="C181" s="64" t="s">
        <v>120</v>
      </c>
      <c r="E181" s="32"/>
      <c r="F181" s="32"/>
      <c r="G181" s="32"/>
      <c r="H181" s="32"/>
      <c r="I181" s="128"/>
      <c r="J181" s="128"/>
      <c r="K181" s="32"/>
    </row>
    <row r="182" spans="2:11" ht="13.15" x14ac:dyDescent="0.35">
      <c r="B182" s="56"/>
      <c r="C182" s="62" t="s">
        <v>121</v>
      </c>
      <c r="E182" s="65"/>
      <c r="F182" s="65"/>
      <c r="G182" s="65"/>
      <c r="H182" s="65"/>
      <c r="I182" s="134"/>
      <c r="J182" s="134"/>
      <c r="K182" s="65"/>
    </row>
    <row r="183" spans="2:11" ht="13.15" x14ac:dyDescent="0.35">
      <c r="B183" s="56"/>
      <c r="C183" s="89" t="s">
        <v>122</v>
      </c>
      <c r="E183" s="66">
        <v>1669</v>
      </c>
      <c r="F183" s="66">
        <v>2691</v>
      </c>
      <c r="G183" s="66">
        <v>3315</v>
      </c>
      <c r="H183" s="66">
        <v>3885</v>
      </c>
      <c r="I183" s="149">
        <v>4206</v>
      </c>
      <c r="J183" s="149">
        <v>4240</v>
      </c>
      <c r="K183" s="66"/>
    </row>
    <row r="184" spans="2:11" ht="13.15" x14ac:dyDescent="0.35">
      <c r="B184" s="56"/>
      <c r="C184" s="74" t="s">
        <v>123</v>
      </c>
      <c r="E184" s="67">
        <v>9442</v>
      </c>
      <c r="F184" s="67">
        <v>12607</v>
      </c>
      <c r="G184" s="67">
        <v>28118</v>
      </c>
      <c r="H184" s="67">
        <v>34723</v>
      </c>
      <c r="I184" s="150">
        <v>30750</v>
      </c>
      <c r="J184" s="150">
        <v>27382</v>
      </c>
      <c r="K184" s="67"/>
    </row>
    <row r="185" spans="2:11" ht="13.15" x14ac:dyDescent="0.35">
      <c r="B185" s="56"/>
      <c r="C185" s="61" t="s">
        <v>124</v>
      </c>
      <c r="E185" s="68"/>
      <c r="F185" s="68"/>
      <c r="G185" s="68"/>
      <c r="H185" s="68"/>
      <c r="I185" s="130"/>
      <c r="J185" s="130"/>
      <c r="K185" s="68"/>
    </row>
    <row r="186" spans="2:11" ht="13.15" x14ac:dyDescent="0.35">
      <c r="B186" s="56"/>
      <c r="C186" s="61" t="s">
        <v>14</v>
      </c>
      <c r="E186" s="32"/>
      <c r="F186" s="32"/>
      <c r="G186" s="32"/>
      <c r="H186" s="32"/>
      <c r="I186" s="128"/>
      <c r="J186" s="128"/>
      <c r="K186" s="32"/>
    </row>
    <row r="187" spans="2:11" ht="13.15" x14ac:dyDescent="0.35">
      <c r="B187" s="56"/>
      <c r="C187" s="62" t="s">
        <v>125</v>
      </c>
      <c r="E187" s="39"/>
      <c r="F187" s="39"/>
      <c r="G187" s="39"/>
      <c r="H187" s="39"/>
      <c r="I187" s="131"/>
      <c r="J187" s="131"/>
      <c r="K187" s="39"/>
    </row>
    <row r="188" spans="2:11" ht="13.5" thickBot="1" x14ac:dyDescent="0.4">
      <c r="B188" s="56"/>
      <c r="C188" s="69" t="s">
        <v>139</v>
      </c>
      <c r="E188" s="70">
        <v>3481</v>
      </c>
      <c r="F188" s="70">
        <v>7352</v>
      </c>
      <c r="G188" s="70">
        <v>229</v>
      </c>
      <c r="H188" s="70">
        <v>446</v>
      </c>
      <c r="I188" s="70">
        <v>2876</v>
      </c>
      <c r="J188" s="70">
        <v>3523</v>
      </c>
      <c r="K188" s="70"/>
    </row>
    <row r="189" spans="2:11" s="28" customFormat="1" ht="13.15" x14ac:dyDescent="0.35">
      <c r="B189" s="75"/>
      <c r="C189" s="27" t="s">
        <v>62</v>
      </c>
      <c r="E189" s="29">
        <v>0</v>
      </c>
      <c r="F189" s="29">
        <v>0</v>
      </c>
      <c r="G189" s="29">
        <v>0</v>
      </c>
      <c r="H189" s="29">
        <v>0</v>
      </c>
      <c r="I189" s="29">
        <v>0</v>
      </c>
      <c r="J189" s="29">
        <v>0</v>
      </c>
      <c r="K189" s="29">
        <v>0</v>
      </c>
    </row>
    <row r="190" spans="2:11" ht="13.15" x14ac:dyDescent="0.35">
      <c r="B190" s="56"/>
      <c r="C190" s="55"/>
    </row>
    <row r="191" spans="2:11" ht="13.15" thickBot="1" x14ac:dyDescent="0.4">
      <c r="B191" s="71"/>
      <c r="C191" s="72"/>
    </row>
    <row r="192" spans="2:11" ht="13.5" x14ac:dyDescent="0.4">
      <c r="B192" s="56"/>
      <c r="C192" s="73" t="s">
        <v>198</v>
      </c>
      <c r="E192" s="31">
        <v>26980</v>
      </c>
      <c r="F192" s="31">
        <v>41578</v>
      </c>
      <c r="G192" s="31">
        <v>52414</v>
      </c>
      <c r="H192" s="31">
        <v>66156</v>
      </c>
      <c r="I192" s="31">
        <v>65692</v>
      </c>
      <c r="J192" s="31">
        <v>54708</v>
      </c>
      <c r="K192" s="31">
        <v>16176</v>
      </c>
    </row>
    <row r="193" spans="2:11" ht="13.15" x14ac:dyDescent="0.35">
      <c r="B193" s="56"/>
      <c r="C193" s="74" t="s">
        <v>128</v>
      </c>
      <c r="E193" s="154">
        <v>15203</v>
      </c>
      <c r="F193" s="154">
        <v>23121</v>
      </c>
      <c r="G193" s="154">
        <v>27253</v>
      </c>
      <c r="H193" s="154">
        <v>37551</v>
      </c>
      <c r="I193" s="154">
        <v>42763</v>
      </c>
      <c r="J193" s="154">
        <v>35895</v>
      </c>
      <c r="K193" s="154">
        <v>8427</v>
      </c>
    </row>
    <row r="194" spans="2:11" ht="13.15" x14ac:dyDescent="0.35">
      <c r="B194" s="56"/>
      <c r="C194" s="61" t="s">
        <v>105</v>
      </c>
      <c r="E194" s="14">
        <v>1761</v>
      </c>
      <c r="F194" s="14">
        <v>1744</v>
      </c>
      <c r="G194" s="14">
        <v>2083</v>
      </c>
      <c r="H194" s="14">
        <v>2400</v>
      </c>
      <c r="I194" s="14">
        <v>2398</v>
      </c>
      <c r="J194" s="14">
        <v>3084</v>
      </c>
      <c r="K194" s="14">
        <v>891</v>
      </c>
    </row>
    <row r="195" spans="2:11" ht="13.15" x14ac:dyDescent="0.35">
      <c r="B195" s="56"/>
      <c r="C195" s="61" t="s">
        <v>129</v>
      </c>
      <c r="E195" s="32">
        <v>1522</v>
      </c>
      <c r="F195" s="32">
        <v>1489</v>
      </c>
      <c r="G195" s="32">
        <v>1829</v>
      </c>
      <c r="H195" s="32">
        <v>2007</v>
      </c>
      <c r="I195" s="128">
        <v>2013</v>
      </c>
      <c r="J195" s="128">
        <v>2678</v>
      </c>
      <c r="K195" s="32">
        <v>793</v>
      </c>
    </row>
    <row r="196" spans="2:11" ht="13.15" x14ac:dyDescent="0.35">
      <c r="B196" s="56"/>
      <c r="C196" s="61" t="s">
        <v>130</v>
      </c>
      <c r="E196" s="32">
        <v>239</v>
      </c>
      <c r="F196" s="32">
        <v>255</v>
      </c>
      <c r="G196" s="32">
        <v>254</v>
      </c>
      <c r="H196" s="32">
        <v>393</v>
      </c>
      <c r="I196" s="128">
        <v>385</v>
      </c>
      <c r="J196" s="128">
        <v>406</v>
      </c>
      <c r="K196" s="32">
        <v>98</v>
      </c>
    </row>
    <row r="197" spans="2:11" ht="13.15" x14ac:dyDescent="0.35">
      <c r="B197" s="56"/>
      <c r="C197" s="61" t="s">
        <v>108</v>
      </c>
      <c r="E197" s="14">
        <v>11460</v>
      </c>
      <c r="F197" s="14">
        <v>16114</v>
      </c>
      <c r="G197" s="14">
        <v>20624</v>
      </c>
      <c r="H197" s="14">
        <v>28350</v>
      </c>
      <c r="I197" s="14">
        <v>32631</v>
      </c>
      <c r="J197" s="14">
        <v>26700</v>
      </c>
      <c r="K197" s="14">
        <v>6209</v>
      </c>
    </row>
    <row r="198" spans="2:11" ht="13.15" x14ac:dyDescent="0.35">
      <c r="B198" s="56"/>
      <c r="C198" s="61" t="s">
        <v>131</v>
      </c>
      <c r="E198" s="32">
        <v>9185</v>
      </c>
      <c r="F198" s="32">
        <v>12224</v>
      </c>
      <c r="G198" s="32">
        <v>16176</v>
      </c>
      <c r="H198" s="32">
        <v>23038</v>
      </c>
      <c r="I198" s="128">
        <v>27316</v>
      </c>
      <c r="J198" s="128">
        <v>23034</v>
      </c>
      <c r="K198" s="32">
        <v>5388</v>
      </c>
    </row>
    <row r="199" spans="2:11" ht="13.15" x14ac:dyDescent="0.35">
      <c r="B199" s="56"/>
      <c r="C199" s="61" t="s">
        <v>132</v>
      </c>
      <c r="E199" s="32">
        <v>2275</v>
      </c>
      <c r="F199" s="32">
        <v>3890</v>
      </c>
      <c r="G199" s="32">
        <v>4448</v>
      </c>
      <c r="H199" s="32">
        <v>5312</v>
      </c>
      <c r="I199" s="128">
        <v>5315</v>
      </c>
      <c r="J199" s="128">
        <v>3666</v>
      </c>
      <c r="K199" s="32">
        <v>821</v>
      </c>
    </row>
    <row r="200" spans="2:11" ht="13.15" x14ac:dyDescent="0.35">
      <c r="B200" s="56"/>
      <c r="C200" s="62" t="s">
        <v>193</v>
      </c>
      <c r="E200" s="32">
        <v>1982</v>
      </c>
      <c r="F200" s="32">
        <v>5263</v>
      </c>
      <c r="G200" s="32">
        <v>4546</v>
      </c>
      <c r="H200" s="32">
        <v>6801</v>
      </c>
      <c r="I200" s="128">
        <v>7734</v>
      </c>
      <c r="J200" s="128">
        <v>6111</v>
      </c>
      <c r="K200" s="32">
        <v>1327</v>
      </c>
    </row>
    <row r="201" spans="2:11" ht="13.15" x14ac:dyDescent="0.35">
      <c r="B201" s="56"/>
      <c r="C201" s="89" t="s">
        <v>133</v>
      </c>
      <c r="E201" s="67">
        <v>837</v>
      </c>
      <c r="F201" s="67">
        <v>1001</v>
      </c>
      <c r="G201" s="67">
        <v>672</v>
      </c>
      <c r="H201" s="67">
        <v>1657</v>
      </c>
      <c r="I201" s="150">
        <v>5486</v>
      </c>
      <c r="J201" s="150">
        <v>9334</v>
      </c>
      <c r="K201" s="67">
        <v>3243</v>
      </c>
    </row>
    <row r="202" spans="2:11" ht="13.15" x14ac:dyDescent="0.35">
      <c r="B202" s="56"/>
      <c r="C202" s="74" t="s">
        <v>134</v>
      </c>
      <c r="E202" s="67">
        <v>9315</v>
      </c>
      <c r="F202" s="67">
        <v>15161</v>
      </c>
      <c r="G202" s="67">
        <v>24489</v>
      </c>
      <c r="H202" s="67">
        <v>26948</v>
      </c>
      <c r="I202" s="150">
        <v>17443</v>
      </c>
      <c r="J202" s="150">
        <v>9479</v>
      </c>
      <c r="K202" s="67">
        <v>4506</v>
      </c>
    </row>
    <row r="203" spans="2:11" ht="13.15" x14ac:dyDescent="0.35">
      <c r="B203" s="56"/>
      <c r="C203" s="61" t="s">
        <v>135</v>
      </c>
      <c r="E203" s="68"/>
      <c r="F203" s="68"/>
      <c r="G203" s="68"/>
      <c r="H203" s="68"/>
      <c r="I203" s="130"/>
      <c r="J203" s="130"/>
      <c r="K203" s="68"/>
    </row>
    <row r="204" spans="2:11" ht="13.15" x14ac:dyDescent="0.35">
      <c r="B204" s="56"/>
      <c r="C204" s="61" t="s">
        <v>35</v>
      </c>
      <c r="E204" s="32"/>
      <c r="F204" s="32"/>
      <c r="G204" s="32"/>
      <c r="H204" s="32"/>
      <c r="I204" s="128"/>
      <c r="J204" s="128"/>
      <c r="K204" s="32"/>
    </row>
    <row r="205" spans="2:11" ht="13.15" x14ac:dyDescent="0.35">
      <c r="B205" s="56"/>
      <c r="C205" s="61" t="s">
        <v>194</v>
      </c>
      <c r="E205" s="32"/>
      <c r="F205" s="32"/>
      <c r="G205" s="32"/>
      <c r="H205" s="32"/>
      <c r="I205" s="128"/>
      <c r="J205" s="128"/>
      <c r="K205" s="32"/>
    </row>
    <row r="206" spans="2:11" ht="13.15" x14ac:dyDescent="0.35">
      <c r="B206" s="56"/>
      <c r="C206" s="61" t="s">
        <v>195</v>
      </c>
      <c r="E206" s="39"/>
      <c r="F206" s="39"/>
      <c r="G206" s="39"/>
      <c r="H206" s="39"/>
      <c r="I206" s="131"/>
      <c r="J206" s="131"/>
      <c r="K206" s="39"/>
    </row>
    <row r="207" spans="2:11" ht="13.5" thickBot="1" x14ac:dyDescent="0.4">
      <c r="B207" s="56"/>
      <c r="C207" s="69" t="s">
        <v>140</v>
      </c>
      <c r="E207" s="77">
        <v>1625</v>
      </c>
      <c r="F207" s="77">
        <v>2295</v>
      </c>
      <c r="G207" s="77"/>
      <c r="H207" s="77"/>
      <c r="I207" s="77"/>
      <c r="J207" s="77"/>
      <c r="K207" s="77"/>
    </row>
    <row r="208" spans="2:11" s="79" customFormat="1" ht="13.15" x14ac:dyDescent="0.35">
      <c r="B208" s="78"/>
      <c r="C208" s="27" t="s">
        <v>62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</row>
    <row r="209" spans="2:11" s="19" customFormat="1" ht="13.15" x14ac:dyDescent="0.35">
      <c r="B209" s="76"/>
      <c r="C209" s="80"/>
      <c r="E209" s="81"/>
      <c r="F209" s="81"/>
      <c r="G209" s="81"/>
      <c r="H209" s="81"/>
      <c r="I209" s="81"/>
      <c r="J209" s="81"/>
      <c r="K209" s="81"/>
    </row>
    <row r="211" spans="2:11" ht="13.15" x14ac:dyDescent="0.35">
      <c r="B211" s="55" t="s">
        <v>141</v>
      </c>
    </row>
    <row r="212" spans="2:11" ht="13.9" thickBot="1" x14ac:dyDescent="0.45">
      <c r="B212" s="56"/>
      <c r="C212" s="10"/>
      <c r="E212" s="155">
        <v>4.6183071213995404E-2</v>
      </c>
      <c r="F212" s="155">
        <v>5.3485434763597163E-2</v>
      </c>
      <c r="G212" s="155">
        <v>5.2827186748888443E-2</v>
      </c>
      <c r="H212" s="155">
        <v>5.7736263044325886E-2</v>
      </c>
      <c r="I212" s="155">
        <v>5.4980940503469071E-2</v>
      </c>
      <c r="J212" s="155">
        <v>4.7257293634308944E-2</v>
      </c>
    </row>
    <row r="213" spans="2:11" ht="13.15" x14ac:dyDescent="0.35">
      <c r="B213" s="57"/>
      <c r="C213" s="58" t="s">
        <v>142</v>
      </c>
      <c r="E213" s="82">
        <v>5.2699999999999997E-2</v>
      </c>
      <c r="F213" s="82">
        <v>5.3499999999999999E-2</v>
      </c>
      <c r="G213" s="82">
        <v>5.28E-2</v>
      </c>
      <c r="H213" s="83">
        <v>5.7736263044325886E-2</v>
      </c>
      <c r="I213" s="83">
        <v>5.4980940503469071E-2</v>
      </c>
      <c r="J213" s="83">
        <v>4.7257293634308944E-2</v>
      </c>
      <c r="K213" s="83"/>
    </row>
    <row r="214" spans="2:11" ht="13.15" x14ac:dyDescent="0.35">
      <c r="B214" s="57"/>
      <c r="C214" s="74" t="s">
        <v>138</v>
      </c>
      <c r="E214" s="84">
        <v>5.5704998490144285E-2</v>
      </c>
      <c r="F214" s="84">
        <v>6.8672602599529217E-2</v>
      </c>
      <c r="G214" s="84">
        <v>6.8555547971755643E-2</v>
      </c>
      <c r="H214" s="84">
        <v>7.6564698367759143E-2</v>
      </c>
      <c r="I214" s="84">
        <v>7.4627827151272669E-2</v>
      </c>
      <c r="J214" s="84">
        <v>6.4000927319093223E-2</v>
      </c>
      <c r="K214" s="84"/>
    </row>
    <row r="215" spans="2:11" ht="13.15" x14ac:dyDescent="0.35">
      <c r="B215" s="46"/>
      <c r="C215" s="59" t="s">
        <v>99</v>
      </c>
      <c r="E215" s="85"/>
      <c r="F215" s="85"/>
      <c r="G215" s="85"/>
      <c r="H215" s="86"/>
      <c r="I215" s="85"/>
      <c r="J215" s="84"/>
      <c r="K215" s="85"/>
    </row>
    <row r="216" spans="2:11" ht="13.15" x14ac:dyDescent="0.35">
      <c r="B216" s="46"/>
      <c r="C216" s="61" t="s">
        <v>100</v>
      </c>
      <c r="E216" s="84" t="e">
        <v>#DIV/0!</v>
      </c>
      <c r="F216" s="84" t="e">
        <v>#DIV/0!</v>
      </c>
      <c r="G216" s="84" t="e">
        <v>#DIV/0!</v>
      </c>
      <c r="H216" s="84" t="e">
        <v>#DIV/0!</v>
      </c>
      <c r="I216" s="84" t="e">
        <v>#DIV/0!</v>
      </c>
      <c r="J216" s="84" t="e">
        <v>#DIV/0!</v>
      </c>
      <c r="K216" s="87"/>
    </row>
    <row r="217" spans="2:11" ht="13.15" x14ac:dyDescent="0.35">
      <c r="B217" s="56"/>
      <c r="C217" s="61" t="s">
        <v>115</v>
      </c>
      <c r="E217" s="84" t="e">
        <v>#DIV/0!</v>
      </c>
      <c r="F217" s="84" t="e">
        <v>#DIV/0!</v>
      </c>
      <c r="G217" s="84" t="e">
        <v>#DIV/0!</v>
      </c>
      <c r="H217" s="84" t="e">
        <v>#DIV/0!</v>
      </c>
      <c r="I217" s="84" t="e">
        <v>#DIV/0!</v>
      </c>
      <c r="J217" s="84" t="e">
        <v>#DIV/0!</v>
      </c>
      <c r="K217" s="87"/>
    </row>
    <row r="218" spans="2:11" ht="13.15" x14ac:dyDescent="0.35">
      <c r="B218" s="56"/>
      <c r="C218" s="62" t="s">
        <v>116</v>
      </c>
      <c r="E218" s="84" t="e">
        <v>#DIV/0!</v>
      </c>
      <c r="F218" s="84" t="e">
        <v>#DIV/0!</v>
      </c>
      <c r="G218" s="84" t="e">
        <v>#DIV/0!</v>
      </c>
      <c r="H218" s="84" t="e">
        <v>#DIV/0!</v>
      </c>
      <c r="I218" s="84" t="e">
        <v>#DIV/0!</v>
      </c>
      <c r="J218" s="84" t="e">
        <v>#DIV/0!</v>
      </c>
      <c r="K218" s="88"/>
    </row>
    <row r="219" spans="2:11" s="18" customFormat="1" ht="13.5" x14ac:dyDescent="0.4">
      <c r="B219" s="56"/>
      <c r="C219" s="89" t="s">
        <v>117</v>
      </c>
      <c r="D219" s="12"/>
      <c r="E219" s="85">
        <v>3.1567870922483338E-2</v>
      </c>
      <c r="F219" s="85">
        <v>3.9392742254077545E-2</v>
      </c>
      <c r="G219" s="85">
        <v>3.9903135454757648E-2</v>
      </c>
      <c r="H219" s="86">
        <v>4.1432501916918496E-2</v>
      </c>
      <c r="I219" s="86">
        <v>3.7600576395469758E-2</v>
      </c>
      <c r="J219" s="86">
        <v>3.3252061442706211E-2</v>
      </c>
      <c r="K219" s="86"/>
    </row>
    <row r="220" spans="2:11" ht="13.15" x14ac:dyDescent="0.35">
      <c r="B220" s="56"/>
      <c r="C220" s="61" t="s">
        <v>118</v>
      </c>
      <c r="E220" s="87"/>
      <c r="F220" s="87"/>
      <c r="G220" s="87"/>
      <c r="H220" s="87"/>
      <c r="I220" s="87"/>
      <c r="J220" s="87"/>
      <c r="K220" s="87"/>
    </row>
    <row r="221" spans="2:11" ht="13.15" x14ac:dyDescent="0.35">
      <c r="B221" s="56"/>
      <c r="C221" s="61" t="s">
        <v>119</v>
      </c>
      <c r="E221" s="87"/>
      <c r="F221" s="87"/>
      <c r="G221" s="87"/>
      <c r="H221" s="87"/>
      <c r="I221" s="87"/>
      <c r="J221" s="87"/>
      <c r="K221" s="87"/>
    </row>
    <row r="222" spans="2:11" ht="13.15" x14ac:dyDescent="0.35">
      <c r="B222" s="56"/>
      <c r="C222" s="64" t="s">
        <v>120</v>
      </c>
      <c r="E222" s="87"/>
      <c r="F222" s="87"/>
      <c r="G222" s="87"/>
      <c r="H222" s="87"/>
      <c r="I222" s="87"/>
      <c r="J222" s="87"/>
      <c r="K222" s="87"/>
    </row>
    <row r="223" spans="2:11" ht="13.15" x14ac:dyDescent="0.35">
      <c r="B223" s="56"/>
      <c r="C223" s="62" t="s">
        <v>121</v>
      </c>
      <c r="E223" s="88"/>
      <c r="F223" s="88"/>
      <c r="G223" s="88"/>
      <c r="H223" s="88"/>
      <c r="I223" s="88"/>
      <c r="J223" s="88"/>
      <c r="K223" s="88"/>
    </row>
    <row r="224" spans="2:11" ht="13.15" x14ac:dyDescent="0.35">
      <c r="B224" s="56"/>
      <c r="C224" s="89" t="s">
        <v>122</v>
      </c>
      <c r="E224" s="86">
        <v>1.2923458128460259E-2</v>
      </c>
      <c r="F224" s="86">
        <v>1.5116958407298384E-2</v>
      </c>
      <c r="G224" s="86">
        <v>1.4651933701657458E-2</v>
      </c>
      <c r="H224" s="86">
        <v>1.4746855142989455E-2</v>
      </c>
      <c r="I224" s="86">
        <v>1.4629819649037375E-2</v>
      </c>
      <c r="J224" s="86">
        <v>1.4575655904515704E-2</v>
      </c>
      <c r="K224" s="90"/>
    </row>
    <row r="225" spans="2:11" ht="13.15" x14ac:dyDescent="0.35">
      <c r="B225" s="56"/>
      <c r="C225" s="74" t="s">
        <v>123</v>
      </c>
      <c r="E225" s="86">
        <v>4.9677480454158027E-2</v>
      </c>
      <c r="F225" s="86">
        <v>4.94239039670063E-2</v>
      </c>
      <c r="G225" s="86">
        <v>5.1147722291042509E-2</v>
      </c>
      <c r="H225" s="86">
        <v>5.3783576980387417E-2</v>
      </c>
      <c r="I225" s="86">
        <v>4.6342904336188762E-2</v>
      </c>
      <c r="J225" s="86">
        <v>3.7197790031231366E-2</v>
      </c>
      <c r="K225" s="84"/>
    </row>
    <row r="226" spans="2:11" ht="13.15" x14ac:dyDescent="0.35">
      <c r="B226" s="75"/>
      <c r="C226" s="61" t="s">
        <v>124</v>
      </c>
      <c r="E226" s="85"/>
      <c r="F226" s="85"/>
      <c r="G226" s="85"/>
      <c r="H226" s="85"/>
      <c r="I226" s="85"/>
      <c r="J226" s="85"/>
      <c r="K226" s="85"/>
    </row>
    <row r="227" spans="2:11" ht="13.15" x14ac:dyDescent="0.35">
      <c r="B227" s="56"/>
      <c r="C227" s="61" t="s">
        <v>14</v>
      </c>
      <c r="E227" s="87"/>
      <c r="F227" s="87"/>
      <c r="G227" s="87"/>
      <c r="H227" s="87"/>
      <c r="I227" s="87"/>
      <c r="J227" s="87"/>
      <c r="K227" s="87"/>
    </row>
    <row r="228" spans="2:11" ht="13.15" x14ac:dyDescent="0.35">
      <c r="B228" s="56"/>
      <c r="C228" s="62" t="s">
        <v>125</v>
      </c>
      <c r="E228" s="88"/>
      <c r="F228" s="88"/>
      <c r="G228" s="88"/>
      <c r="H228" s="88"/>
      <c r="I228" s="88"/>
      <c r="J228" s="88"/>
      <c r="K228" s="88"/>
    </row>
    <row r="229" spans="2:11" ht="13.5" thickBot="1" x14ac:dyDescent="0.4">
      <c r="B229" s="56"/>
      <c r="C229" s="69" t="s">
        <v>143</v>
      </c>
      <c r="E229" s="91">
        <v>5.8393303474074447E-2</v>
      </c>
      <c r="F229" s="91">
        <v>6.0189278580083175E-2</v>
      </c>
      <c r="G229" s="91">
        <v>5.4009433962264153E-2</v>
      </c>
      <c r="H229" s="91">
        <v>6.3632472535311749E-2</v>
      </c>
      <c r="I229" s="91">
        <v>4.9174161337756046E-2</v>
      </c>
      <c r="J229" s="91">
        <v>4.3029007633587787E-2</v>
      </c>
      <c r="K229" s="91"/>
    </row>
    <row r="230" spans="2:11" ht="13.15" x14ac:dyDescent="0.35">
      <c r="B230" s="56"/>
      <c r="C230" s="55"/>
    </row>
    <row r="231" spans="2:11" ht="13.15" thickBot="1" x14ac:dyDescent="0.4">
      <c r="B231" s="71"/>
      <c r="C231" s="72"/>
      <c r="E231" s="12">
        <v>-3.6985251434578613E-3</v>
      </c>
      <c r="F231" s="12">
        <v>-5.006808676204233E-6</v>
      </c>
      <c r="G231" s="12">
        <v>1.9512899839882469E-5</v>
      </c>
      <c r="H231" s="12">
        <v>-1.3229527404491626E-5</v>
      </c>
      <c r="I231" s="12">
        <v>-1.5455983861163702E-5</v>
      </c>
      <c r="J231" s="12">
        <v>-3.0666981837013108E-5</v>
      </c>
    </row>
    <row r="232" spans="2:11" ht="13.15" x14ac:dyDescent="0.35">
      <c r="B232" s="56"/>
      <c r="C232" s="74" t="s">
        <v>144</v>
      </c>
      <c r="E232" s="83">
        <v>2.8999999999999998E-2</v>
      </c>
      <c r="F232" s="83">
        <v>3.1600000000000003E-2</v>
      </c>
      <c r="G232" s="83">
        <v>3.1400000000000004E-2</v>
      </c>
      <c r="H232" s="83">
        <v>3.3700000000000001E-2</v>
      </c>
      <c r="I232" s="83">
        <v>2.8799999999999999E-2</v>
      </c>
      <c r="J232" s="83">
        <v>2.1299999999999999E-2</v>
      </c>
      <c r="K232" s="83"/>
    </row>
    <row r="233" spans="2:11" ht="13.15" x14ac:dyDescent="0.35">
      <c r="B233" s="56"/>
      <c r="C233" s="74" t="s">
        <v>128</v>
      </c>
      <c r="E233" s="84">
        <v>-1.8938884321199889E-2</v>
      </c>
      <c r="F233" s="84">
        <v>-2.5351278747841342E-2</v>
      </c>
      <c r="G233" s="84">
        <v>-2.3867993435053799E-2</v>
      </c>
      <c r="H233" s="84">
        <v>-2.654418729588735E-2</v>
      </c>
      <c r="I233" s="84">
        <v>-2.5673568705899163E-2</v>
      </c>
      <c r="J233" s="84">
        <v>-1.9112238008727897E-2</v>
      </c>
      <c r="K233" s="84"/>
    </row>
    <row r="234" spans="2:11" ht="13.15" x14ac:dyDescent="0.35">
      <c r="B234" s="56"/>
      <c r="C234" s="61" t="s">
        <v>105</v>
      </c>
      <c r="E234" s="85"/>
      <c r="F234" s="85"/>
      <c r="G234" s="85"/>
      <c r="H234" s="85"/>
      <c r="I234" s="85"/>
      <c r="J234" s="85"/>
      <c r="K234" s="85"/>
    </row>
    <row r="235" spans="2:11" ht="13.15" x14ac:dyDescent="0.35">
      <c r="B235" s="56"/>
      <c r="C235" s="61" t="s">
        <v>129</v>
      </c>
      <c r="E235" s="87" t="e">
        <v>#DIV/0!</v>
      </c>
      <c r="F235" s="87" t="e">
        <v>#DIV/0!</v>
      </c>
      <c r="G235" s="87" t="e">
        <v>#DIV/0!</v>
      </c>
      <c r="H235" s="87" t="e">
        <v>#DIV/0!</v>
      </c>
      <c r="I235" s="87" t="e">
        <v>#DIV/0!</v>
      </c>
      <c r="J235" s="87" t="e">
        <v>#DIV/0!</v>
      </c>
      <c r="K235" s="87"/>
    </row>
    <row r="236" spans="2:11" ht="13.15" x14ac:dyDescent="0.35">
      <c r="B236" s="56"/>
      <c r="C236" s="61" t="s">
        <v>130</v>
      </c>
      <c r="E236" s="87" t="e">
        <v>#DIV/0!</v>
      </c>
      <c r="F236" s="87" t="e">
        <v>#DIV/0!</v>
      </c>
      <c r="G236" s="87" t="e">
        <v>#DIV/0!</v>
      </c>
      <c r="H236" s="87" t="e">
        <v>#DIV/0!</v>
      </c>
      <c r="I236" s="87" t="e">
        <v>#DIV/0!</v>
      </c>
      <c r="J236" s="87" t="e">
        <v>#DIV/0!</v>
      </c>
      <c r="K236" s="87"/>
    </row>
    <row r="237" spans="2:11" ht="13.15" x14ac:dyDescent="0.35">
      <c r="B237" s="56"/>
      <c r="C237" s="61" t="s">
        <v>108</v>
      </c>
      <c r="E237" s="87"/>
      <c r="F237" s="87"/>
      <c r="G237" s="87"/>
      <c r="H237" s="87"/>
      <c r="I237" s="87"/>
      <c r="J237" s="87"/>
      <c r="K237" s="87"/>
    </row>
    <row r="238" spans="2:11" ht="13.15" x14ac:dyDescent="0.35">
      <c r="B238" s="56"/>
      <c r="C238" s="61" t="s">
        <v>131</v>
      </c>
      <c r="E238" s="87" t="e">
        <v>#DIV/0!</v>
      </c>
      <c r="F238" s="87" t="e">
        <v>#DIV/0!</v>
      </c>
      <c r="G238" s="87" t="e">
        <v>#DIV/0!</v>
      </c>
      <c r="H238" s="87" t="e">
        <v>#DIV/0!</v>
      </c>
      <c r="I238" s="87" t="e">
        <v>#DIV/0!</v>
      </c>
      <c r="J238" s="87" t="e">
        <v>#DIV/0!</v>
      </c>
      <c r="K238" s="87"/>
    </row>
    <row r="239" spans="2:11" ht="13.15" x14ac:dyDescent="0.35">
      <c r="B239" s="56"/>
      <c r="C239" s="61" t="s">
        <v>132</v>
      </c>
      <c r="E239" s="87" t="e">
        <v>#DIV/0!</v>
      </c>
      <c r="F239" s="87" t="e">
        <v>#DIV/0!</v>
      </c>
      <c r="G239" s="87" t="e">
        <v>#DIV/0!</v>
      </c>
      <c r="H239" s="87" t="e">
        <v>#DIV/0!</v>
      </c>
      <c r="I239" s="87" t="e">
        <v>#DIV/0!</v>
      </c>
      <c r="J239" s="87" t="e">
        <v>#DIV/0!</v>
      </c>
      <c r="K239" s="87"/>
    </row>
    <row r="240" spans="2:11" ht="13.15" x14ac:dyDescent="0.35">
      <c r="B240" s="56"/>
      <c r="C240" s="62" t="s">
        <v>109</v>
      </c>
      <c r="E240" s="88"/>
      <c r="F240" s="88"/>
      <c r="G240" s="88"/>
      <c r="H240" s="88"/>
      <c r="I240" s="88"/>
      <c r="J240" s="88"/>
      <c r="K240" s="88"/>
    </row>
    <row r="241" spans="2:11" ht="13.15" x14ac:dyDescent="0.35">
      <c r="B241" s="56"/>
      <c r="C241" s="89" t="s">
        <v>133</v>
      </c>
      <c r="E241" s="84">
        <v>-5.602784657607604E-2</v>
      </c>
      <c r="F241" s="84">
        <v>-6.2146892655367235E-2</v>
      </c>
      <c r="G241" s="84">
        <v>-6.2164662349676228E-2</v>
      </c>
      <c r="H241" s="84">
        <v>-5.9782804776851751E-2</v>
      </c>
      <c r="I241" s="84">
        <v>-4.3520685415096586E-2</v>
      </c>
      <c r="J241" s="84">
        <v>-3.3169275599225313E-2</v>
      </c>
      <c r="K241" s="84"/>
    </row>
    <row r="242" spans="2:11" ht="13.15" x14ac:dyDescent="0.35">
      <c r="B242" s="56"/>
      <c r="C242" s="74" t="s">
        <v>134</v>
      </c>
      <c r="E242" s="84">
        <v>-4.1691096500454286E-2</v>
      </c>
      <c r="F242" s="84">
        <v>-4.3109478341475063E-2</v>
      </c>
      <c r="G242" s="84">
        <v>-4.7499161117759668E-2</v>
      </c>
      <c r="H242" s="84">
        <v>-5.1675999079542838E-2</v>
      </c>
      <c r="I242" s="84">
        <v>-3.5561744264514299E-2</v>
      </c>
      <c r="J242" s="84">
        <v>-2.2971987213819545E-2</v>
      </c>
      <c r="K242" s="84"/>
    </row>
    <row r="243" spans="2:11" ht="13.15" x14ac:dyDescent="0.35">
      <c r="B243" s="56"/>
      <c r="C243" s="61" t="s">
        <v>135</v>
      </c>
      <c r="E243" s="85"/>
      <c r="F243" s="85"/>
      <c r="G243" s="85"/>
      <c r="H243" s="85"/>
      <c r="I243" s="85"/>
      <c r="J243" s="85"/>
      <c r="K243" s="85"/>
    </row>
    <row r="244" spans="2:11" ht="13.15" x14ac:dyDescent="0.35">
      <c r="B244" s="56"/>
      <c r="C244" s="61" t="s">
        <v>35</v>
      </c>
      <c r="E244" s="87"/>
      <c r="F244" s="87"/>
      <c r="G244" s="87"/>
      <c r="H244" s="87"/>
      <c r="I244" s="87"/>
      <c r="J244" s="87"/>
      <c r="K244" s="87"/>
    </row>
    <row r="245" spans="2:11" ht="13.15" x14ac:dyDescent="0.35">
      <c r="B245" s="56"/>
      <c r="C245" s="61" t="s">
        <v>194</v>
      </c>
      <c r="E245" s="87"/>
      <c r="F245" s="87"/>
      <c r="G245" s="87"/>
      <c r="H245" s="87"/>
      <c r="I245" s="87"/>
      <c r="J245" s="87"/>
      <c r="K245" s="87"/>
    </row>
    <row r="246" spans="2:11" ht="13.15" x14ac:dyDescent="0.35">
      <c r="B246" s="56"/>
      <c r="C246" s="61" t="s">
        <v>195</v>
      </c>
      <c r="E246" s="88"/>
      <c r="F246" s="88"/>
      <c r="G246" s="88"/>
      <c r="H246" s="88" t="e">
        <v>#DIV/0!</v>
      </c>
      <c r="I246" s="88" t="e">
        <v>#DIV/0!</v>
      </c>
      <c r="J246" s="88" t="e">
        <v>#DIV/0!</v>
      </c>
      <c r="K246" s="88"/>
    </row>
    <row r="247" spans="2:11" ht="13.5" thickBot="1" x14ac:dyDescent="0.4">
      <c r="B247" s="56"/>
      <c r="C247" s="69" t="s">
        <v>145</v>
      </c>
      <c r="E247" s="91"/>
      <c r="F247" s="91"/>
      <c r="G247" s="91"/>
      <c r="H247" s="91"/>
      <c r="I247" s="91"/>
      <c r="J247" s="91"/>
      <c r="K247" s="91"/>
    </row>
    <row r="248" spans="2:11" ht="13.15" thickBot="1" x14ac:dyDescent="0.4">
      <c r="E248" s="12" t="s">
        <v>199</v>
      </c>
    </row>
    <row r="249" spans="2:11" ht="13.15" x14ac:dyDescent="0.35">
      <c r="C249" s="93" t="s">
        <v>146</v>
      </c>
      <c r="E249" s="156">
        <v>2.53E-2</v>
      </c>
      <c r="F249" s="156">
        <v>2.3700000000000002E-2</v>
      </c>
      <c r="G249" s="157">
        <v>2.3099999999999999E-2</v>
      </c>
      <c r="H249" s="157">
        <v>2.5699999999999997E-2</v>
      </c>
      <c r="I249" s="158">
        <v>2.7699999999999999E-2</v>
      </c>
      <c r="J249" s="158">
        <v>2.75E-2</v>
      </c>
      <c r="K249" s="156"/>
    </row>
    <row r="250" spans="2:11" ht="13.15" x14ac:dyDescent="0.35">
      <c r="C250" s="3" t="s">
        <v>147</v>
      </c>
      <c r="E250" s="94">
        <v>2.3699999999999999E-2</v>
      </c>
      <c r="F250" s="94">
        <v>2.1899999999999996E-2</v>
      </c>
      <c r="G250" s="159">
        <v>2.1399999999999995E-2</v>
      </c>
      <c r="H250" s="159">
        <v>2.4036263044325885E-2</v>
      </c>
      <c r="I250" s="160">
        <v>2.6180940503469072E-2</v>
      </c>
      <c r="J250" s="160">
        <v>2.5957293634308945E-2</v>
      </c>
      <c r="K250" s="161"/>
    </row>
    <row r="251" spans="2:11" ht="13.15" x14ac:dyDescent="0.35">
      <c r="C251" s="95" t="s">
        <v>148</v>
      </c>
      <c r="E251" s="96"/>
      <c r="F251" s="96"/>
      <c r="G251" s="96"/>
      <c r="H251" s="96"/>
      <c r="I251" s="96"/>
      <c r="J251" s="96"/>
      <c r="K251" s="96"/>
    </row>
    <row r="252" spans="2:11" ht="13.5" thickBot="1" x14ac:dyDescent="0.4">
      <c r="C252" s="97" t="s">
        <v>149</v>
      </c>
      <c r="E252" s="98"/>
      <c r="F252" s="98"/>
      <c r="G252" s="98"/>
      <c r="H252" s="98"/>
      <c r="I252" s="98"/>
      <c r="J252" s="98"/>
      <c r="K252" s="98"/>
    </row>
    <row r="254" spans="2:11" ht="13.5" thickBot="1" x14ac:dyDescent="0.4">
      <c r="B254" s="162" t="s">
        <v>150</v>
      </c>
    </row>
    <row r="255" spans="2:11" ht="13.15" x14ac:dyDescent="0.35">
      <c r="C255" s="99" t="s">
        <v>151</v>
      </c>
      <c r="E255" s="115">
        <v>0</v>
      </c>
      <c r="F255" s="115">
        <v>0</v>
      </c>
      <c r="G255" s="115">
        <v>100161</v>
      </c>
      <c r="H255" s="115">
        <v>119241</v>
      </c>
      <c r="I255" s="127">
        <v>150070</v>
      </c>
      <c r="J255" s="127">
        <v>170088</v>
      </c>
      <c r="K255" s="115">
        <v>174098</v>
      </c>
    </row>
    <row r="256" spans="2:11" ht="13.15" x14ac:dyDescent="0.35">
      <c r="C256" s="100" t="s">
        <v>152</v>
      </c>
      <c r="E256" s="32">
        <v>0</v>
      </c>
      <c r="F256" s="32">
        <v>0</v>
      </c>
      <c r="G256" s="32">
        <v>100161</v>
      </c>
      <c r="H256" s="32">
        <v>119241</v>
      </c>
      <c r="I256" s="32">
        <v>150070</v>
      </c>
      <c r="J256" s="32">
        <v>190041</v>
      </c>
      <c r="K256" s="32">
        <v>194051</v>
      </c>
    </row>
    <row r="257" spans="2:11" ht="13.15" x14ac:dyDescent="0.35">
      <c r="C257" s="15" t="s">
        <v>153</v>
      </c>
      <c r="E257" s="32">
        <v>0</v>
      </c>
      <c r="F257" s="32">
        <v>0</v>
      </c>
      <c r="G257" s="32">
        <v>115884</v>
      </c>
      <c r="H257" s="32">
        <v>149951</v>
      </c>
      <c r="I257" s="128">
        <v>181805</v>
      </c>
      <c r="J257" s="128">
        <v>234387</v>
      </c>
      <c r="K257" s="32">
        <v>241218</v>
      </c>
    </row>
    <row r="258" spans="2:11" ht="13.15" x14ac:dyDescent="0.35">
      <c r="C258" s="101" t="s">
        <v>154</v>
      </c>
      <c r="E258" s="39">
        <v>0</v>
      </c>
      <c r="F258" s="39">
        <v>0</v>
      </c>
      <c r="G258" s="39">
        <v>1170412</v>
      </c>
      <c r="H258" s="39">
        <v>1380432</v>
      </c>
      <c r="I258" s="131">
        <v>1661747</v>
      </c>
      <c r="J258" s="131">
        <v>2033715</v>
      </c>
      <c r="K258" s="39">
        <v>2101897</v>
      </c>
    </row>
    <row r="259" spans="2:11" ht="13.15" x14ac:dyDescent="0.4">
      <c r="C259" s="18" t="s">
        <v>155</v>
      </c>
      <c r="E259" s="96">
        <v>0</v>
      </c>
      <c r="F259" s="96">
        <v>0</v>
      </c>
      <c r="G259" s="96">
        <v>8.5600000000000009E-2</v>
      </c>
      <c r="H259" s="96">
        <v>8.6400000000000005E-2</v>
      </c>
      <c r="I259" s="163">
        <v>9.0299999999999991E-2</v>
      </c>
      <c r="J259" s="163">
        <v>8.3599999999999994E-2</v>
      </c>
      <c r="K259" s="96">
        <v>8.2799999999999999E-2</v>
      </c>
    </row>
    <row r="260" spans="2:11" ht="13.15" x14ac:dyDescent="0.4">
      <c r="C260" s="18" t="s">
        <v>156</v>
      </c>
      <c r="E260" s="164">
        <v>0</v>
      </c>
      <c r="F260" s="164">
        <v>0</v>
      </c>
      <c r="G260" s="164">
        <v>8.5600000000000009E-2</v>
      </c>
      <c r="H260" s="164">
        <v>8.6400000000000005E-2</v>
      </c>
      <c r="I260" s="165">
        <v>9.0299999999999991E-2</v>
      </c>
      <c r="J260" s="165">
        <v>9.3399999999999997E-2</v>
      </c>
      <c r="K260" s="164">
        <v>9.2300000000000007E-2</v>
      </c>
    </row>
    <row r="261" spans="2:11" ht="13.5" thickBot="1" x14ac:dyDescent="0.4">
      <c r="C261" s="97" t="s">
        <v>157</v>
      </c>
      <c r="E261" s="98">
        <v>0</v>
      </c>
      <c r="F261" s="98">
        <v>0</v>
      </c>
      <c r="G261" s="98">
        <v>9.9000000000000005E-2</v>
      </c>
      <c r="H261" s="98">
        <v>0.10859999999999999</v>
      </c>
      <c r="I261" s="166">
        <v>0.1094</v>
      </c>
      <c r="J261" s="166">
        <v>0.1153</v>
      </c>
      <c r="K261" s="98">
        <v>0.1148</v>
      </c>
    </row>
    <row r="264" spans="2:11" ht="13.15" x14ac:dyDescent="0.35">
      <c r="B264" s="55" t="s">
        <v>158</v>
      </c>
      <c r="C264" s="102"/>
    </row>
    <row r="265" spans="2:11" ht="13.5" thickBot="1" x14ac:dyDescent="0.4">
      <c r="B265" s="71"/>
      <c r="C265" s="50"/>
    </row>
    <row r="266" spans="2:11" ht="13.5" x14ac:dyDescent="0.4">
      <c r="B266" s="51"/>
      <c r="C266" s="58" t="s">
        <v>159</v>
      </c>
      <c r="E266" s="103">
        <v>6425</v>
      </c>
      <c r="F266" s="103">
        <v>10565.746999999999</v>
      </c>
      <c r="G266" s="103">
        <v>12517.657999999999</v>
      </c>
      <c r="H266" s="103">
        <v>15162</v>
      </c>
      <c r="I266" s="167">
        <v>21097</v>
      </c>
      <c r="J266" s="167">
        <v>29266</v>
      </c>
      <c r="K266" s="103"/>
    </row>
    <row r="267" spans="2:11" ht="13.5" x14ac:dyDescent="0.4">
      <c r="B267" s="51"/>
      <c r="C267" s="61" t="s">
        <v>160</v>
      </c>
      <c r="E267" s="68">
        <v>2058</v>
      </c>
      <c r="F267" s="68">
        <v>3037</v>
      </c>
      <c r="G267" s="68">
        <v>6675</v>
      </c>
      <c r="H267" s="68">
        <v>14613.999999999998</v>
      </c>
      <c r="I267" s="68">
        <v>29867</v>
      </c>
      <c r="J267" s="68">
        <v>45435</v>
      </c>
      <c r="K267" s="60"/>
    </row>
    <row r="268" spans="2:11" ht="13.15" x14ac:dyDescent="0.35">
      <c r="B268" s="71"/>
      <c r="C268" s="61" t="s">
        <v>161</v>
      </c>
      <c r="E268" s="32">
        <v>-236</v>
      </c>
      <c r="F268" s="32">
        <v>-1244</v>
      </c>
      <c r="G268" s="32">
        <v>-3194</v>
      </c>
      <c r="H268" s="32">
        <v>-6664</v>
      </c>
      <c r="I268" s="128">
        <v>-10009</v>
      </c>
      <c r="J268" s="128">
        <v>-29947.000000000004</v>
      </c>
      <c r="K268" s="32"/>
    </row>
    <row r="269" spans="2:11" ht="13.15" x14ac:dyDescent="0.35">
      <c r="B269" s="71"/>
      <c r="C269" s="61" t="s">
        <v>200</v>
      </c>
      <c r="E269" s="32">
        <v>1315</v>
      </c>
      <c r="F269" s="32">
        <v>0</v>
      </c>
      <c r="G269" s="32">
        <v>-808</v>
      </c>
      <c r="H269" s="32">
        <v>-2430</v>
      </c>
      <c r="I269" s="32">
        <v>-13574</v>
      </c>
      <c r="J269" s="32">
        <v>-5850</v>
      </c>
      <c r="K269" s="32"/>
    </row>
    <row r="270" spans="2:11" ht="13.5" x14ac:dyDescent="0.4">
      <c r="B270" s="51"/>
      <c r="C270" s="61" t="s">
        <v>109</v>
      </c>
      <c r="E270" s="104">
        <v>1004.0000000000001</v>
      </c>
      <c r="F270" s="104">
        <v>157.99999999999997</v>
      </c>
      <c r="G270" s="104">
        <v>-29.000000000000014</v>
      </c>
      <c r="H270" s="104">
        <v>414.99999999999994</v>
      </c>
      <c r="I270" s="104">
        <v>1885.0000000000002</v>
      </c>
      <c r="J270" s="104">
        <v>1028</v>
      </c>
      <c r="K270" s="104"/>
    </row>
    <row r="271" spans="2:11" ht="13.5" x14ac:dyDescent="0.4">
      <c r="B271" s="51"/>
      <c r="C271" s="92" t="s">
        <v>162</v>
      </c>
      <c r="E271" s="105">
        <v>10566</v>
      </c>
      <c r="F271" s="105">
        <v>12516.746999999999</v>
      </c>
      <c r="G271" s="105">
        <v>15161.657999999999</v>
      </c>
      <c r="H271" s="105">
        <v>21097</v>
      </c>
      <c r="I271" s="105">
        <v>29266</v>
      </c>
      <c r="J271" s="105">
        <v>39932</v>
      </c>
      <c r="K271" s="105"/>
    </row>
    <row r="272" spans="2:11" ht="13.9" thickBot="1" x14ac:dyDescent="0.45">
      <c r="B272" s="51"/>
      <c r="C272" s="106" t="s">
        <v>163</v>
      </c>
      <c r="E272" s="36">
        <v>2148.5740000000001</v>
      </c>
      <c r="F272" s="36">
        <v>3130.607</v>
      </c>
      <c r="G272" s="36">
        <v>6890</v>
      </c>
      <c r="H272" s="36">
        <v>15011</v>
      </c>
      <c r="I272" s="135">
        <v>30485</v>
      </c>
      <c r="J272" s="135">
        <v>46518</v>
      </c>
      <c r="K272" s="36"/>
    </row>
    <row r="273" spans="2:11" x14ac:dyDescent="0.35">
      <c r="E273" s="12">
        <v>0.25300000000061118</v>
      </c>
      <c r="F273" s="12">
        <v>-0.91100000000005821</v>
      </c>
      <c r="G273" s="12">
        <v>-0.34200000000055297</v>
      </c>
      <c r="H273" s="12">
        <v>0</v>
      </c>
      <c r="I273" s="12">
        <v>0</v>
      </c>
    </row>
    <row r="274" spans="2:11" x14ac:dyDescent="0.35">
      <c r="K274" s="14"/>
    </row>
    <row r="275" spans="2:11" ht="13.15" x14ac:dyDescent="0.35">
      <c r="B275" s="55" t="s">
        <v>164</v>
      </c>
      <c r="C275" s="102"/>
    </row>
    <row r="276" spans="2:11" ht="13.5" thickBot="1" x14ac:dyDescent="0.4">
      <c r="B276" s="55"/>
      <c r="C276" s="50"/>
    </row>
    <row r="277" spans="2:11" ht="13.15" x14ac:dyDescent="0.35">
      <c r="B277" s="71"/>
      <c r="C277" s="61" t="s">
        <v>165</v>
      </c>
      <c r="E277" s="115">
        <v>612937</v>
      </c>
      <c r="F277" s="115">
        <v>706738</v>
      </c>
      <c r="G277" s="115">
        <v>821721</v>
      </c>
      <c r="H277" s="115">
        <v>977284</v>
      </c>
      <c r="I277" s="127">
        <v>1148011</v>
      </c>
      <c r="J277" s="127">
        <v>1389396</v>
      </c>
      <c r="K277" s="115">
        <v>1457476</v>
      </c>
    </row>
    <row r="278" spans="2:11" ht="13.15" x14ac:dyDescent="0.35">
      <c r="B278" s="71"/>
      <c r="C278" s="61" t="s">
        <v>166</v>
      </c>
      <c r="E278" s="32">
        <v>4410</v>
      </c>
      <c r="F278" s="32">
        <v>7177</v>
      </c>
      <c r="G278" s="32">
        <v>18027</v>
      </c>
      <c r="H278" s="32">
        <v>36949</v>
      </c>
      <c r="I278" s="128">
        <v>50482</v>
      </c>
      <c r="J278" s="128">
        <v>60703</v>
      </c>
      <c r="K278" s="32">
        <v>63759</v>
      </c>
    </row>
    <row r="279" spans="2:11" ht="13.15" x14ac:dyDescent="0.35">
      <c r="B279" s="71"/>
      <c r="C279" s="61" t="s">
        <v>167</v>
      </c>
      <c r="E279" s="32">
        <v>1744</v>
      </c>
      <c r="F279" s="32">
        <v>5030</v>
      </c>
      <c r="G279" s="32">
        <v>4375</v>
      </c>
      <c r="H279" s="32">
        <v>4374</v>
      </c>
      <c r="I279" s="128">
        <v>7945</v>
      </c>
      <c r="J279" s="128">
        <v>13833</v>
      </c>
      <c r="K279" s="32">
        <v>15822</v>
      </c>
    </row>
    <row r="280" spans="2:11" ht="13.15" x14ac:dyDescent="0.35">
      <c r="B280" s="71"/>
      <c r="C280" s="61" t="s">
        <v>168</v>
      </c>
      <c r="E280" s="32">
        <v>893</v>
      </c>
      <c r="F280" s="32">
        <v>962</v>
      </c>
      <c r="G280" s="32">
        <v>1575</v>
      </c>
      <c r="H280" s="32">
        <v>2146</v>
      </c>
      <c r="I280" s="128">
        <v>2141</v>
      </c>
      <c r="J280" s="128">
        <v>4494</v>
      </c>
      <c r="K280" s="32">
        <v>4950</v>
      </c>
    </row>
    <row r="281" spans="2:11" ht="13.15" x14ac:dyDescent="0.35">
      <c r="B281" s="71"/>
      <c r="C281" s="61" t="s">
        <v>169</v>
      </c>
      <c r="E281" s="65">
        <v>658</v>
      </c>
      <c r="F281" s="65">
        <v>874</v>
      </c>
      <c r="G281" s="65">
        <v>1591</v>
      </c>
      <c r="H281" s="65">
        <v>3981</v>
      </c>
      <c r="I281" s="134">
        <v>7559</v>
      </c>
      <c r="J281" s="134">
        <v>7375</v>
      </c>
      <c r="K281" s="65">
        <v>6155</v>
      </c>
    </row>
    <row r="282" spans="2:11" ht="13.5" x14ac:dyDescent="0.4">
      <c r="B282" s="51"/>
      <c r="C282" s="92" t="s">
        <v>170</v>
      </c>
      <c r="E282" s="132">
        <v>3295</v>
      </c>
      <c r="F282" s="132">
        <v>6866</v>
      </c>
      <c r="G282" s="132">
        <v>7541</v>
      </c>
      <c r="H282" s="132">
        <v>10501</v>
      </c>
      <c r="I282" s="133">
        <v>17645</v>
      </c>
      <c r="J282" s="133">
        <v>25702</v>
      </c>
      <c r="K282" s="132">
        <v>26927</v>
      </c>
    </row>
    <row r="283" spans="2:11" ht="13.5" x14ac:dyDescent="0.4">
      <c r="B283" s="51"/>
      <c r="C283" s="55" t="s">
        <v>102</v>
      </c>
      <c r="E283" s="107">
        <v>620641.08299999998</v>
      </c>
      <c r="F283" s="107">
        <v>720780.04800000007</v>
      </c>
      <c r="G283" s="107">
        <v>847289</v>
      </c>
      <c r="H283" s="107">
        <v>1024734</v>
      </c>
      <c r="I283" s="107">
        <v>1216138</v>
      </c>
      <c r="J283" s="107">
        <v>1475801</v>
      </c>
      <c r="K283" s="107">
        <v>1548162</v>
      </c>
    </row>
    <row r="284" spans="2:11" ht="13.9" thickBot="1" x14ac:dyDescent="0.45">
      <c r="B284" s="51"/>
      <c r="C284" s="69" t="s">
        <v>171</v>
      </c>
      <c r="E284" s="168">
        <v>5.3E-3</v>
      </c>
      <c r="F284" s="168">
        <v>9.4999999999999998E-3</v>
      </c>
      <c r="G284" s="168">
        <v>8.8999999999999999E-3</v>
      </c>
      <c r="H284" s="168">
        <v>1.0200000000000001E-2</v>
      </c>
      <c r="I284" s="168">
        <v>1.4499999999999999E-2</v>
      </c>
      <c r="J284" s="168">
        <v>1.7399999999999999E-2</v>
      </c>
      <c r="K284" s="168">
        <v>1.7399999999999999E-2</v>
      </c>
    </row>
    <row r="285" spans="2:11" s="28" customFormat="1" ht="13.15" x14ac:dyDescent="0.35">
      <c r="B285" s="108"/>
      <c r="C285" s="27" t="s">
        <v>62</v>
      </c>
      <c r="E285" s="29">
        <v>-0.91700000001583248</v>
      </c>
      <c r="F285" s="29">
        <v>-0.95199999993201345</v>
      </c>
      <c r="G285" s="29">
        <v>0</v>
      </c>
      <c r="H285" s="29">
        <v>0</v>
      </c>
      <c r="I285" s="29">
        <v>0</v>
      </c>
      <c r="J285" s="29">
        <v>0</v>
      </c>
      <c r="K285" s="29">
        <v>0</v>
      </c>
    </row>
    <row r="286" spans="2:11" x14ac:dyDescent="0.35">
      <c r="B286" s="71"/>
      <c r="C286" s="109"/>
      <c r="E286" s="12">
        <v>-5.6022600999999668</v>
      </c>
      <c r="F286" s="12">
        <v>-18.589543999999478</v>
      </c>
      <c r="G286" s="12">
        <v>-0.12790000000040891</v>
      </c>
      <c r="H286" s="12">
        <v>-48.713200000000143</v>
      </c>
      <c r="I286" s="17">
        <v>-10.998999999999796</v>
      </c>
      <c r="J286" s="17">
        <v>-23.062600000001112</v>
      </c>
      <c r="K286" s="12">
        <v>11.018799999998009</v>
      </c>
    </row>
    <row r="287" spans="2:11" ht="13.15" x14ac:dyDescent="0.35">
      <c r="B287" s="55" t="s">
        <v>172</v>
      </c>
      <c r="C287" s="109"/>
    </row>
    <row r="288" spans="2:11" ht="13.5" thickBot="1" x14ac:dyDescent="0.4">
      <c r="B288" s="110"/>
      <c r="C288" s="50"/>
    </row>
    <row r="289" spans="2:11" ht="13.15" x14ac:dyDescent="0.35">
      <c r="B289" s="64"/>
      <c r="C289" s="111" t="s">
        <v>173</v>
      </c>
      <c r="E289" s="115">
        <v>5724.3990000000003</v>
      </c>
      <c r="F289" s="115">
        <v>7672.2309999999998</v>
      </c>
      <c r="G289" s="115">
        <v>9798</v>
      </c>
      <c r="H289" s="115">
        <v>16697</v>
      </c>
      <c r="I289" s="127">
        <v>23402</v>
      </c>
      <c r="J289" s="127">
        <v>20093</v>
      </c>
      <c r="K289" s="115">
        <v>0</v>
      </c>
    </row>
    <row r="290" spans="2:11" x14ac:dyDescent="0.35">
      <c r="B290" s="71"/>
      <c r="C290" s="111" t="s">
        <v>174</v>
      </c>
      <c r="E290" s="32">
        <v>1154.846</v>
      </c>
      <c r="F290" s="32">
        <v>7345.2219999999998</v>
      </c>
      <c r="G290" s="32">
        <v>11208</v>
      </c>
      <c r="H290" s="32">
        <v>18605</v>
      </c>
      <c r="I290" s="128">
        <v>21322</v>
      </c>
      <c r="J290" s="128">
        <v>25617</v>
      </c>
      <c r="K290" s="32">
        <v>0</v>
      </c>
    </row>
    <row r="291" spans="2:11" x14ac:dyDescent="0.35">
      <c r="B291" s="71"/>
      <c r="C291" s="111" t="s">
        <v>175</v>
      </c>
      <c r="E291" s="32">
        <v>835</v>
      </c>
      <c r="F291" s="32">
        <v>2048</v>
      </c>
      <c r="G291" s="32">
        <v>5443</v>
      </c>
      <c r="H291" s="32">
        <v>10556</v>
      </c>
      <c r="I291" s="128">
        <v>11685</v>
      </c>
      <c r="J291" s="128">
        <v>11972</v>
      </c>
      <c r="K291" s="32">
        <v>0</v>
      </c>
    </row>
    <row r="292" spans="2:11" x14ac:dyDescent="0.35">
      <c r="B292" s="71"/>
      <c r="C292" s="111" t="s">
        <v>176</v>
      </c>
      <c r="E292" s="65">
        <v>757.16200000000003</v>
      </c>
      <c r="F292" s="65">
        <v>328.67899999999997</v>
      </c>
      <c r="G292" s="65">
        <v>61</v>
      </c>
      <c r="H292" s="65">
        <v>137</v>
      </c>
      <c r="I292" s="134">
        <v>1018</v>
      </c>
      <c r="J292" s="134">
        <v>2943</v>
      </c>
      <c r="K292" s="65">
        <v>0</v>
      </c>
    </row>
    <row r="293" spans="2:11" ht="13.5" thickBot="1" x14ac:dyDescent="0.45">
      <c r="B293" s="51"/>
      <c r="C293" s="112" t="s">
        <v>177</v>
      </c>
      <c r="E293" s="113">
        <v>8471.4070000000011</v>
      </c>
      <c r="F293" s="113">
        <v>17394.132000000001</v>
      </c>
      <c r="G293" s="113">
        <v>26510</v>
      </c>
      <c r="H293" s="113">
        <v>45995</v>
      </c>
      <c r="I293" s="113">
        <v>57427</v>
      </c>
      <c r="J293" s="113">
        <v>60625</v>
      </c>
      <c r="K293" s="113">
        <v>0</v>
      </c>
    </row>
    <row r="294" spans="2:11" x14ac:dyDescent="0.35">
      <c r="B294" s="71"/>
      <c r="C294" s="109"/>
      <c r="E294" s="12">
        <v>-0.28700000000026193</v>
      </c>
      <c r="F294" s="12">
        <v>-0.44599999999991269</v>
      </c>
      <c r="G294" s="12">
        <v>0</v>
      </c>
      <c r="H294" s="12">
        <v>0</v>
      </c>
      <c r="I294" s="12">
        <v>0</v>
      </c>
      <c r="J294" s="12">
        <v>0</v>
      </c>
    </row>
    <row r="295" spans="2:11" ht="13.5" thickBot="1" x14ac:dyDescent="0.4">
      <c r="B295" s="55" t="s">
        <v>178</v>
      </c>
    </row>
    <row r="296" spans="2:11" ht="13.15" x14ac:dyDescent="0.35">
      <c r="B296" s="64"/>
      <c r="C296" s="114" t="s">
        <v>179</v>
      </c>
      <c r="E296" s="115"/>
      <c r="F296" s="115">
        <v>1383.3046123199999</v>
      </c>
      <c r="G296" s="115">
        <v>1523.3193049599997</v>
      </c>
      <c r="H296" s="115">
        <v>1987.931692938</v>
      </c>
      <c r="I296" s="127">
        <v>2189.2274492669999</v>
      </c>
      <c r="J296" s="127">
        <v>2712.9249958280002</v>
      </c>
      <c r="K296" s="115"/>
    </row>
    <row r="297" spans="2:11" ht="13.5" thickBot="1" x14ac:dyDescent="0.4">
      <c r="C297" s="118" t="s">
        <v>180</v>
      </c>
      <c r="E297" s="116"/>
      <c r="F297" s="116">
        <v>0.16999999999999998</v>
      </c>
      <c r="G297" s="116">
        <v>0.16</v>
      </c>
      <c r="H297" s="116">
        <v>0.17399999999999999</v>
      </c>
      <c r="I297" s="116">
        <v>0.153</v>
      </c>
      <c r="J297" s="116">
        <v>0.158</v>
      </c>
      <c r="K297" s="116"/>
    </row>
    <row r="300" spans="2:11" ht="13.5" thickBot="1" x14ac:dyDescent="0.4">
      <c r="B300" s="55" t="s">
        <v>201</v>
      </c>
    </row>
    <row r="301" spans="2:11" ht="13.15" x14ac:dyDescent="0.35">
      <c r="B301" s="64"/>
      <c r="C301" s="114" t="s">
        <v>202</v>
      </c>
      <c r="E301" s="117">
        <v>0.72944199999999992</v>
      </c>
      <c r="F301" s="117">
        <v>0.69609999999999994</v>
      </c>
      <c r="G301" s="117">
        <v>0.68640000000000001</v>
      </c>
      <c r="H301" s="117">
        <v>0.65390000000000004</v>
      </c>
      <c r="I301" s="117">
        <v>0.69010000000000005</v>
      </c>
      <c r="J301" s="117">
        <v>0.75209999999999999</v>
      </c>
      <c r="K301" s="117">
        <v>0.80967299999999998</v>
      </c>
    </row>
    <row r="305" spans="2:12" s="435" customFormat="1" ht="13.15" thickBot="1" x14ac:dyDescent="0.4"/>
    <row r="306" spans="2:12" s="183" customFormat="1" ht="13.9" thickTop="1" x14ac:dyDescent="0.4">
      <c r="B306" s="183" t="s">
        <v>416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35">
      <c r="C308" s="437" t="s">
        <v>515</v>
      </c>
      <c r="E308" s="439">
        <v>40908</v>
      </c>
      <c r="F308" s="439">
        <v>41274</v>
      </c>
      <c r="G308" s="439">
        <v>41639</v>
      </c>
      <c r="H308" s="439">
        <v>42004</v>
      </c>
      <c r="I308" s="439">
        <v>42369</v>
      </c>
      <c r="J308" s="439">
        <v>42551</v>
      </c>
      <c r="K308" s="439">
        <v>42735</v>
      </c>
      <c r="L308" s="439">
        <v>42916</v>
      </c>
    </row>
    <row r="309" spans="2:12" x14ac:dyDescent="0.35">
      <c r="C309" s="438" t="s">
        <v>505</v>
      </c>
      <c r="E309" s="440"/>
      <c r="F309" s="437">
        <v>105.67</v>
      </c>
      <c r="G309" s="437">
        <v>125.18</v>
      </c>
      <c r="H309" s="437">
        <v>151.62</v>
      </c>
      <c r="I309" s="437">
        <v>210.97</v>
      </c>
      <c r="J309" s="437">
        <v>292.66000000000003</v>
      </c>
      <c r="K309" s="437">
        <v>292.66000000000003</v>
      </c>
      <c r="L309" s="558">
        <v>399.32</v>
      </c>
    </row>
    <row r="310" spans="2:12" x14ac:dyDescent="0.35">
      <c r="C310" s="438" t="s">
        <v>506</v>
      </c>
      <c r="E310" s="438"/>
      <c r="F310" s="437">
        <v>30.37</v>
      </c>
      <c r="G310" s="437">
        <v>66.75</v>
      </c>
      <c r="H310" s="437">
        <v>146.13999999999999</v>
      </c>
      <c r="I310" s="437">
        <v>298.67</v>
      </c>
      <c r="J310" s="437">
        <v>197.14</v>
      </c>
      <c r="K310" s="437">
        <v>454.35</v>
      </c>
      <c r="L310" s="558">
        <v>228.56</v>
      </c>
    </row>
    <row r="311" spans="2:12" x14ac:dyDescent="0.35">
      <c r="C311" s="438" t="s">
        <v>507</v>
      </c>
      <c r="E311" s="438"/>
      <c r="F311" s="437">
        <v>-12.44</v>
      </c>
      <c r="G311" s="437">
        <v>-31.94</v>
      </c>
      <c r="H311" s="437">
        <v>-66.64</v>
      </c>
      <c r="I311" s="437">
        <v>-100.09</v>
      </c>
      <c r="J311" s="437">
        <v>-109.08</v>
      </c>
      <c r="K311" s="437">
        <v>-299.47000000000003</v>
      </c>
      <c r="L311" s="558">
        <v>-188.9</v>
      </c>
    </row>
    <row r="312" spans="2:12" x14ac:dyDescent="0.35">
      <c r="C312" s="438" t="s">
        <v>508</v>
      </c>
      <c r="E312" s="438"/>
      <c r="F312" s="437">
        <v>4.22</v>
      </c>
      <c r="G312" s="437">
        <v>3.91</v>
      </c>
      <c r="H312" s="437">
        <v>7.39</v>
      </c>
      <c r="I312" s="437">
        <v>23.84</v>
      </c>
      <c r="J312" s="437">
        <v>6.94</v>
      </c>
      <c r="K312" s="437">
        <v>15.08</v>
      </c>
      <c r="L312" s="558">
        <v>17.68</v>
      </c>
    </row>
    <row r="313" spans="2:12" x14ac:dyDescent="0.35">
      <c r="C313" s="438" t="s">
        <v>509</v>
      </c>
      <c r="E313" s="438"/>
      <c r="F313" s="437"/>
      <c r="G313" s="437">
        <v>-8.08</v>
      </c>
      <c r="H313" s="437">
        <v>-24.3</v>
      </c>
      <c r="I313" s="437">
        <v>-135.74</v>
      </c>
      <c r="J313" s="437">
        <v>-44.33</v>
      </c>
      <c r="K313" s="437">
        <v>-58.5</v>
      </c>
      <c r="L313" s="558">
        <v>-0.27</v>
      </c>
    </row>
    <row r="314" spans="2:12" x14ac:dyDescent="0.35">
      <c r="C314" s="438" t="s">
        <v>510</v>
      </c>
      <c r="E314" s="559"/>
      <c r="F314" s="437">
        <v>-2.19</v>
      </c>
      <c r="G314" s="437">
        <v>-4.03</v>
      </c>
      <c r="H314" s="437">
        <v>-3.13</v>
      </c>
      <c r="I314" s="437">
        <v>-4.0599999999999996</v>
      </c>
      <c r="J314" s="437">
        <v>-2.44</v>
      </c>
      <c r="K314" s="437">
        <v>-5.44</v>
      </c>
      <c r="L314" s="558">
        <v>-3.36</v>
      </c>
    </row>
    <row r="315" spans="2:12" x14ac:dyDescent="0.35">
      <c r="C315" s="438" t="s">
        <v>511</v>
      </c>
      <c r="E315" s="438"/>
      <c r="F315" s="437">
        <v>-0.45</v>
      </c>
      <c r="G315" s="437">
        <v>-0.17</v>
      </c>
      <c r="H315" s="437">
        <v>-0.11</v>
      </c>
      <c r="I315" s="437">
        <v>-0.93</v>
      </c>
      <c r="J315" s="437">
        <v>-0.03</v>
      </c>
      <c r="K315" s="437">
        <v>0.64</v>
      </c>
      <c r="L315" s="558">
        <v>-0.74</v>
      </c>
    </row>
    <row r="316" spans="2:12" x14ac:dyDescent="0.35">
      <c r="C316" s="438" t="s">
        <v>512</v>
      </c>
      <c r="E316" s="559"/>
      <c r="F316" s="437">
        <v>125.18</v>
      </c>
      <c r="G316" s="437">
        <v>151.62</v>
      </c>
      <c r="H316" s="437">
        <v>210.97</v>
      </c>
      <c r="I316" s="437">
        <v>292.66000000000003</v>
      </c>
      <c r="J316" s="437">
        <v>340.86</v>
      </c>
      <c r="K316" s="437">
        <v>399.32</v>
      </c>
      <c r="L316" s="558">
        <v>452.29</v>
      </c>
    </row>
    <row r="317" spans="2:12" x14ac:dyDescent="0.35">
      <c r="C317" s="437" t="s">
        <v>513</v>
      </c>
      <c r="E317" s="441">
        <f>[1]!s_stmnote_bank_26($A307,E$2,1,100000000)</f>
        <v>0</v>
      </c>
      <c r="F317" s="441">
        <f>[1]!s_stmnote_bank_26($A307,F$2,1,100000000)</f>
        <v>0</v>
      </c>
      <c r="G317" s="441">
        <f>[1]!s_stmnote_bank_26($A307,G$2,1,100000000)</f>
        <v>0</v>
      </c>
      <c r="H317" s="441">
        <f>[1]!s_stmnote_bank_26($A307,H$2,1,100000000)</f>
        <v>0</v>
      </c>
      <c r="I317" s="441">
        <f>[1]!s_stmnote_bank_26($A307,I$2,1,100000000)</f>
        <v>0</v>
      </c>
      <c r="J317" s="441">
        <f>[1]!s_stmnote_bank_26($A307,J$2,1,100000000)</f>
        <v>0</v>
      </c>
      <c r="K317" s="441">
        <f>[1]!s_stmnote_bank_26($A307,K$2,1,100000000)</f>
        <v>0</v>
      </c>
      <c r="L317" s="560">
        <v>280.37</v>
      </c>
    </row>
    <row r="318" spans="2:12" x14ac:dyDescent="0.35">
      <c r="C318" s="437" t="s">
        <v>514</v>
      </c>
      <c r="E318" s="441">
        <f>[1]!s_stmnote_bank_1n($A307,E$2,1,100000000)</f>
        <v>0</v>
      </c>
      <c r="F318" s="441">
        <f>[1]!s_stmnote_bank_1n($A307,F$2,1,100000000)</f>
        <v>0</v>
      </c>
      <c r="G318" s="441">
        <f>[1]!s_stmnote_bank_1n($A307,G$2,1,100000000)</f>
        <v>0</v>
      </c>
      <c r="H318" s="441">
        <f>[1]!s_stmnote_bank_1n($A307,H$2,1,100000000)</f>
        <v>0</v>
      </c>
      <c r="I318" s="441">
        <f>[1]!s_stmnote_bank_1n($A307,I$2,1,100000000)</f>
        <v>0</v>
      </c>
      <c r="J318" s="441">
        <f>[1]!s_stmnote_bank_1n($A307,J$2,1,100000000)</f>
        <v>0</v>
      </c>
      <c r="K318" s="441">
        <f>[1]!s_stmnote_bank_1n($A307,K$2,1,100000000)</f>
        <v>0</v>
      </c>
      <c r="L318" s="561">
        <v>15490.52</v>
      </c>
    </row>
    <row r="321" spans="2:12" x14ac:dyDescent="0.35">
      <c r="E321" s="442" t="s">
        <v>452</v>
      </c>
      <c r="F321" s="443">
        <v>2012</v>
      </c>
      <c r="G321" s="443">
        <v>2013</v>
      </c>
      <c r="H321" s="443">
        <v>2014</v>
      </c>
      <c r="I321" s="443">
        <v>2015</v>
      </c>
      <c r="J321" s="444" t="s">
        <v>214</v>
      </c>
      <c r="K321" s="562">
        <v>2016</v>
      </c>
      <c r="L321" s="563" t="s">
        <v>215</v>
      </c>
    </row>
    <row r="322" spans="2:12" x14ac:dyDescent="0.35">
      <c r="E322" s="447" t="s">
        <v>453</v>
      </c>
      <c r="F322" s="448">
        <v>30.37</v>
      </c>
      <c r="G322" s="448">
        <v>66.75</v>
      </c>
      <c r="H322" s="448">
        <v>146.13999999999999</v>
      </c>
      <c r="I322" s="448">
        <v>298.67</v>
      </c>
      <c r="J322" s="448">
        <v>197.14</v>
      </c>
      <c r="K322" s="447">
        <v>454.35</v>
      </c>
      <c r="L322" s="564">
        <v>228.56</v>
      </c>
    </row>
    <row r="323" spans="2:12" x14ac:dyDescent="0.35">
      <c r="E323" s="450" t="s">
        <v>454</v>
      </c>
      <c r="F323" s="436">
        <v>-12.44</v>
      </c>
      <c r="G323" s="436">
        <v>-40.020000000000003</v>
      </c>
      <c r="H323" s="436">
        <v>-90.94</v>
      </c>
      <c r="I323" s="436">
        <v>-235.83</v>
      </c>
      <c r="J323" s="436">
        <v>-153.41</v>
      </c>
      <c r="K323" s="450">
        <v>-357.97</v>
      </c>
      <c r="L323" s="565">
        <v>-189.17000000000002</v>
      </c>
    </row>
    <row r="324" spans="2:12" x14ac:dyDescent="0.35">
      <c r="E324" s="452" t="s">
        <v>451</v>
      </c>
      <c r="F324" s="453">
        <v>4.22</v>
      </c>
      <c r="G324" s="453">
        <v>3.91</v>
      </c>
      <c r="H324" s="453">
        <v>7.39</v>
      </c>
      <c r="I324" s="453">
        <v>23.84</v>
      </c>
      <c r="J324" s="453">
        <v>6.94</v>
      </c>
      <c r="K324" s="566">
        <v>15.08</v>
      </c>
      <c r="L324" s="566">
        <v>17.68</v>
      </c>
    </row>
    <row r="325" spans="2:12" x14ac:dyDescent="0.35">
      <c r="E325" s="436"/>
      <c r="F325" s="436"/>
      <c r="G325" s="436"/>
      <c r="H325" s="436"/>
      <c r="I325" s="436"/>
      <c r="J325" s="436"/>
      <c r="K325" s="436"/>
      <c r="L325" s="436"/>
    </row>
    <row r="326" spans="2:12" x14ac:dyDescent="0.35">
      <c r="E326" s="436"/>
      <c r="F326" s="455">
        <v>2012</v>
      </c>
      <c r="G326" s="456">
        <v>2013</v>
      </c>
      <c r="H326" s="456">
        <v>2014</v>
      </c>
      <c r="I326" s="456">
        <v>2015</v>
      </c>
      <c r="J326" s="457" t="s">
        <v>214</v>
      </c>
      <c r="K326" s="562">
        <v>2016</v>
      </c>
      <c r="L326" s="563" t="s">
        <v>215</v>
      </c>
    </row>
    <row r="327" spans="2:12" x14ac:dyDescent="0.35">
      <c r="E327" s="458" t="s">
        <v>455</v>
      </c>
      <c r="F327" s="459">
        <v>48.149999999999991</v>
      </c>
      <c r="G327" s="460">
        <v>46.77</v>
      </c>
      <c r="H327" s="460">
        <v>120.54</v>
      </c>
      <c r="I327" s="460">
        <v>307.27</v>
      </c>
      <c r="J327" s="460">
        <v>188.91</v>
      </c>
      <c r="K327" s="567">
        <v>438.54</v>
      </c>
      <c r="L327" s="461">
        <v>212.52000000000004</v>
      </c>
    </row>
    <row r="328" spans="2:12" x14ac:dyDescent="0.35">
      <c r="E328" s="458" t="s">
        <v>456</v>
      </c>
      <c r="F328" s="462">
        <v>7.7580979368652488E-3</v>
      </c>
      <c r="G328" s="463">
        <v>6.4888033637690266E-3</v>
      </c>
      <c r="H328" s="463">
        <v>1.4226550799078003E-2</v>
      </c>
      <c r="I328" s="463">
        <v>2.9985342537673189E-2</v>
      </c>
      <c r="J328" s="463">
        <v>1.5533598983010153E-2</v>
      </c>
      <c r="K328" s="462">
        <v>3.6060052395369607E-2</v>
      </c>
      <c r="L328" s="568">
        <v>1.4400315489690008E-2</v>
      </c>
    </row>
    <row r="333" spans="2:12" s="435" customFormat="1" ht="13.15" thickBot="1" x14ac:dyDescent="0.4"/>
    <row r="334" spans="2:12" s="183" customFormat="1" ht="13.9" thickTop="1" x14ac:dyDescent="0.4">
      <c r="B334" s="15" t="s">
        <v>447</v>
      </c>
    </row>
    <row r="336" spans="2:12" ht="13.15" x14ac:dyDescent="0.35">
      <c r="C336" s="162" t="s">
        <v>516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37</vt:i4>
      </vt:variant>
    </vt:vector>
  </HeadingPairs>
  <TitlesOfParts>
    <vt:vector size="44" baseType="lpstr">
      <vt:lpstr>首页</vt:lpstr>
      <vt:lpstr>目录页</vt:lpstr>
      <vt:lpstr>辅助页</vt:lpstr>
      <vt:lpstr>工商银行</vt:lpstr>
      <vt:lpstr>光大银行</vt:lpstr>
      <vt:lpstr>交通银行</vt:lpstr>
      <vt:lpstr>平安银行</vt:lpstr>
      <vt:lpstr>不良贷款生成表</vt:lpstr>
      <vt:lpstr>财务报表</vt:lpstr>
      <vt:lpstr>财务速览</vt:lpstr>
      <vt:lpstr>成本收入明细</vt:lpstr>
      <vt:lpstr>成本收益率明细</vt:lpstr>
      <vt:lpstr>存款明细</vt:lpstr>
      <vt:lpstr>存款占比</vt:lpstr>
      <vt:lpstr>贷款结构及质量分析</vt:lpstr>
      <vt:lpstr>贷款结构占比</vt:lpstr>
      <vt:lpstr>贷款明细</vt:lpstr>
      <vt:lpstr>贷款五级分类</vt:lpstr>
      <vt:lpstr>分行业不良率</vt:lpstr>
      <vt:lpstr>分红及其他</vt:lpstr>
      <vt:lpstr>负债端关键科目</vt:lpstr>
      <vt:lpstr>负债端关键科目占比</vt:lpstr>
      <vt:lpstr>个人贷款占比</vt:lpstr>
      <vt:lpstr>减值准备变动表</vt:lpstr>
      <vt:lpstr>利润表</vt:lpstr>
      <vt:lpstr>利润表关键科目</vt:lpstr>
      <vt:lpstr>利润表环比增速</vt:lpstr>
      <vt:lpstr>利润表结构</vt:lpstr>
      <vt:lpstr>利润表同比增速</vt:lpstr>
      <vt:lpstr>利润分析</vt:lpstr>
      <vt:lpstr>利润驱动因素分解</vt:lpstr>
      <vt:lpstr>收入拆分</vt:lpstr>
      <vt:lpstr>收入结构</vt:lpstr>
      <vt:lpstr>银行经营数据</vt:lpstr>
      <vt:lpstr>逾期贷款明细</vt:lpstr>
      <vt:lpstr>专题分析</vt:lpstr>
      <vt:lpstr>资本明细</vt:lpstr>
      <vt:lpstr>资产端关键科目</vt:lpstr>
      <vt:lpstr>资产端占比</vt:lpstr>
      <vt:lpstr>资产负债表</vt:lpstr>
      <vt:lpstr>资产负债分析</vt:lpstr>
      <vt:lpstr>资产负债平均余额</vt:lpstr>
      <vt:lpstr>资产质量</vt:lpstr>
      <vt:lpstr>资产质量指标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2017-09-25T05:29:33Z</dcterms:modified>
</cp:coreProperties>
</file>