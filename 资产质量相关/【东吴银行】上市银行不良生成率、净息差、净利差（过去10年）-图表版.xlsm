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jsy19920302\Desktop\东吴银行工作组\trunk\资产质量相关\"/>
    </mc:Choice>
  </mc:AlternateContent>
  <bookViews>
    <workbookView xWindow="0" yWindow="0" windowWidth="22500" windowHeight="10455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1" i="2" l="1"/>
  <c r="D161" i="2"/>
  <c r="E161" i="2"/>
  <c r="F161" i="2"/>
  <c r="G161" i="2"/>
  <c r="H161" i="2"/>
  <c r="I161" i="2"/>
  <c r="J161" i="2"/>
  <c r="K161" i="2"/>
  <c r="L161" i="2"/>
  <c r="C162" i="2"/>
  <c r="D162" i="2"/>
  <c r="E162" i="2"/>
  <c r="F162" i="2"/>
  <c r="G162" i="2"/>
  <c r="H162" i="2"/>
  <c r="I162" i="2"/>
  <c r="J162" i="2"/>
  <c r="K162" i="2"/>
  <c r="L162" i="2"/>
  <c r="C163" i="2"/>
  <c r="D163" i="2"/>
  <c r="E163" i="2"/>
  <c r="F163" i="2"/>
  <c r="G163" i="2"/>
  <c r="H163" i="2"/>
  <c r="I163" i="2"/>
  <c r="J163" i="2"/>
  <c r="K163" i="2"/>
  <c r="L163" i="2"/>
  <c r="C164" i="2"/>
  <c r="D164" i="2"/>
  <c r="E164" i="2"/>
  <c r="F164" i="2"/>
  <c r="G164" i="2"/>
  <c r="H164" i="2"/>
  <c r="I164" i="2"/>
  <c r="J164" i="2"/>
  <c r="K164" i="2"/>
  <c r="L164" i="2"/>
  <c r="C165" i="2"/>
  <c r="D165" i="2"/>
  <c r="E165" i="2"/>
  <c r="F165" i="2"/>
  <c r="G165" i="2"/>
  <c r="H165" i="2"/>
  <c r="I165" i="2"/>
  <c r="J165" i="2"/>
  <c r="K165" i="2"/>
  <c r="L165" i="2"/>
  <c r="C166" i="2"/>
  <c r="D166" i="2"/>
  <c r="E166" i="2"/>
  <c r="F166" i="2"/>
  <c r="G166" i="2"/>
  <c r="H166" i="2"/>
  <c r="I166" i="2"/>
  <c r="J166" i="2"/>
  <c r="K166" i="2"/>
  <c r="L166" i="2"/>
  <c r="C167" i="2"/>
  <c r="D167" i="2"/>
  <c r="E167" i="2"/>
  <c r="F167" i="2"/>
  <c r="G167" i="2"/>
  <c r="H167" i="2"/>
  <c r="I167" i="2"/>
  <c r="J167" i="2"/>
  <c r="K167" i="2"/>
  <c r="L167" i="2"/>
  <c r="C168" i="2"/>
  <c r="D168" i="2"/>
  <c r="E168" i="2"/>
  <c r="F168" i="2"/>
  <c r="G168" i="2"/>
  <c r="H168" i="2"/>
  <c r="I168" i="2"/>
  <c r="J168" i="2"/>
  <c r="K168" i="2"/>
  <c r="L168" i="2"/>
  <c r="C169" i="2"/>
  <c r="D169" i="2"/>
  <c r="E169" i="2"/>
  <c r="F169" i="2"/>
  <c r="G169" i="2"/>
  <c r="H169" i="2"/>
  <c r="I169" i="2"/>
  <c r="J169" i="2"/>
  <c r="K169" i="2"/>
  <c r="L169" i="2"/>
  <c r="C170" i="2"/>
  <c r="D170" i="2"/>
  <c r="E170" i="2"/>
  <c r="F170" i="2"/>
  <c r="G170" i="2"/>
  <c r="H170" i="2"/>
  <c r="I170" i="2"/>
  <c r="J170" i="2"/>
  <c r="K170" i="2"/>
  <c r="L170" i="2"/>
  <c r="C171" i="2"/>
  <c r="D171" i="2"/>
  <c r="E171" i="2"/>
  <c r="F171" i="2"/>
  <c r="G171" i="2"/>
  <c r="H171" i="2"/>
  <c r="I171" i="2"/>
  <c r="J171" i="2"/>
  <c r="K171" i="2"/>
  <c r="L171" i="2"/>
  <c r="C172" i="2"/>
  <c r="D172" i="2"/>
  <c r="E172" i="2"/>
  <c r="F172" i="2"/>
  <c r="G172" i="2"/>
  <c r="H172" i="2"/>
  <c r="I172" i="2"/>
  <c r="J172" i="2"/>
  <c r="K172" i="2"/>
  <c r="L172" i="2"/>
  <c r="C173" i="2"/>
  <c r="D173" i="2"/>
  <c r="E173" i="2"/>
  <c r="F173" i="2"/>
  <c r="G173" i="2"/>
  <c r="H173" i="2"/>
  <c r="I173" i="2"/>
  <c r="J173" i="2"/>
  <c r="K173" i="2"/>
  <c r="L173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L160" i="2"/>
  <c r="F160" i="2"/>
  <c r="G160" i="2"/>
  <c r="H160" i="2"/>
  <c r="I160" i="2"/>
  <c r="J160" i="2"/>
  <c r="K160" i="2"/>
  <c r="E160" i="2"/>
  <c r="L159" i="2"/>
  <c r="K159" i="2"/>
  <c r="C159" i="2"/>
  <c r="D159" i="2"/>
  <c r="E159" i="2"/>
  <c r="F159" i="2"/>
  <c r="G159" i="2"/>
  <c r="H159" i="2"/>
  <c r="I159" i="2"/>
  <c r="J159" i="2"/>
  <c r="B159" i="2"/>
  <c r="K158" i="2"/>
  <c r="L158" i="2"/>
  <c r="C158" i="2"/>
  <c r="D158" i="2"/>
  <c r="E158" i="2"/>
  <c r="F158" i="2"/>
  <c r="G158" i="2"/>
  <c r="H158" i="2"/>
  <c r="I158" i="2"/>
  <c r="J158" i="2"/>
  <c r="B158" i="2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33" i="3" s="1"/>
  <c r="J22" i="3"/>
  <c r="J33" i="3" s="1"/>
  <c r="H22" i="3"/>
  <c r="I22" i="3"/>
  <c r="G22" i="3"/>
  <c r="B22" i="3"/>
  <c r="H8" i="6"/>
  <c r="E8" i="6"/>
  <c r="N7" i="7"/>
  <c r="K23" i="5"/>
  <c r="K22" i="5"/>
  <c r="K34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1" i="10"/>
  <c r="L24" i="11"/>
  <c r="L149" i="2" s="1"/>
  <c r="L25" i="11"/>
  <c r="K25" i="11"/>
  <c r="H23" i="12"/>
  <c r="H22" i="12"/>
  <c r="I22" i="12"/>
  <c r="J22" i="12"/>
  <c r="K5" i="13"/>
  <c r="L5" i="13"/>
  <c r="C5" i="13"/>
  <c r="H21" i="13"/>
  <c r="J22" i="14"/>
  <c r="J152" i="2" s="1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K22" i="17"/>
  <c r="J22" i="17"/>
  <c r="C22" i="17"/>
  <c r="D22" i="17"/>
  <c r="E22" i="17"/>
  <c r="F22" i="17"/>
  <c r="G22" i="17"/>
  <c r="H22" i="17"/>
  <c r="I22" i="17"/>
  <c r="B22" i="17"/>
  <c r="B155" i="2" s="1"/>
  <c r="L22" i="16"/>
  <c r="L21" i="16"/>
  <c r="K21" i="17"/>
  <c r="K21" i="2" s="1"/>
  <c r="J22" i="16"/>
  <c r="B206" i="2"/>
  <c r="E206" i="2"/>
  <c r="B204" i="2"/>
  <c r="L206" i="2"/>
  <c r="L204" i="2"/>
  <c r="B208" i="2"/>
  <c r="H206" i="2"/>
  <c r="D204" i="2"/>
  <c r="F208" i="2"/>
  <c r="B197" i="2"/>
  <c r="G197" i="2"/>
  <c r="K204" i="2"/>
  <c r="A1" i="7"/>
  <c r="B121" i="2"/>
  <c r="L121" i="2"/>
  <c r="A1" i="8"/>
  <c r="B112" i="2"/>
  <c r="I121" i="2"/>
  <c r="A1" i="4"/>
  <c r="A1" i="14"/>
  <c r="F112" i="2"/>
  <c r="H121" i="2"/>
  <c r="J121" i="2"/>
  <c r="G121" i="2"/>
  <c r="N112" i="2"/>
  <c r="D208" i="2"/>
  <c r="H197" i="2"/>
  <c r="K197" i="2"/>
  <c r="G112" i="2"/>
  <c r="I206" i="2"/>
  <c r="I208" i="2"/>
  <c r="B124" i="2"/>
  <c r="E121" i="2"/>
  <c r="B119" i="2"/>
  <c r="E112" i="2"/>
  <c r="A1" i="15"/>
  <c r="N119" i="2"/>
  <c r="K112" i="2"/>
  <c r="A1" i="10"/>
  <c r="H119" i="2"/>
  <c r="D112" i="2"/>
  <c r="B203" i="2"/>
  <c r="F206" i="2"/>
  <c r="C203" i="2"/>
  <c r="B194" i="2"/>
  <c r="K194" i="2" s="1"/>
  <c r="I194" i="2"/>
  <c r="K206" i="2"/>
  <c r="E203" i="2"/>
  <c r="H204" i="2"/>
  <c r="B198" i="2"/>
  <c r="E194" i="2"/>
  <c r="J198" i="2"/>
  <c r="G206" i="2"/>
  <c r="J204" i="2"/>
  <c r="C208" i="2"/>
  <c r="B202" i="2"/>
  <c r="F194" i="2"/>
  <c r="K198" i="2"/>
  <c r="M203" i="2"/>
  <c r="C204" i="2"/>
  <c r="F204" i="2"/>
  <c r="A1" i="17"/>
  <c r="M124" i="2"/>
  <c r="A1" i="6"/>
  <c r="B118" i="2"/>
  <c r="B114" i="2"/>
  <c r="A1" i="5"/>
  <c r="K118" i="2"/>
  <c r="A1" i="3"/>
  <c r="C206" i="2"/>
  <c r="B205" i="2"/>
  <c r="J205" i="2"/>
  <c r="B195" i="2"/>
  <c r="C198" i="2"/>
  <c r="G195" i="2"/>
  <c r="M204" i="2"/>
  <c r="B199" i="2"/>
  <c r="J202" i="2"/>
  <c r="H195" i="2"/>
  <c r="E197" i="2"/>
  <c r="J197" i="2"/>
  <c r="B111" i="2"/>
  <c r="K111" i="2"/>
  <c r="B120" i="2"/>
  <c r="F120" i="2"/>
  <c r="K121" i="2"/>
  <c r="B122" i="2"/>
  <c r="I118" i="2"/>
  <c r="L124" i="2"/>
  <c r="L120" i="2"/>
  <c r="C114" i="2"/>
  <c r="H111" i="2"/>
  <c r="L119" i="2"/>
  <c r="B109" i="2"/>
  <c r="L118" i="2"/>
  <c r="I111" i="2"/>
  <c r="M121" i="2"/>
  <c r="I198" i="2"/>
  <c r="K195" i="2"/>
  <c r="M208" i="2"/>
  <c r="L208" i="2"/>
  <c r="M202" i="2"/>
  <c r="C199" i="2"/>
  <c r="L199" i="2"/>
  <c r="C197" i="2"/>
  <c r="I120" i="2"/>
  <c r="E119" i="2"/>
  <c r="C118" i="2"/>
  <c r="K122" i="2"/>
  <c r="E114" i="2"/>
  <c r="F109" i="2"/>
  <c r="H109" i="2"/>
  <c r="J112" i="2"/>
  <c r="L114" i="2"/>
  <c r="J124" i="2"/>
  <c r="B113" i="2"/>
  <c r="J109" i="2"/>
  <c r="G204" i="2"/>
  <c r="F198" i="2"/>
  <c r="D195" i="2"/>
  <c r="E208" i="2"/>
  <c r="I202" i="2"/>
  <c r="F197" i="2"/>
  <c r="H112" i="2"/>
  <c r="H118" i="2"/>
  <c r="M122" i="2"/>
  <c r="N114" i="2"/>
  <c r="I114" i="2"/>
  <c r="C109" i="2"/>
  <c r="D109" i="2"/>
  <c r="K113" i="2"/>
  <c r="F113" i="2"/>
  <c r="B193" i="2"/>
  <c r="G194" i="2"/>
  <c r="I193" i="2"/>
  <c r="M194" i="2"/>
  <c r="G205" i="2"/>
  <c r="E193" i="2"/>
  <c r="K205" i="2"/>
  <c r="H203" i="2"/>
  <c r="G208" i="2"/>
  <c r="K193" i="2"/>
  <c r="A1" i="9"/>
  <c r="F111" i="2"/>
  <c r="E124" i="2"/>
  <c r="I112" i="2"/>
  <c r="N121" i="2"/>
  <c r="J111" i="2"/>
  <c r="D121" i="2"/>
  <c r="D198" i="2"/>
  <c r="I195" i="2"/>
  <c r="H208" i="2"/>
  <c r="D199" i="2"/>
  <c r="H120" i="2"/>
  <c r="D113" i="2"/>
  <c r="D203" i="2"/>
  <c r="B207" i="2"/>
  <c r="E205" i="2"/>
  <c r="B201" i="2"/>
  <c r="J206" i="2"/>
  <c r="C195" i="2"/>
  <c r="L201" i="2"/>
  <c r="K208" i="2"/>
  <c r="B196" i="2"/>
  <c r="H202" i="2"/>
  <c r="J195" i="2"/>
  <c r="I207" i="2"/>
  <c r="J193" i="2"/>
  <c r="E196" i="2"/>
  <c r="M197" i="2"/>
  <c r="G124" i="2"/>
  <c r="K124" i="2"/>
  <c r="C121" i="2"/>
  <c r="D124" i="2"/>
  <c r="C112" i="2"/>
  <c r="L112" i="2"/>
  <c r="F121" i="2"/>
  <c r="B116" i="2"/>
  <c r="G116" i="2"/>
  <c r="D118" i="2"/>
  <c r="K119" i="2"/>
  <c r="M116" i="2"/>
  <c r="F124" i="2"/>
  <c r="J122" i="2"/>
  <c r="I109" i="2"/>
  <c r="N116" i="2"/>
  <c r="L194" i="2"/>
  <c r="I204" i="2"/>
  <c r="G198" i="2"/>
  <c r="F195" i="2"/>
  <c r="F201" i="2"/>
  <c r="J208" i="2"/>
  <c r="L202" i="2"/>
  <c r="D202" i="2"/>
  <c r="G199" i="2"/>
  <c r="H196" i="2"/>
  <c r="F196" i="2"/>
  <c r="L197" i="2"/>
  <c r="D120" i="2"/>
  <c r="F119" i="2"/>
  <c r="J118" i="2"/>
  <c r="G122" i="2"/>
  <c r="L116" i="2"/>
  <c r="E116" i="2"/>
  <c r="D114" i="2"/>
  <c r="L109" i="2"/>
  <c r="K109" i="2"/>
  <c r="C113" i="2"/>
  <c r="G113" i="2"/>
  <c r="B200" i="2"/>
  <c r="G200" i="2"/>
  <c r="H194" i="2"/>
  <c r="J203" i="2"/>
  <c r="E204" i="2"/>
  <c r="D194" i="2"/>
  <c r="F205" i="2"/>
  <c r="F203" i="2"/>
  <c r="J200" i="2"/>
  <c r="G193" i="2"/>
  <c r="J194" i="2"/>
  <c r="D206" i="2"/>
  <c r="F199" i="2"/>
  <c r="H201" i="2"/>
  <c r="M200" i="2"/>
  <c r="D197" i="2"/>
  <c r="A1" i="13"/>
  <c r="B117" i="2"/>
  <c r="N124" i="2"/>
  <c r="A1" i="16"/>
  <c r="B115" i="2"/>
  <c r="C124" i="2"/>
  <c r="H117" i="2"/>
  <c r="A1" i="11"/>
  <c r="G118" i="2"/>
  <c r="K120" i="2"/>
  <c r="N115" i="2"/>
  <c r="L111" i="2"/>
  <c r="H205" i="2"/>
  <c r="D201" i="2"/>
  <c r="C202" i="2"/>
  <c r="M199" i="2"/>
  <c r="K196" i="2"/>
  <c r="C194" i="2"/>
  <c r="B110" i="2"/>
  <c r="A1" i="12"/>
  <c r="G120" i="2"/>
  <c r="A1" i="1"/>
  <c r="B123" i="2"/>
  <c r="I110" i="2"/>
  <c r="E115" i="2"/>
  <c r="F114" i="2"/>
  <c r="G109" i="2"/>
  <c r="J123" i="2"/>
  <c r="I205" i="2"/>
  <c r="M195" i="2"/>
  <c r="J201" i="2"/>
  <c r="F202" i="2"/>
  <c r="K199" i="2"/>
  <c r="I197" i="2"/>
  <c r="M112" i="2"/>
  <c r="F115" i="2"/>
  <c r="F118" i="2"/>
  <c r="L122" i="2"/>
  <c r="K116" i="2"/>
  <c r="K114" i="2"/>
  <c r="H114" i="2"/>
  <c r="D123" i="2"/>
  <c r="M109" i="2"/>
  <c r="J113" i="2"/>
  <c r="I124" i="2"/>
  <c r="H124" i="2"/>
  <c r="G119" i="2"/>
  <c r="J119" i="2"/>
  <c r="M119" i="2"/>
  <c r="I119" i="2"/>
  <c r="K203" i="2"/>
  <c r="G203" i="2"/>
  <c r="L203" i="2"/>
  <c r="I203" i="2"/>
  <c r="H198" i="2"/>
  <c r="M198" i="2"/>
  <c r="L198" i="2"/>
  <c r="E198" i="2"/>
  <c r="E202" i="2"/>
  <c r="K202" i="2"/>
  <c r="G202" i="2"/>
  <c r="M118" i="2"/>
  <c r="E118" i="2"/>
  <c r="N118" i="2"/>
  <c r="M114" i="2"/>
  <c r="J114" i="2"/>
  <c r="G114" i="2"/>
  <c r="C205" i="2"/>
  <c r="L205" i="2"/>
  <c r="M205" i="2"/>
  <c r="D205" i="2"/>
  <c r="L195" i="2"/>
  <c r="E195" i="2"/>
  <c r="E199" i="2"/>
  <c r="H199" i="2"/>
  <c r="J199" i="2"/>
  <c r="I199" i="2"/>
  <c r="M111" i="2"/>
  <c r="G111" i="2"/>
  <c r="N111" i="2"/>
  <c r="E120" i="2"/>
  <c r="C120" i="2"/>
  <c r="J120" i="2"/>
  <c r="M120" i="2"/>
  <c r="N120" i="2"/>
  <c r="D122" i="2"/>
  <c r="I122" i="2"/>
  <c r="E122" i="2"/>
  <c r="F122" i="2"/>
  <c r="N122" i="2"/>
  <c r="H122" i="2"/>
  <c r="C122" i="2"/>
  <c r="E109" i="2"/>
  <c r="N109" i="2"/>
  <c r="I113" i="2"/>
  <c r="N113" i="2"/>
  <c r="L113" i="2"/>
  <c r="E113" i="2"/>
  <c r="H113" i="2"/>
  <c r="M113" i="2"/>
  <c r="C193" i="2"/>
  <c r="F193" i="2"/>
  <c r="L193" i="2"/>
  <c r="M193" i="2"/>
  <c r="D193" i="2"/>
  <c r="H193" i="2"/>
  <c r="H207" i="2"/>
  <c r="L207" i="2"/>
  <c r="E207" i="2"/>
  <c r="D207" i="2"/>
  <c r="M207" i="2"/>
  <c r="F207" i="2"/>
  <c r="J207" i="2"/>
  <c r="C207" i="2"/>
  <c r="G207" i="2"/>
  <c r="K207" i="2"/>
  <c r="G201" i="2"/>
  <c r="K201" i="2"/>
  <c r="I201" i="2"/>
  <c r="E201" i="2"/>
  <c r="M201" i="2"/>
  <c r="C201" i="2"/>
  <c r="D196" i="2"/>
  <c r="L196" i="2"/>
  <c r="C196" i="2"/>
  <c r="M196" i="2"/>
  <c r="J196" i="2"/>
  <c r="G196" i="2"/>
  <c r="I196" i="2"/>
  <c r="F116" i="2"/>
  <c r="I116" i="2"/>
  <c r="H116" i="2"/>
  <c r="D116" i="2"/>
  <c r="J116" i="2"/>
  <c r="C116" i="2"/>
  <c r="I200" i="2"/>
  <c r="E200" i="2"/>
  <c r="D200" i="2"/>
  <c r="H200" i="2"/>
  <c r="L200" i="2"/>
  <c r="K200" i="2"/>
  <c r="F200" i="2"/>
  <c r="C200" i="2"/>
  <c r="G117" i="2"/>
  <c r="C117" i="2"/>
  <c r="N117" i="2"/>
  <c r="K117" i="2"/>
  <c r="F117" i="2"/>
  <c r="J117" i="2"/>
  <c r="E117" i="2"/>
  <c r="L117" i="2"/>
  <c r="I117" i="2"/>
  <c r="D117" i="2"/>
  <c r="M117" i="2"/>
  <c r="I115" i="2"/>
  <c r="M115" i="2"/>
  <c r="L115" i="2"/>
  <c r="H115" i="2"/>
  <c r="D115" i="2"/>
  <c r="G115" i="2"/>
  <c r="J115" i="2"/>
  <c r="C115" i="2"/>
  <c r="K115" i="2"/>
  <c r="K110" i="2"/>
  <c r="L110" i="2"/>
  <c r="E110" i="2"/>
  <c r="J110" i="2"/>
  <c r="F110" i="2"/>
  <c r="C110" i="2"/>
  <c r="M110" i="2"/>
  <c r="N110" i="2"/>
  <c r="G110" i="2"/>
  <c r="D110" i="2"/>
  <c r="H110" i="2"/>
  <c r="F123" i="2"/>
  <c r="H123" i="2"/>
  <c r="E123" i="2"/>
  <c r="M123" i="2"/>
  <c r="L123" i="2"/>
  <c r="G123" i="2"/>
  <c r="K123" i="2"/>
  <c r="C123" i="2"/>
  <c r="I123" i="2"/>
  <c r="N123" i="2"/>
  <c r="C130" i="2" l="1"/>
  <c r="C127" i="2"/>
  <c r="J130" i="2"/>
  <c r="J127" i="2"/>
  <c r="D130" i="2"/>
  <c r="D127" i="2"/>
  <c r="G130" i="2"/>
  <c r="G127" i="2"/>
  <c r="L130" i="2"/>
  <c r="L127" i="2"/>
  <c r="B130" i="2"/>
  <c r="B127" i="2"/>
  <c r="M130" i="2"/>
  <c r="M127" i="2"/>
  <c r="K130" i="2"/>
  <c r="K127" i="2"/>
  <c r="E130" i="2"/>
  <c r="E127" i="2"/>
  <c r="G128" i="2"/>
  <c r="H128" i="2"/>
  <c r="C128" i="2"/>
  <c r="I128" i="2"/>
  <c r="D128" i="2"/>
  <c r="J128" i="2"/>
  <c r="M128" i="2"/>
  <c r="F128" i="2"/>
  <c r="J129" i="2"/>
  <c r="E129" i="2"/>
  <c r="K129" i="2"/>
  <c r="L129" i="2"/>
  <c r="F129" i="2"/>
  <c r="M129" i="2"/>
  <c r="I130" i="2"/>
  <c r="I127" i="2"/>
  <c r="F130" i="2"/>
  <c r="F127" i="2"/>
  <c r="H130" i="2"/>
  <c r="H127" i="2"/>
  <c r="G129" i="2"/>
  <c r="E128" i="2"/>
  <c r="I129" i="2"/>
  <c r="L128" i="2"/>
  <c r="K128" i="2"/>
  <c r="C129" i="2"/>
  <c r="B128" i="2"/>
  <c r="H129" i="2"/>
  <c r="B129" i="2"/>
  <c r="D129" i="2"/>
  <c r="E145" i="2"/>
  <c r="E32" i="1"/>
  <c r="B140" i="2"/>
  <c r="B33" i="3"/>
  <c r="H140" i="2"/>
  <c r="H33" i="3"/>
  <c r="G140" i="2"/>
  <c r="G33" i="3"/>
  <c r="I140" i="2"/>
  <c r="I33" i="3"/>
  <c r="F22" i="2"/>
  <c r="F155" i="2"/>
  <c r="I22" i="2"/>
  <c r="I155" i="2"/>
  <c r="E22" i="2"/>
  <c r="E155" i="2"/>
  <c r="K22" i="2"/>
  <c r="K155" i="2"/>
  <c r="J26" i="12"/>
  <c r="J27" i="12" s="1"/>
  <c r="L150" i="2"/>
  <c r="L26" i="10"/>
  <c r="L27" i="10" s="1"/>
  <c r="L148" i="2"/>
  <c r="J27" i="3"/>
  <c r="J140" i="2"/>
  <c r="J27" i="16"/>
  <c r="J154" i="2"/>
  <c r="K26" i="5"/>
  <c r="K144" i="2"/>
  <c r="H22" i="2"/>
  <c r="H155" i="2"/>
  <c r="D22" i="2"/>
  <c r="D155" i="2"/>
  <c r="L26" i="17"/>
  <c r="L26" i="2" s="1"/>
  <c r="L155" i="2"/>
  <c r="I26" i="12"/>
  <c r="I27" i="12" s="1"/>
  <c r="K150" i="2"/>
  <c r="K26" i="3"/>
  <c r="K140" i="2"/>
  <c r="J22" i="2"/>
  <c r="J155" i="2"/>
  <c r="L26" i="16"/>
  <c r="L27" i="16" s="1"/>
  <c r="L154" i="2"/>
  <c r="G22" i="2"/>
  <c r="G155" i="2"/>
  <c r="C22" i="2"/>
  <c r="C155" i="2"/>
  <c r="H27" i="12"/>
  <c r="J150" i="2"/>
  <c r="B22" i="2"/>
  <c r="B27" i="17"/>
  <c r="C26" i="17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A1" i="2" l="1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K149" i="2" s="1"/>
  <c r="J24" i="11"/>
  <c r="J149" i="2" s="1"/>
  <c r="I24" i="11"/>
  <c r="I149" i="2" s="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149" i="2" s="1"/>
  <c r="H5" i="11"/>
  <c r="H14" i="11" s="1"/>
  <c r="G5" i="11"/>
  <c r="G14" i="11" s="1"/>
  <c r="F5" i="11"/>
  <c r="F14" i="11" s="1"/>
  <c r="E5" i="11"/>
  <c r="D24" i="11" s="1"/>
  <c r="D149" i="2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J22" i="10"/>
  <c r="J148" i="2" s="1"/>
  <c r="I22" i="10"/>
  <c r="I148" i="2" s="1"/>
  <c r="H22" i="10"/>
  <c r="H148" i="2" s="1"/>
  <c r="G22" i="10"/>
  <c r="G148" i="2" s="1"/>
  <c r="E22" i="10"/>
  <c r="E148" i="2" s="1"/>
  <c r="C22" i="10"/>
  <c r="C148" i="2" s="1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F148" i="2" s="1"/>
  <c r="E5" i="10"/>
  <c r="D22" i="10" s="1"/>
  <c r="D148" i="2" s="1"/>
  <c r="C5" i="10"/>
  <c r="B22" i="10" s="1"/>
  <c r="B148" i="2" s="1"/>
  <c r="L22" i="8"/>
  <c r="K22" i="8"/>
  <c r="J22" i="8"/>
  <c r="J146" i="2" s="1"/>
  <c r="I22" i="8"/>
  <c r="I146" i="2" s="1"/>
  <c r="H22" i="8"/>
  <c r="H146" i="2" s="1"/>
  <c r="G22" i="8"/>
  <c r="G146" i="2" s="1"/>
  <c r="F22" i="8"/>
  <c r="F146" i="2" s="1"/>
  <c r="E22" i="8"/>
  <c r="E146" i="2" s="1"/>
  <c r="D22" i="8"/>
  <c r="D146" i="2" s="1"/>
  <c r="C22" i="8"/>
  <c r="C146" i="2" s="1"/>
  <c r="B22" i="8"/>
  <c r="B146" i="2" s="1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L147" i="2" s="1"/>
  <c r="K22" i="9"/>
  <c r="J22" i="9"/>
  <c r="I22" i="9"/>
  <c r="I147" i="2" s="1"/>
  <c r="H22" i="9"/>
  <c r="H147" i="2" s="1"/>
  <c r="G22" i="9"/>
  <c r="G147" i="2" s="1"/>
  <c r="F22" i="9"/>
  <c r="F147" i="2" s="1"/>
  <c r="E22" i="9"/>
  <c r="E147" i="2" s="1"/>
  <c r="D22" i="9"/>
  <c r="D147" i="2" s="1"/>
  <c r="C22" i="9"/>
  <c r="C147" i="2" s="1"/>
  <c r="B22" i="9"/>
  <c r="B147" i="2" s="1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32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L143" i="2" s="1"/>
  <c r="K22" i="7"/>
  <c r="K143" i="2" s="1"/>
  <c r="J22" i="7"/>
  <c r="J143" i="2" s="1"/>
  <c r="I22" i="7"/>
  <c r="I143" i="2" s="1"/>
  <c r="H22" i="7"/>
  <c r="H143" i="2" s="1"/>
  <c r="G22" i="7"/>
  <c r="G143" i="2" s="1"/>
  <c r="F22" i="7"/>
  <c r="F143" i="2" s="1"/>
  <c r="E22" i="7"/>
  <c r="E143" i="2" s="1"/>
  <c r="D22" i="7"/>
  <c r="D143" i="2" s="1"/>
  <c r="C22" i="7"/>
  <c r="C143" i="2" s="1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I33" i="6" s="1"/>
  <c r="H22" i="6"/>
  <c r="H33" i="6" s="1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D144" i="2" l="1"/>
  <c r="D34" i="5"/>
  <c r="E144" i="2"/>
  <c r="E34" i="5"/>
  <c r="I144" i="2"/>
  <c r="I34" i="5"/>
  <c r="B145" i="2"/>
  <c r="B32" i="1"/>
  <c r="G145" i="2"/>
  <c r="G32" i="1"/>
  <c r="K145" i="2"/>
  <c r="K32" i="1"/>
  <c r="B144" i="2"/>
  <c r="B34" i="5"/>
  <c r="C145" i="2"/>
  <c r="C32" i="1"/>
  <c r="H145" i="2"/>
  <c r="H32" i="1"/>
  <c r="L145" i="2"/>
  <c r="L32" i="1"/>
  <c r="B143" i="2"/>
  <c r="B27" i="7"/>
  <c r="F144" i="2"/>
  <c r="F34" i="5"/>
  <c r="J144" i="2"/>
  <c r="J34" i="5"/>
  <c r="C144" i="2"/>
  <c r="C34" i="5"/>
  <c r="G144" i="2"/>
  <c r="G34" i="5"/>
  <c r="L144" i="2"/>
  <c r="L34" i="5"/>
  <c r="D145" i="2"/>
  <c r="D32" i="1"/>
  <c r="I145" i="2"/>
  <c r="I32" i="1"/>
  <c r="H144" i="2"/>
  <c r="H34" i="5"/>
  <c r="F145" i="2"/>
  <c r="F32" i="1"/>
  <c r="H142" i="2"/>
  <c r="E33" i="6"/>
  <c r="E142" i="2"/>
  <c r="B33" i="6"/>
  <c r="I142" i="2"/>
  <c r="F33" i="6"/>
  <c r="F142" i="2"/>
  <c r="C33" i="6"/>
  <c r="J142" i="2"/>
  <c r="G33" i="6"/>
  <c r="L142" i="2"/>
  <c r="G142" i="2"/>
  <c r="D33" i="6"/>
  <c r="K142" i="2"/>
  <c r="J27" i="9"/>
  <c r="J147" i="2"/>
  <c r="K26" i="9"/>
  <c r="K147" i="2"/>
  <c r="K26" i="8"/>
  <c r="K146" i="2"/>
  <c r="J26" i="1"/>
  <c r="J145" i="2"/>
  <c r="L26" i="8"/>
  <c r="L27" i="8" s="1"/>
  <c r="L146" i="2"/>
  <c r="K27" i="10"/>
  <c r="K148" i="2"/>
  <c r="L27" i="9"/>
  <c r="L26" i="9"/>
  <c r="J26" i="8"/>
  <c r="J27" i="8"/>
  <c r="K27" i="1"/>
  <c r="K26" i="1"/>
  <c r="E24" i="1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F24" i="11"/>
  <c r="C24" i="11"/>
  <c r="G24" i="1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G29" i="11" l="1"/>
  <c r="H83" i="2" s="1"/>
  <c r="G149" i="2"/>
  <c r="C29" i="11"/>
  <c r="D83" i="2" s="1"/>
  <c r="C149" i="2"/>
  <c r="E29" i="11"/>
  <c r="F83" i="2" s="1"/>
  <c r="E149" i="2"/>
  <c r="F28" i="11"/>
  <c r="G82" i="2" s="1"/>
  <c r="F149" i="2"/>
  <c r="B28" i="11"/>
  <c r="C82" i="2" s="1"/>
  <c r="B149" i="2"/>
  <c r="E28" i="1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D150" i="2" s="1"/>
  <c r="C22" i="12"/>
  <c r="E150" i="2" s="1"/>
  <c r="D22" i="12"/>
  <c r="F150" i="2" s="1"/>
  <c r="B23" i="12"/>
  <c r="C23" i="12"/>
  <c r="D23" i="12"/>
  <c r="E23" i="12"/>
  <c r="E22" i="12"/>
  <c r="G150" i="2" s="1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B152" i="2" s="1"/>
  <c r="C22" i="14"/>
  <c r="C152" i="2" s="1"/>
  <c r="D22" i="14"/>
  <c r="D152" i="2" s="1"/>
  <c r="E22" i="14"/>
  <c r="E152" i="2" s="1"/>
  <c r="F22" i="14"/>
  <c r="F152" i="2" s="1"/>
  <c r="B23" i="14"/>
  <c r="C23" i="14"/>
  <c r="D23" i="14"/>
  <c r="E23" i="14"/>
  <c r="F23" i="14"/>
  <c r="H22" i="14"/>
  <c r="H152" i="2" s="1"/>
  <c r="L22" i="15"/>
  <c r="L153" i="2" s="1"/>
  <c r="L179" i="2" s="1"/>
  <c r="B21" i="15"/>
  <c r="C21" i="15"/>
  <c r="D21" i="15"/>
  <c r="E21" i="15"/>
  <c r="F21" i="15"/>
  <c r="B22" i="15"/>
  <c r="B153" i="2" s="1"/>
  <c r="C22" i="15"/>
  <c r="C153" i="2" s="1"/>
  <c r="D22" i="15"/>
  <c r="D153" i="2" s="1"/>
  <c r="E22" i="15"/>
  <c r="E153" i="2" s="1"/>
  <c r="F22" i="15"/>
  <c r="F153" i="2" s="1"/>
  <c r="B23" i="15"/>
  <c r="C23" i="15"/>
  <c r="D23" i="15"/>
  <c r="E23" i="15"/>
  <c r="F23" i="15"/>
  <c r="B21" i="16"/>
  <c r="B22" i="16"/>
  <c r="B154" i="2" s="1"/>
  <c r="B23" i="16"/>
  <c r="C21" i="16"/>
  <c r="D21" i="16"/>
  <c r="E21" i="16"/>
  <c r="F21" i="16"/>
  <c r="C22" i="16"/>
  <c r="C154" i="2" s="1"/>
  <c r="D22" i="16"/>
  <c r="D154" i="2" s="1"/>
  <c r="E22" i="16"/>
  <c r="E154" i="2" s="1"/>
  <c r="F22" i="16"/>
  <c r="F154" i="2" s="1"/>
  <c r="C23" i="16"/>
  <c r="D23" i="16"/>
  <c r="E23" i="16"/>
  <c r="F23" i="16"/>
  <c r="G23" i="16"/>
  <c r="G22" i="16"/>
  <c r="G154" i="2" s="1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F179" i="2" l="1"/>
  <c r="B179" i="2"/>
  <c r="C179" i="2"/>
  <c r="E179" i="2"/>
  <c r="D179" i="2"/>
  <c r="L27" i="15"/>
  <c r="M91" i="2" s="1"/>
  <c r="L26" i="15"/>
  <c r="C27" i="12"/>
  <c r="C26" i="12"/>
  <c r="B27" i="12"/>
  <c r="B26" i="12"/>
  <c r="D26" i="12"/>
  <c r="D27" i="12"/>
  <c r="F22" i="13"/>
  <c r="F151" i="2" s="1"/>
  <c r="F178" i="2" s="1"/>
  <c r="B22" i="13"/>
  <c r="E22" i="13"/>
  <c r="E151" i="2" s="1"/>
  <c r="E178" i="2" s="1"/>
  <c r="D22" i="13"/>
  <c r="D151" i="2" s="1"/>
  <c r="D178" i="2" s="1"/>
  <c r="C22" i="13"/>
  <c r="C151" i="2" s="1"/>
  <c r="C178" i="2" s="1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B26" i="13" l="1"/>
  <c r="C86" i="2" s="1"/>
  <c r="B151" i="2"/>
  <c r="B178" i="2" s="1"/>
  <c r="C105" i="2"/>
  <c r="C135" i="2" s="1"/>
  <c r="F94" i="2"/>
  <c r="E105" i="2" s="1"/>
  <c r="E135" i="2" s="1"/>
  <c r="E26" i="2"/>
  <c r="J95" i="2"/>
  <c r="I27" i="2"/>
  <c r="K95" i="2"/>
  <c r="J27" i="2"/>
  <c r="C95" i="2"/>
  <c r="B27" i="2"/>
  <c r="F95" i="2"/>
  <c r="E27" i="2"/>
  <c r="J94" i="2"/>
  <c r="I26" i="2"/>
  <c r="C94" i="2"/>
  <c r="B105" i="2" s="1"/>
  <c r="B135" i="2" s="1"/>
  <c r="B26" i="2"/>
  <c r="I94" i="2"/>
  <c r="H26" i="2"/>
  <c r="G94" i="2"/>
  <c r="F105" i="2" s="1"/>
  <c r="F135" i="2" s="1"/>
  <c r="F26" i="2"/>
  <c r="H94" i="2"/>
  <c r="G26" i="2"/>
  <c r="E94" i="2"/>
  <c r="D105" i="2" s="1"/>
  <c r="D135" i="2" s="1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C141" i="2" l="1"/>
  <c r="C33" i="4"/>
  <c r="D141" i="2"/>
  <c r="D33" i="4"/>
  <c r="B141" i="2"/>
  <c r="B177" i="2" s="1"/>
  <c r="B33" i="4"/>
  <c r="E141" i="2"/>
  <c r="E33" i="4"/>
  <c r="F141" i="2"/>
  <c r="F33" i="4"/>
  <c r="E140" i="2"/>
  <c r="E33" i="3"/>
  <c r="C140" i="2"/>
  <c r="C33" i="3"/>
  <c r="D140" i="2"/>
  <c r="D33" i="3"/>
  <c r="F140" i="2"/>
  <c r="F33" i="3"/>
  <c r="D26" i="3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B180" i="2" l="1"/>
  <c r="C180" i="2"/>
  <c r="C177" i="2"/>
  <c r="D180" i="2"/>
  <c r="D177" i="2"/>
  <c r="E177" i="2"/>
  <c r="E180" i="2"/>
  <c r="F180" i="2"/>
  <c r="F177" i="2"/>
  <c r="G66" i="2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152" i="2" s="1"/>
  <c r="G22" i="15"/>
  <c r="G153" i="2" s="1"/>
  <c r="G179" i="2" s="1"/>
  <c r="L22" i="14"/>
  <c r="L152" i="2" s="1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l="1"/>
  <c r="L27" i="13" s="1"/>
  <c r="L151" i="2"/>
  <c r="L178" i="2" s="1"/>
  <c r="H80" i="2"/>
  <c r="L23" i="15"/>
  <c r="K23" i="15"/>
  <c r="J23" i="15"/>
  <c r="I23" i="15"/>
  <c r="H23" i="15"/>
  <c r="G23" i="15"/>
  <c r="M90" i="2"/>
  <c r="K22" i="15"/>
  <c r="K153" i="2" s="1"/>
  <c r="J22" i="15"/>
  <c r="J153" i="2" s="1"/>
  <c r="J179" i="2" s="1"/>
  <c r="I22" i="15"/>
  <c r="I153" i="2" s="1"/>
  <c r="H22" i="15"/>
  <c r="H153" i="2" s="1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105" i="2" s="1"/>
  <c r="G135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K151" i="2" s="1"/>
  <c r="I5" i="13"/>
  <c r="H5" i="13"/>
  <c r="K27" i="13" l="1"/>
  <c r="K26" i="13"/>
  <c r="L86" i="2" s="1"/>
  <c r="I22" i="13"/>
  <c r="G22" i="13"/>
  <c r="H22" i="13"/>
  <c r="J22" i="13"/>
  <c r="J151" i="2" s="1"/>
  <c r="J178" i="2" s="1"/>
  <c r="I27" i="13" l="1"/>
  <c r="J87" i="2" s="1"/>
  <c r="I151" i="2"/>
  <c r="G27" i="13"/>
  <c r="H87" i="2" s="1"/>
  <c r="G151" i="2"/>
  <c r="G178" i="2" s="1"/>
  <c r="H26" i="13"/>
  <c r="I86" i="2" s="1"/>
  <c r="H151" i="2"/>
  <c r="L87" i="2"/>
  <c r="G26" i="13"/>
  <c r="H86" i="2" s="1"/>
  <c r="I26" i="13"/>
  <c r="J86" i="2" s="1"/>
  <c r="J26" i="13"/>
  <c r="K86" i="2" s="1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I22" i="16"/>
  <c r="I154" i="2" s="1"/>
  <c r="I179" i="2" s="1"/>
  <c r="H22" i="16"/>
  <c r="H154" i="2" s="1"/>
  <c r="H179" i="2" s="1"/>
  <c r="K21" i="16"/>
  <c r="J21" i="16"/>
  <c r="I21" i="16"/>
  <c r="H21" i="16"/>
  <c r="K27" i="16" l="1"/>
  <c r="K154" i="2"/>
  <c r="K179" i="2" s="1"/>
  <c r="L94" i="2"/>
  <c r="K26" i="2"/>
  <c r="L93" i="2"/>
  <c r="K26" i="16"/>
  <c r="L92" i="2" s="1"/>
  <c r="I26" i="16"/>
  <c r="J92" i="2" s="1"/>
  <c r="I105" i="2" s="1"/>
  <c r="I135" i="2" s="1"/>
  <c r="I27" i="16"/>
  <c r="J93" i="2" s="1"/>
  <c r="J26" i="16"/>
  <c r="K92" i="2" s="1"/>
  <c r="J105" i="2" s="1"/>
  <c r="J135" i="2" s="1"/>
  <c r="K93" i="2"/>
  <c r="G27" i="16"/>
  <c r="H93" i="2" s="1"/>
  <c r="H27" i="16"/>
  <c r="I93" i="2" s="1"/>
  <c r="H26" i="16"/>
  <c r="I92" i="2" s="1"/>
  <c r="H105" i="2" s="1"/>
  <c r="H135" i="2" s="1"/>
  <c r="K105" i="2" l="1"/>
  <c r="K135" i="2" s="1"/>
  <c r="M93" i="2"/>
  <c r="M92" i="2"/>
  <c r="L105" i="2" s="1"/>
  <c r="L135" i="2" s="1"/>
  <c r="L23" i="14"/>
  <c r="K23" i="14"/>
  <c r="J23" i="14"/>
  <c r="I23" i="14"/>
  <c r="H23" i="14"/>
  <c r="G23" i="14"/>
  <c r="K22" i="14"/>
  <c r="K152" i="2" s="1"/>
  <c r="K178" i="2" s="1"/>
  <c r="I22" i="14"/>
  <c r="I152" i="2" s="1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I150" i="2" s="1"/>
  <c r="I178" i="2" s="1"/>
  <c r="F22" i="12"/>
  <c r="H150" i="2" s="1"/>
  <c r="H178" i="2" s="1"/>
  <c r="J21" i="12"/>
  <c r="I21" i="12"/>
  <c r="H21" i="12"/>
  <c r="G21" i="12"/>
  <c r="F21" i="12"/>
  <c r="E21" i="12"/>
  <c r="M84" i="2" l="1"/>
  <c r="L104" i="2" s="1"/>
  <c r="L134" i="2" s="1"/>
  <c r="F26" i="12"/>
  <c r="F27" i="12"/>
  <c r="G26" i="12"/>
  <c r="G27" i="12"/>
  <c r="E27" i="12"/>
  <c r="E26" i="12"/>
  <c r="H84" i="2" l="1"/>
  <c r="J84" i="2"/>
  <c r="I104" i="2" s="1"/>
  <c r="I134" i="2" s="1"/>
  <c r="I84" i="2"/>
  <c r="H104" i="2" s="1"/>
  <c r="H134" i="2" s="1"/>
  <c r="L84" i="2"/>
  <c r="K104" i="2" s="1"/>
  <c r="K134" i="2" s="1"/>
  <c r="H85" i="2"/>
  <c r="K85" i="2"/>
  <c r="K84" i="2"/>
  <c r="J104" i="2" s="1"/>
  <c r="J134" i="2" s="1"/>
  <c r="J85" i="2"/>
  <c r="I85" i="2"/>
  <c r="H78" i="2"/>
  <c r="G104" i="2" l="1"/>
  <c r="G134" i="2" s="1"/>
  <c r="L85" i="2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F103" i="2" s="1"/>
  <c r="D72" i="2"/>
  <c r="C103" i="2" s="1"/>
  <c r="D73" i="2"/>
  <c r="E72" i="2"/>
  <c r="D103" i="2" s="1"/>
  <c r="E73" i="2"/>
  <c r="F72" i="2"/>
  <c r="E103" i="2" s="1"/>
  <c r="F73" i="2"/>
  <c r="C73" i="2"/>
  <c r="C72" i="2"/>
  <c r="B103" i="2" s="1"/>
  <c r="E133" i="2" l="1"/>
  <c r="C133" i="2"/>
  <c r="F133" i="2"/>
  <c r="B133" i="2"/>
  <c r="D133" i="2"/>
  <c r="L22" i="4"/>
  <c r="L21" i="4"/>
  <c r="K21" i="4"/>
  <c r="J21" i="4"/>
  <c r="I21" i="4"/>
  <c r="H21" i="4"/>
  <c r="G21" i="4"/>
  <c r="M5" i="4"/>
  <c r="L5" i="4"/>
  <c r="K5" i="4"/>
  <c r="J5" i="4"/>
  <c r="I5" i="4"/>
  <c r="H5" i="4"/>
  <c r="N3" i="4"/>
  <c r="L141" i="2" l="1"/>
  <c r="L33" i="4"/>
  <c r="G22" i="4"/>
  <c r="G33" i="4" s="1"/>
  <c r="H22" i="4"/>
  <c r="K22" i="4"/>
  <c r="K33" i="4" s="1"/>
  <c r="I22" i="4"/>
  <c r="J22" i="4"/>
  <c r="J33" i="4" s="1"/>
  <c r="L26" i="4"/>
  <c r="L27" i="4" s="1"/>
  <c r="I141" i="2" l="1"/>
  <c r="I180" i="2" s="1"/>
  <c r="I33" i="4"/>
  <c r="H141" i="2"/>
  <c r="H180" i="2" s="1"/>
  <c r="H33" i="4"/>
  <c r="K27" i="4"/>
  <c r="L67" i="2" s="1"/>
  <c r="K141" i="2"/>
  <c r="J27" i="4"/>
  <c r="K67" i="2" s="1"/>
  <c r="J141" i="2"/>
  <c r="G27" i="4"/>
  <c r="H67" i="2" s="1"/>
  <c r="G141" i="2"/>
  <c r="K26" i="4"/>
  <c r="L66" i="2" s="1"/>
  <c r="G26" i="4"/>
  <c r="H66" i="2" s="1"/>
  <c r="G103" i="2" s="1"/>
  <c r="J26" i="4"/>
  <c r="K66" i="2" s="1"/>
  <c r="H26" i="4"/>
  <c r="I66" i="2" s="1"/>
  <c r="H27" i="4"/>
  <c r="I67" i="2" s="1"/>
  <c r="I27" i="4"/>
  <c r="J67" i="2" s="1"/>
  <c r="I26" i="4"/>
  <c r="M66" i="2"/>
  <c r="K23" i="3"/>
  <c r="J23" i="3"/>
  <c r="I23" i="3"/>
  <c r="H23" i="3"/>
  <c r="K21" i="3"/>
  <c r="J21" i="3"/>
  <c r="I21" i="3"/>
  <c r="H21" i="3"/>
  <c r="L23" i="3"/>
  <c r="L22" i="3"/>
  <c r="I177" i="2" l="1"/>
  <c r="H177" i="2"/>
  <c r="L140" i="2"/>
  <c r="L33" i="3"/>
  <c r="J180" i="2"/>
  <c r="J177" i="2"/>
  <c r="G180" i="2"/>
  <c r="G177" i="2"/>
  <c r="K180" i="2"/>
  <c r="K177" i="2"/>
  <c r="L26" i="3"/>
  <c r="L27" i="3" s="1"/>
  <c r="G133" i="2"/>
  <c r="G106" i="2"/>
  <c r="G136" i="2" s="1"/>
  <c r="J66" i="2"/>
  <c r="M67" i="2"/>
  <c r="L21" i="3"/>
  <c r="I26" i="3"/>
  <c r="I27" i="3"/>
  <c r="H26" i="3"/>
  <c r="H27" i="3"/>
  <c r="L180" i="2" l="1"/>
  <c r="L177" i="2"/>
  <c r="K65" i="2"/>
  <c r="I65" i="2"/>
  <c r="K64" i="2"/>
  <c r="J103" i="2" s="1"/>
  <c r="J64" i="2"/>
  <c r="I103" i="2" s="1"/>
  <c r="L65" i="2"/>
  <c r="I64" i="2"/>
  <c r="H103" i="2" s="1"/>
  <c r="J65" i="2"/>
  <c r="L64" i="2"/>
  <c r="K103" i="2" s="1"/>
  <c r="A32" i="2"/>
  <c r="I133" i="2" l="1"/>
  <c r="I106" i="2"/>
  <c r="I136" i="2" s="1"/>
  <c r="J133" i="2"/>
  <c r="J106" i="2"/>
  <c r="J136" i="2" s="1"/>
  <c r="K133" i="2"/>
  <c r="K106" i="2"/>
  <c r="K136" i="2" s="1"/>
  <c r="H133" i="2"/>
  <c r="H106" i="2"/>
  <c r="H136" i="2" s="1"/>
  <c r="M64" i="2"/>
  <c r="L103" i="2" s="1"/>
  <c r="G75" i="2"/>
  <c r="G74" i="2"/>
  <c r="F104" i="2" s="1"/>
  <c r="D74" i="2"/>
  <c r="C104" i="2" s="1"/>
  <c r="D75" i="2"/>
  <c r="F75" i="2"/>
  <c r="F74" i="2"/>
  <c r="E104" i="2" s="1"/>
  <c r="C75" i="2"/>
  <c r="C74" i="2"/>
  <c r="B104" i="2" s="1"/>
  <c r="E74" i="2"/>
  <c r="D104" i="2" s="1"/>
  <c r="E75" i="2"/>
  <c r="E134" i="2" l="1"/>
  <c r="E106" i="2"/>
  <c r="E136" i="2" s="1"/>
  <c r="F134" i="2"/>
  <c r="F106" i="2"/>
  <c r="F136" i="2" s="1"/>
  <c r="C134" i="2"/>
  <c r="C106" i="2"/>
  <c r="C136" i="2" s="1"/>
  <c r="D134" i="2"/>
  <c r="D106" i="2"/>
  <c r="D136" i="2" s="1"/>
  <c r="B134" i="2"/>
  <c r="B106" i="2"/>
  <c r="B136" i="2" s="1"/>
  <c r="L133" i="2"/>
  <c r="L106" i="2"/>
  <c r="L136" i="2" s="1"/>
  <c r="M65" i="2"/>
</calcChain>
</file>

<file path=xl/sharedStrings.xml><?xml version="1.0" encoding="utf-8"?>
<sst xmlns="http://schemas.openxmlformats.org/spreadsheetml/2006/main" count="615" uniqueCount="356">
  <si>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</si>
  <si>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</si>
  <si>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</si>
  <si>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</si>
  <si>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</si>
  <si>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</si>
  <si>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</si>
  <si>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</si>
  <si>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</si>
  <si>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</si>
  <si>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</si>
  <si>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</si>
  <si>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</si>
  <si>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</si>
  <si>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</si>
  <si>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</si>
  <si>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</si>
  <si>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</si>
  <si>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</si>
  <si>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</si>
  <si>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</si>
  <si>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</si>
  <si>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</si>
  <si>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</si>
  <si>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</si>
  <si>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</si>
  <si>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</si>
  <si>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</si>
  <si>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</si>
  <si>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</si>
  <si>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</si>
  <si>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</si>
  <si>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</si>
  <si>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</si>
  <si>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</si>
  <si>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</si>
  <si>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</si>
  <si>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</si>
  <si>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</si>
  <si>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</si>
  <si>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</si>
  <si>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</si>
  <si>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</si>
  <si>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</si>
  <si>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</si>
  <si>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</si>
  <si>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</si>
  <si>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</si>
  <si>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</si>
  <si>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</si>
  <si>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</si>
  <si>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</si>
  <si>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</si>
  <si>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</si>
  <si>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</si>
  <si>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</si>
  <si>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</si>
  <si>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</si>
  <si>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</si>
  <si>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</si>
  <si>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</si>
  <si>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</si>
  <si>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</si>
  <si>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</si>
  <si>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</si>
  <si>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</si>
  <si>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</si>
  <si>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</si>
  <si>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</si>
  <si>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</si>
  <si>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</si>
  <si>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</si>
  <si>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</si>
  <si>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</si>
  <si>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</si>
  <si>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</si>
  <si>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</si>
  <si>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</si>
  <si>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</si>
  <si>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</si>
  <si>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</si>
  <si>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</si>
  <si>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</si>
  <si>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</si>
  <si>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</si>
  <si>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</si>
  <si>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</si>
  <si>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</si>
  <si>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</si>
  <si>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</si>
  <si>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</si>
  <si>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</si>
  <si>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</si>
  <si>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</si>
  <si>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</si>
  <si>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</si>
  <si>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</si>
  <si>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</si>
  <si>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</si>
  <si>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</si>
  <si>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</si>
  <si>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</si>
  <si>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</si>
  <si>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</si>
  <si>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</si>
  <si>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</si>
  <si>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</si>
  <si>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</si>
  <si>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</si>
  <si>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</si>
  <si>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</si>
  <si>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</si>
  <si>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</si>
  <si>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</si>
  <si>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</si>
  <si>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</si>
  <si>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</si>
  <si>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</si>
  <si>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</si>
  <si>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</si>
  <si>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</si>
  <si>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</si>
  <si>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</si>
  <si>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</si>
  <si>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</si>
  <si>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</si>
  <si>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</si>
  <si>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</si>
  <si>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</si>
  <si>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</si>
  <si>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</si>
  <si>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</si>
  <si>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</si>
  <si>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</si>
  <si>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</si>
  <si>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</si>
  <si>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</si>
  <si>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</si>
  <si>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</si>
  <si>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</si>
  <si>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</si>
  <si>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</si>
  <si>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</si>
  <si>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</si>
  <si>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</si>
  <si>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</si>
  <si>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</si>
  <si>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</si>
  <si>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</si>
  <si>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</si>
  <si>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</si>
  <si>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</si>
  <si>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</si>
  <si>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</si>
  <si>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</si>
  <si>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</si>
  <si>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</si>
  <si>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</si>
  <si>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</si>
  <si>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</si>
  <si>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</si>
  <si>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</si>
  <si>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</si>
  <si>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</si>
  <si>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</si>
  <si>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</si>
  <si>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</si>
  <si>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</si>
  <si>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</si>
  <si>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</si>
  <si>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</si>
  <si>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</si>
  <si>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</si>
  <si>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</si>
  <si>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</si>
  <si>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</si>
  <si>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</si>
  <si>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</si>
  <si>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</si>
  <si>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</si>
  <si>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</si>
  <si>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</si>
  <si>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</si>
  <si>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</si>
  <si>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</si>
  <si>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</si>
  <si>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</si>
  <si>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</si>
  <si>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</si>
  <si>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</si>
  <si>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</si>
  <si>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</si>
  <si>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</si>
  <si>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</si>
  <si>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</si>
  <si>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</si>
  <si>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</si>
  <si>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</si>
  <si>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</si>
  <si>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</si>
  <si>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</si>
  <si>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</si>
  <si>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</si>
  <si>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</si>
  <si>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</si>
  <si>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</si>
  <si>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</si>
  <si>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</si>
  <si>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</si>
  <si>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</si>
  <si>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</si>
  <si>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</si>
  <si>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</si>
  <si>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</si>
  <si>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</si>
  <si>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</si>
  <si>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</si>
  <si>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</si>
  <si>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</si>
  <si>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</si>
  <si>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</si>
  <si>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</si>
  <si>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</si>
  <si>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</si>
  <si>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</si>
  <si>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</si>
  <si>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</si>
  <si>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</si>
  <si>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</si>
  <si>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</si>
  <si>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</si>
  <si>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</si>
  <si>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</si>
  <si>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</si>
  <si>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</si>
  <si>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</si>
  <si>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</si>
  <si>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</si>
  <si>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</si>
  <si>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</si>
  <si>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</si>
  <si>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</si>
  <si>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</si>
  <si>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</si>
  <si>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</si>
  <si>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</si>
  <si>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</si>
  <si>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</si>
  <si>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</si>
  <si>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</si>
  <si>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</si>
  <si>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</si>
  <si>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</si>
  <si>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</si>
  <si>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</si>
  <si>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</si>
  <si>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</si>
  <si>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</si>
  <si>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</si>
  <si>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</si>
  <si>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</si>
  <si>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</si>
  <si>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</si>
  <si>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</si>
  <si>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</si>
  <si>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</si>
  <si>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</si>
  <si>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</si>
  <si>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</si>
  <si>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</si>
  <si>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</si>
  <si>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</si>
  <si>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</si>
  <si>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</si>
  <si>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</si>
  <si>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</si>
  <si>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</si>
  <si>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</si>
  <si>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</si>
  <si>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</si>
  <si>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</si>
  <si>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</si>
  <si>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</si>
  <si>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</si>
  <si>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</si>
  <si>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</si>
  <si>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</si>
  <si>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</si>
  <si>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</si>
  <si>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</si>
  <si>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</si>
  <si>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</si>
  <si>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</si>
  <si>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</si>
  <si>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</si>
  <si>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</si>
  <si>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</si>
  <si>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</si>
  <si>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</si>
  <si>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</si>
  <si>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</si>
  <si>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</si>
  <si>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</si>
  <si>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</si>
  <si>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</si>
  <si>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</si>
  <si>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</si>
  <si>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</si>
  <si>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</si>
  <si>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</si>
  <si>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</si>
  <si>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</si>
  <si>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</si>
  <si>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</si>
  <si>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</si>
  <si>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</si>
  <si>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</si>
  <si>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</si>
  <si>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</si>
  <si>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</si>
  <si>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</si>
  <si>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</si>
  <si>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</si>
  <si>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</si>
  <si>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</si>
  <si>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</si>
  <si>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</si>
  <si>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</si>
  <si>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</si>
  <si>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</si>
  <si>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</si>
  <si>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</si>
  <si>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</si>
  <si>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</si>
  <si>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</si>
  <si>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</si>
  <si>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</si>
  <si>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</si>
  <si>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</si>
  <si>
    <t>国有行</t>
    <phoneticPr fontId="3" type="noConversion"/>
  </si>
  <si>
    <t>股份行</t>
    <phoneticPr fontId="3" type="noConversion"/>
  </si>
  <si>
    <t>城商行</t>
    <phoneticPr fontId="3" type="noConversion"/>
  </si>
  <si>
    <t>不良生成额</t>
    <phoneticPr fontId="3" type="noConversion"/>
  </si>
  <si>
    <t>不良生成率</t>
    <phoneticPr fontId="3" type="noConversion"/>
  </si>
  <si>
    <t>贷款总额</t>
    <phoneticPr fontId="3" type="noConversion"/>
  </si>
  <si>
    <t>贷款总额</t>
    <phoneticPr fontId="3" type="noConversion"/>
  </si>
  <si>
    <t>银行总计</t>
    <phoneticPr fontId="3" type="noConversion"/>
  </si>
  <si>
    <t>上市银行</t>
    <phoneticPr fontId="3" type="noConversion"/>
  </si>
  <si>
    <t>核销及转出</t>
    <phoneticPr fontId="3" type="noConversion"/>
  </si>
  <si>
    <t>核销及转出率</t>
    <phoneticPr fontId="3" type="noConversion"/>
  </si>
  <si>
    <t>核销及转出率</t>
    <phoneticPr fontId="3" type="noConversion"/>
  </si>
  <si>
    <t>国有大行</t>
    <phoneticPr fontId="3" type="noConversion"/>
  </si>
  <si>
    <t>股份行</t>
    <phoneticPr fontId="3" type="noConversion"/>
  </si>
  <si>
    <t>城商行</t>
    <phoneticPr fontId="3" type="noConversion"/>
  </si>
  <si>
    <t>老16家全部</t>
    <phoneticPr fontId="3" type="noConversion"/>
  </si>
  <si>
    <t>拨备覆盖率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</si>
</sst>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##,###,##0.00"/>
    <numFmt numFmtId="177" formatCode="0.00_);[Red]\(0.00\)"/>
    <numFmt numFmtId="178" formatCode="0.00_ "/>
  </numFmts>
  <fonts count="3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399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2" fontId="8" fillId="0" borderId="0" xfId="0" applyNumberFormat="1" applyFont="1"/>
    <xf numFmtId="0" fontId="32" fillId="0" borderId="18" xfId="0" applyFont="1" applyBorder="1" applyAlignment="1">
      <alignment vertical="center"/>
    </xf>
    <xf numFmtId="0" fontId="32" fillId="0" borderId="0" xfId="0" applyFont="1" applyBorder="1" applyAlignment="1">
      <alignment vertical="center"/>
    </xf>
    <xf numFmtId="14" fontId="0" fillId="0" borderId="0" xfId="0" applyNumberFormat="1"/>
    <xf numFmtId="10" fontId="8" fillId="0" borderId="0" xfId="1" applyNumberFormat="1" applyFont="1" applyAlignment="1"/>
    <xf numFmtId="0" fontId="2" fillId="0" borderId="9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10" fontId="2" fillId="0" borderId="0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76" fontId="8" fillId="0" borderId="0" xfId="0" applyNumberFormat="1" applyFo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8859520"/>
        <c:axId val="-108858976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84000"/>
        <c:axId val="-108862240"/>
      </c:lineChart>
      <c:catAx>
        <c:axId val="-1088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58976"/>
        <c:crosses val="autoZero"/>
        <c:auto val="1"/>
        <c:lblAlgn val="ctr"/>
        <c:lblOffset val="100"/>
        <c:noMultiLvlLbl val="0"/>
      </c:catAx>
      <c:valAx>
        <c:axId val="-108858976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59520"/>
        <c:crosses val="autoZero"/>
        <c:crossBetween val="between"/>
      </c:valAx>
      <c:valAx>
        <c:axId val="-1088622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84000"/>
        <c:crosses val="max"/>
        <c:crossBetween val="between"/>
      </c:valAx>
      <c:catAx>
        <c:axId val="-108884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8862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FE-405A-ABB6-413B19480472}"/>
            </c:ext>
          </c:extLst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FE-405A-ABB6-413B19480472}"/>
            </c:ext>
          </c:extLst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FE-405A-ABB6-413B19480472}"/>
            </c:ext>
          </c:extLst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FE-405A-ABB6-413B19480472}"/>
            </c:ext>
          </c:extLst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FE-405A-ABB6-413B19480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8224"/>
        <c:axId val="-108879104"/>
      </c:lineChart>
      <c:catAx>
        <c:axId val="-10886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9104"/>
        <c:crosses val="autoZero"/>
        <c:auto val="1"/>
        <c:lblAlgn val="ctr"/>
        <c:lblOffset val="100"/>
        <c:noMultiLvlLbl val="0"/>
      </c:catAx>
      <c:valAx>
        <c:axId val="-1088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F3-44F2-BF95-3C9EE28200BF}"/>
            </c:ext>
          </c:extLst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F3-44F2-BF95-3C9EE28200BF}"/>
            </c:ext>
          </c:extLst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F3-44F2-BF95-3C9EE28200BF}"/>
            </c:ext>
          </c:extLst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F3-44F2-BF95-3C9EE28200BF}"/>
            </c:ext>
          </c:extLst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6F3-44F2-BF95-3C9EE28200BF}"/>
            </c:ext>
          </c:extLst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6F3-44F2-BF95-3C9EE28200BF}"/>
            </c:ext>
          </c:extLst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60608"/>
        <c:axId val="-108869312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6F3-44F2-BF95-3C9EE282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861696"/>
        <c:axId val="-108871488"/>
      </c:lineChart>
      <c:catAx>
        <c:axId val="-1088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9312"/>
        <c:crosses val="autoZero"/>
        <c:auto val="1"/>
        <c:lblAlgn val="ctr"/>
        <c:lblOffset val="100"/>
        <c:noMultiLvlLbl val="0"/>
      </c:catAx>
      <c:valAx>
        <c:axId val="-10886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0608"/>
        <c:crosses val="autoZero"/>
        <c:crossBetween val="between"/>
      </c:valAx>
      <c:valAx>
        <c:axId val="-1088714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1696"/>
        <c:crosses val="max"/>
        <c:crossBetween val="between"/>
      </c:valAx>
      <c:catAx>
        <c:axId val="-108861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88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24771537381877"/>
          <c:y val="2.8318589332885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7C-4E94-A37D-9DA9A5D064E2}"/>
            </c:ext>
          </c:extLst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7C-4E94-A37D-9DA9A5D064E2}"/>
            </c:ext>
          </c:extLst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47C-4E94-A37D-9DA9A5D06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87264"/>
        <c:axId val="-108863328"/>
      </c:lineChart>
      <c:catAx>
        <c:axId val="-10888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3328"/>
        <c:crosses val="autoZero"/>
        <c:auto val="1"/>
        <c:lblAlgn val="ctr"/>
        <c:lblOffset val="100"/>
        <c:noMultiLvlLbl val="0"/>
      </c:catAx>
      <c:valAx>
        <c:axId val="-10886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不良生成率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不良生成率!$A$133</c:f>
              <c:strCache>
                <c:ptCount val="1"/>
                <c:pt idx="0">
                  <c:v>国有行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不良生成率!$B$133:$L$133</c:f>
              <c:numCache>
                <c:formatCode>0.00%</c:formatCode>
                <c:ptCount val="11"/>
                <c:pt idx="0">
                  <c:v>-1.1650133472607337E-3</c:v>
                </c:pt>
                <c:pt idx="1">
                  <c:v>2.5957912843316165E-3</c:v>
                </c:pt>
                <c:pt idx="2">
                  <c:v>-7.1265961355504925E-4</c:v>
                </c:pt>
                <c:pt idx="3">
                  <c:v>-1.3430982217138827E-3</c:v>
                </c:pt>
                <c:pt idx="4">
                  <c:v>1.5469747616756236E-4</c:v>
                </c:pt>
                <c:pt idx="5">
                  <c:v>1.2770581975647163E-3</c:v>
                </c:pt>
                <c:pt idx="6">
                  <c:v>3.425160062230744E-3</c:v>
                </c:pt>
                <c:pt idx="7">
                  <c:v>7.5846522042659894E-3</c:v>
                </c:pt>
                <c:pt idx="8">
                  <c:v>1.2225819311386991E-2</c:v>
                </c:pt>
                <c:pt idx="9">
                  <c:v>8.7736291649985459E-3</c:v>
                </c:pt>
                <c:pt idx="10">
                  <c:v>3.1991466418793647E-3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5A-4857-96D3-7110145563B4}"/>
            </c:ext>
          </c:extLst>
        </c:ser>
        <c:ser>
          <c:idx val="1"/>
          <c:order val="1"/>
          <c:tx>
            <c:strRef>
              <c:f>不良生成率!$A$134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不良生成率!$B$134:$L$134</c:f>
              <c:numCache>
                <c:formatCode>0.00%</c:formatCode>
                <c:ptCount val="11"/>
                <c:pt idx="0">
                  <c:v>1.1015644615582998E-3</c:v>
                </c:pt>
                <c:pt idx="1">
                  <c:v>2.7337989503165251E-3</c:v>
                </c:pt>
                <c:pt idx="2">
                  <c:v>1.2870855076864201E-3</c:v>
                </c:pt>
                <c:pt idx="3">
                  <c:v>4.0355588610290326E-3</c:v>
                </c:pt>
                <c:pt idx="4">
                  <c:v>-2.8578753532513151E-3</c:v>
                </c:pt>
                <c:pt idx="5">
                  <c:v>3.3523687077986722E-3</c:v>
                </c:pt>
                <c:pt idx="6">
                  <c:v>6.8462344362517696E-3</c:v>
                </c:pt>
                <c:pt idx="7">
                  <c:v>1.1718326711553879E-2</c:v>
                </c:pt>
                <c:pt idx="8">
                  <c:v>1.8614201177161619E-2</c:v>
                </c:pt>
                <c:pt idx="9">
                  <c:v>1.9718693589505031E-2</c:v>
                </c:pt>
                <c:pt idx="10">
                  <c:v>6.4635248704420197E-3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05A-4857-96D3-7110145563B4}"/>
            </c:ext>
          </c:extLst>
        </c:ser>
        <c:ser>
          <c:idx val="2"/>
          <c:order val="2"/>
          <c:tx>
            <c:strRef>
              <c:f>不良生成率!$A$135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不良生成率!$B$135:$L$135</c:f>
              <c:numCache>
                <c:formatCode>0.00%</c:formatCode>
                <c:ptCount val="11"/>
                <c:pt idx="0">
                  <c:v>1.0690212824053819E-2</c:v>
                </c:pt>
                <c:pt idx="1">
                  <c:v>3.150527558675268E-2</c:v>
                </c:pt>
                <c:pt idx="2">
                  <c:v>-2.191464796094823E-2</c:v>
                </c:pt>
                <c:pt idx="3">
                  <c:v>3.2509062372476409E-2</c:v>
                </c:pt>
                <c:pt idx="4">
                  <c:v>-2.6961218442316529E-2</c:v>
                </c:pt>
                <c:pt idx="5">
                  <c:v>2.5419893262368753E-3</c:v>
                </c:pt>
                <c:pt idx="6">
                  <c:v>3.4557691400376386E-3</c:v>
                </c:pt>
                <c:pt idx="7">
                  <c:v>5.3432758328737879E-3</c:v>
                </c:pt>
                <c:pt idx="8">
                  <c:v>8.5519229854239542E-3</c:v>
                </c:pt>
                <c:pt idx="9">
                  <c:v>1.032673361105672E-2</c:v>
                </c:pt>
                <c:pt idx="10">
                  <c:v>4.6235158177801716E-3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05A-4857-96D3-7110145563B4}"/>
            </c:ext>
          </c:extLst>
        </c:ser>
        <c:ser>
          <c:idx val="3"/>
          <c:order val="3"/>
          <c:tx>
            <c:strRef>
              <c:f>不良生成率!$A$136</c:f>
              <c:strCache>
                <c:ptCount val="1"/>
                <c:pt idx="0">
                  <c:v>银行总计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不良生成率!$B$132:$L$132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不良生成率!$B$136:$L$136</c:f>
              <c:numCache>
                <c:formatCode>0.00%</c:formatCode>
                <c:ptCount val="11"/>
                <c:pt idx="0">
                  <c:v>-5.1252295255123533E-4</c:v>
                </c:pt>
                <c:pt idx="1">
                  <c:v>3.0643865364980518E-3</c:v>
                </c:pt>
                <c:pt idx="2">
                  <c:v>-5.4299675883124265E-4</c:v>
                </c:pt>
                <c:pt idx="3">
                  <c:v>3.5545963163096701E-4</c:v>
                </c:pt>
                <c:pt idx="4">
                  <c:v>-9.4445222145773814E-4</c:v>
                </c:pt>
                <c:pt idx="5">
                  <c:v>1.7719821968637103E-3</c:v>
                </c:pt>
                <c:pt idx="6">
                  <c:v>4.2267360878555614E-3</c:v>
                </c:pt>
                <c:pt idx="7">
                  <c:v>8.5245511966522275E-3</c:v>
                </c:pt>
                <c:pt idx="8">
                  <c:v>1.3712174358258587E-2</c:v>
                </c:pt>
                <c:pt idx="9">
                  <c:v>1.1551995533987265E-2</c:v>
                </c:pt>
                <c:pt idx="10">
                  <c:v>4.0911054552861485E-3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05A-4857-96D3-711014556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8768"/>
        <c:axId val="-108881280"/>
      </c:lineChart>
      <c:catAx>
        <c:axId val="-1088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1280"/>
        <c:crosses val="autoZero"/>
        <c:auto val="1"/>
        <c:lblAlgn val="ctr"/>
        <c:lblOffset val="100"/>
        <c:noMultiLvlLbl val="0"/>
      </c:catAx>
      <c:valAx>
        <c:axId val="-1088812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不良生成率!$A$177</c:f>
              <c:strCache>
                <c:ptCount val="1"/>
                <c:pt idx="0">
                  <c:v>国有大行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不良生成率!$B$177:$L$177</c:f>
              <c:numCache>
                <c:formatCode>0.00%</c:formatCode>
                <c:ptCount val="11"/>
                <c:pt idx="0">
                  <c:v>8.1957990573998676E-2</c:v>
                </c:pt>
                <c:pt idx="1">
                  <c:v>0.1178971529416747</c:v>
                </c:pt>
                <c:pt idx="2">
                  <c:v>0.1053712884021355</c:v>
                </c:pt>
                <c:pt idx="3">
                  <c:v>6.8272765251937123E-2</c:v>
                </c:pt>
                <c:pt idx="4">
                  <c:v>4.0476833550224668E-2</c:v>
                </c:pt>
                <c:pt idx="5">
                  <c:v>8.1704281237363521E-2</c:v>
                </c:pt>
                <c:pt idx="6">
                  <c:v>0.19755774327906098</c:v>
                </c:pt>
                <c:pt idx="7">
                  <c:v>0.38964508502197348</c:v>
                </c:pt>
                <c:pt idx="8">
                  <c:v>0.50577399145310964</c:v>
                </c:pt>
                <c:pt idx="9">
                  <c:v>0.40701277586697215</c:v>
                </c:pt>
                <c:pt idx="10">
                  <c:v>0.33265118207412558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不良生成率!$A$178</c:f>
              <c:strCache>
                <c:ptCount val="1"/>
                <c:pt idx="0">
                  <c:v>股份行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不良生成率!$B$178:$L$178</c:f>
              <c:numCache>
                <c:formatCode>0.00%</c:formatCode>
                <c:ptCount val="11"/>
                <c:pt idx="0">
                  <c:v>0.12930956081927908</c:v>
                </c:pt>
                <c:pt idx="1">
                  <c:v>0.28840940295360623</c:v>
                </c:pt>
                <c:pt idx="2">
                  <c:v>0.1348054259802432</c:v>
                </c:pt>
                <c:pt idx="3">
                  <c:v>0.10127202807976451</c:v>
                </c:pt>
                <c:pt idx="4">
                  <c:v>5.7288241973168695E-2</c:v>
                </c:pt>
                <c:pt idx="5">
                  <c:v>0.16999633554767277</c:v>
                </c:pt>
                <c:pt idx="6">
                  <c:v>0.50590189822022524</c:v>
                </c:pt>
                <c:pt idx="7">
                  <c:v>0.73392571623286407</c:v>
                </c:pt>
                <c:pt idx="8">
                  <c:v>1.0234334231706641</c:v>
                </c:pt>
                <c:pt idx="9">
                  <c:v>0.93084738416916046</c:v>
                </c:pt>
                <c:pt idx="10">
                  <c:v>0.63447741207978015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不良生成率!$A$179</c:f>
              <c:strCache>
                <c:ptCount val="1"/>
                <c:pt idx="0">
                  <c:v>城商行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不良生成率!$B$179:$L$179</c:f>
              <c:numCache>
                <c:formatCode>0.00%</c:formatCode>
                <c:ptCount val="11"/>
                <c:pt idx="0">
                  <c:v>0.22072187441090588</c:v>
                </c:pt>
                <c:pt idx="1">
                  <c:v>0.1132937221962742</c:v>
                </c:pt>
                <c:pt idx="2">
                  <c:v>9.2333753044178072E-3</c:v>
                </c:pt>
                <c:pt idx="3">
                  <c:v>4.1540516630657366E-2</c:v>
                </c:pt>
                <c:pt idx="4">
                  <c:v>0</c:v>
                </c:pt>
                <c:pt idx="5">
                  <c:v>8.0849021905158566E-2</c:v>
                </c:pt>
                <c:pt idx="6">
                  <c:v>0.21934857530944035</c:v>
                </c:pt>
                <c:pt idx="7">
                  <c:v>0.32639047477504579</c:v>
                </c:pt>
                <c:pt idx="8">
                  <c:v>0.56564649614198281</c:v>
                </c:pt>
                <c:pt idx="9">
                  <c:v>0.70642798312940336</c:v>
                </c:pt>
                <c:pt idx="10">
                  <c:v>0.72223341980835054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不良生成率!$A$180</c:f>
              <c:strCache>
                <c:ptCount val="1"/>
                <c:pt idx="0">
                  <c:v>老16家全部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不良生成率!$B$176:$L$176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不良生成率!$B$180:$L$180</c:f>
              <c:numCache>
                <c:formatCode>0.00%</c:formatCode>
                <c:ptCount val="11"/>
                <c:pt idx="0">
                  <c:v>9.0975136914126245E-2</c:v>
                </c:pt>
                <c:pt idx="1">
                  <c:v>0.14749667697448149</c:v>
                </c:pt>
                <c:pt idx="2">
                  <c:v>0.10690555362207517</c:v>
                </c:pt>
                <c:pt idx="3">
                  <c:v>7.2018077069505082E-2</c:v>
                </c:pt>
                <c:pt idx="4">
                  <c:v>4.18389365864512E-2</c:v>
                </c:pt>
                <c:pt idx="5">
                  <c:v>9.437567963961134E-2</c:v>
                </c:pt>
                <c:pt idx="6">
                  <c:v>0.25605904012863662</c:v>
                </c:pt>
                <c:pt idx="7">
                  <c:v>0.46834113183931952</c:v>
                </c:pt>
                <c:pt idx="8">
                  <c:v>0.63090045998004252</c:v>
                </c:pt>
                <c:pt idx="9">
                  <c:v>0.53682605119415083</c:v>
                </c:pt>
                <c:pt idx="10">
                  <c:v>0.41429761087855371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7136"/>
        <c:axId val="-108888352"/>
      </c:lineChart>
      <c:catAx>
        <c:axId val="-10886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88352"/>
        <c:crosses val="autoZero"/>
        <c:auto val="1"/>
        <c:lblAlgn val="ctr"/>
        <c:lblOffset val="100"/>
        <c:noMultiLvlLbl val="0"/>
      </c:catAx>
      <c:valAx>
        <c:axId val="-10888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不良生成率!$A$193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不良生成率!$C$193:$M$193</c:f>
              <c:numCache>
                <c:formatCode>###,###,##0.00</c:formatCode>
                <c:ptCount val="11"/>
                <c:pt idx="0">
                  <c:v>103.5</c:v>
                </c:pt>
                <c:pt idx="1">
                  <c:v>130.15</c:v>
                </c:pt>
                <c:pt idx="2">
                  <c:v>164.41</c:v>
                </c:pt>
                <c:pt idx="3">
                  <c:v>228.2</c:v>
                </c:pt>
                <c:pt idx="4">
                  <c:v>266.92</c:v>
                </c:pt>
                <c:pt idx="5">
                  <c:v>295.55</c:v>
                </c:pt>
                <c:pt idx="6">
                  <c:v>257.19</c:v>
                </c:pt>
                <c:pt idx="7">
                  <c:v>206.9</c:v>
                </c:pt>
                <c:pt idx="8">
                  <c:v>156.34</c:v>
                </c:pt>
                <c:pt idx="9">
                  <c:v>136.69</c:v>
                </c:pt>
                <c:pt idx="10">
                  <c:v>145.81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不良生成率!$A$194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不良生成率!$C$194:$M$194</c:f>
              <c:numCache>
                <c:formatCode>###,###,##0.00</c:formatCode>
                <c:ptCount val="11"/>
                <c:pt idx="0">
                  <c:v>104.41</c:v>
                </c:pt>
                <c:pt idx="1">
                  <c:v>131.58000000000001</c:v>
                </c:pt>
                <c:pt idx="2">
                  <c:v>175.77</c:v>
                </c:pt>
                <c:pt idx="3">
                  <c:v>221.14</c:v>
                </c:pt>
                <c:pt idx="4">
                  <c:v>241.44</c:v>
                </c:pt>
                <c:pt idx="5">
                  <c:v>271.29000000000002</c:v>
                </c:pt>
                <c:pt idx="6">
                  <c:v>268.22000000000003</c:v>
                </c:pt>
                <c:pt idx="7">
                  <c:v>222.33</c:v>
                </c:pt>
                <c:pt idx="8">
                  <c:v>150.99</c:v>
                </c:pt>
                <c:pt idx="9">
                  <c:v>150.36000000000001</c:v>
                </c:pt>
                <c:pt idx="10">
                  <c:v>160.15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不良生成率!$A$195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不良生成率!$C$195:$M$195</c:f>
              <c:numCache>
                <c:formatCode>###,###,##0.00</c:formatCode>
                <c:ptCount val="11"/>
                <c:pt idx="0">
                  <c:v>93.421199999999999</c:v>
                </c:pt>
                <c:pt idx="1">
                  <c:v>63.531700000000001</c:v>
                </c:pt>
                <c:pt idx="2">
                  <c:v>105.37</c:v>
                </c:pt>
                <c:pt idx="3">
                  <c:v>168.05</c:v>
                </c:pt>
                <c:pt idx="4">
                  <c:v>263.10000000000002</c:v>
                </c:pt>
                <c:pt idx="5">
                  <c:v>326.14</c:v>
                </c:pt>
                <c:pt idx="6">
                  <c:v>367.04</c:v>
                </c:pt>
                <c:pt idx="7">
                  <c:v>286.52999999999997</c:v>
                </c:pt>
                <c:pt idx="8">
                  <c:v>189.43</c:v>
                </c:pt>
                <c:pt idx="9">
                  <c:v>173.4</c:v>
                </c:pt>
                <c:pt idx="10">
                  <c:v>181.8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不良生成率!$A$196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不良生成率!$C$196:$M$196</c:f>
              <c:numCache>
                <c:formatCode>###,###,##0.00</c:formatCode>
                <c:ptCount val="11"/>
                <c:pt idx="0">
                  <c:v>108.18</c:v>
                </c:pt>
                <c:pt idx="1">
                  <c:v>121.72</c:v>
                </c:pt>
                <c:pt idx="2">
                  <c:v>151.16999999999999</c:v>
                </c:pt>
                <c:pt idx="3">
                  <c:v>196.67</c:v>
                </c:pt>
                <c:pt idx="4">
                  <c:v>220.75</c:v>
                </c:pt>
                <c:pt idx="5">
                  <c:v>236.3</c:v>
                </c:pt>
                <c:pt idx="6">
                  <c:v>229.35</c:v>
                </c:pt>
                <c:pt idx="7">
                  <c:v>187.6</c:v>
                </c:pt>
                <c:pt idx="8">
                  <c:v>153.30000000000001</c:v>
                </c:pt>
                <c:pt idx="9">
                  <c:v>162.82</c:v>
                </c:pt>
                <c:pt idx="10">
                  <c:v>152.46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不良生成率!$A$197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不良生成率!$C$197:$M$197</c:f>
              <c:numCache>
                <c:formatCode>###,###,##0.00</c:formatCode>
                <c:ptCount val="11"/>
                <c:pt idx="0">
                  <c:v>95.63</c:v>
                </c:pt>
                <c:pt idx="1">
                  <c:v>116.83</c:v>
                </c:pt>
                <c:pt idx="2">
                  <c:v>151.05000000000001</c:v>
                </c:pt>
                <c:pt idx="3">
                  <c:v>185.84</c:v>
                </c:pt>
                <c:pt idx="4">
                  <c:v>256.37</c:v>
                </c:pt>
                <c:pt idx="5">
                  <c:v>250.68</c:v>
                </c:pt>
                <c:pt idx="6">
                  <c:v>213.65</c:v>
                </c:pt>
                <c:pt idx="7">
                  <c:v>178.88</c:v>
                </c:pt>
                <c:pt idx="8">
                  <c:v>155.57</c:v>
                </c:pt>
                <c:pt idx="9">
                  <c:v>150.5</c:v>
                </c:pt>
                <c:pt idx="10">
                  <c:v>151.02000000000001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5296"/>
        <c:axId val="-108857888"/>
      </c:lineChart>
      <c:dateAx>
        <c:axId val="-108875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57888"/>
        <c:crosses val="autoZero"/>
        <c:auto val="1"/>
        <c:lblOffset val="100"/>
        <c:baseTimeUnit val="months"/>
        <c:majorUnit val="12"/>
        <c:majorTimeUnit val="months"/>
      </c:dateAx>
      <c:valAx>
        <c:axId val="-10885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不良生成率!$A$198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不良生成率!$C$198:$M$198</c:f>
              <c:numCache>
                <c:formatCode>###,###,##0.00</c:formatCode>
                <c:ptCount val="11"/>
                <c:pt idx="0">
                  <c:v>180.39</c:v>
                </c:pt>
                <c:pt idx="1">
                  <c:v>223.29</c:v>
                </c:pt>
                <c:pt idx="2">
                  <c:v>246.66</c:v>
                </c:pt>
                <c:pt idx="3">
                  <c:v>302.41000000000003</c:v>
                </c:pt>
                <c:pt idx="4">
                  <c:v>400.13</c:v>
                </c:pt>
                <c:pt idx="5">
                  <c:v>351.79</c:v>
                </c:pt>
                <c:pt idx="6">
                  <c:v>266</c:v>
                </c:pt>
                <c:pt idx="7">
                  <c:v>233.42</c:v>
                </c:pt>
                <c:pt idx="8">
                  <c:v>178.95</c:v>
                </c:pt>
                <c:pt idx="9">
                  <c:v>180.02</c:v>
                </c:pt>
                <c:pt idx="10">
                  <c:v>224.69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不良生成率!$A$199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不良生成率!$C$199:$M$199</c:f>
              <c:numCache>
                <c:formatCode>###,###,##0.00</c:formatCode>
                <c:ptCount val="11"/>
                <c:pt idx="0">
                  <c:v>110.01</c:v>
                </c:pt>
                <c:pt idx="1">
                  <c:v>150.03</c:v>
                </c:pt>
                <c:pt idx="2">
                  <c:v>149.36000000000001</c:v>
                </c:pt>
                <c:pt idx="3">
                  <c:v>213.51</c:v>
                </c:pt>
                <c:pt idx="4">
                  <c:v>272.31</c:v>
                </c:pt>
                <c:pt idx="5">
                  <c:v>288.25</c:v>
                </c:pt>
                <c:pt idx="6">
                  <c:v>206.62</c:v>
                </c:pt>
                <c:pt idx="7">
                  <c:v>181.26</c:v>
                </c:pt>
                <c:pt idx="8">
                  <c:v>167.81</c:v>
                </c:pt>
                <c:pt idx="9">
                  <c:v>155.5</c:v>
                </c:pt>
                <c:pt idx="10">
                  <c:v>152.97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不良生成率!$A$200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不良生成率!$C$200:$M$200</c:f>
              <c:numCache>
                <c:formatCode>###,###,##0.00</c:formatCode>
                <c:ptCount val="11"/>
                <c:pt idx="0">
                  <c:v>191.08</c:v>
                </c:pt>
                <c:pt idx="1">
                  <c:v>192.49</c:v>
                </c:pt>
                <c:pt idx="2">
                  <c:v>245.93</c:v>
                </c:pt>
                <c:pt idx="3">
                  <c:v>380.56</c:v>
                </c:pt>
                <c:pt idx="4">
                  <c:v>499.6</c:v>
                </c:pt>
                <c:pt idx="5">
                  <c:v>399.85</c:v>
                </c:pt>
                <c:pt idx="6">
                  <c:v>319.64999999999998</c:v>
                </c:pt>
                <c:pt idx="7">
                  <c:v>249.09</c:v>
                </c:pt>
                <c:pt idx="8">
                  <c:v>211.4</c:v>
                </c:pt>
                <c:pt idx="9">
                  <c:v>169.13</c:v>
                </c:pt>
                <c:pt idx="10">
                  <c:v>154.21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不良生成率!$A$201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不良生成率!$C$201:$M$201</c:f>
              <c:numCache>
                <c:formatCode>###,###,##0.00</c:formatCode>
                <c:ptCount val="11"/>
                <c:pt idx="0">
                  <c:v>113.14</c:v>
                </c:pt>
                <c:pt idx="1">
                  <c:v>150.04</c:v>
                </c:pt>
                <c:pt idx="2">
                  <c:v>206.04</c:v>
                </c:pt>
                <c:pt idx="3">
                  <c:v>270.45</c:v>
                </c:pt>
                <c:pt idx="4">
                  <c:v>357.29</c:v>
                </c:pt>
                <c:pt idx="5">
                  <c:v>314.52999999999997</c:v>
                </c:pt>
                <c:pt idx="6">
                  <c:v>259.74</c:v>
                </c:pt>
                <c:pt idx="7">
                  <c:v>182.2</c:v>
                </c:pt>
                <c:pt idx="8">
                  <c:v>153.63</c:v>
                </c:pt>
                <c:pt idx="9">
                  <c:v>155.41</c:v>
                </c:pt>
                <c:pt idx="10">
                  <c:v>153.33000000000001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不良生成率!$A$202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不良生成率!$C$202:$M$202</c:f>
              <c:numCache>
                <c:formatCode>###,###,##0.00</c:formatCode>
                <c:ptCount val="11"/>
                <c:pt idx="0">
                  <c:v>155.21</c:v>
                </c:pt>
                <c:pt idx="1">
                  <c:v>226.58</c:v>
                </c:pt>
                <c:pt idx="2">
                  <c:v>254.93</c:v>
                </c:pt>
                <c:pt idx="3">
                  <c:v>325.51</c:v>
                </c:pt>
                <c:pt idx="4">
                  <c:v>385.3</c:v>
                </c:pt>
                <c:pt idx="5">
                  <c:v>465.82</c:v>
                </c:pt>
                <c:pt idx="6">
                  <c:v>352.1</c:v>
                </c:pt>
                <c:pt idx="7">
                  <c:v>250.21</c:v>
                </c:pt>
                <c:pt idx="8">
                  <c:v>210.08</c:v>
                </c:pt>
                <c:pt idx="9">
                  <c:v>210.51</c:v>
                </c:pt>
                <c:pt idx="10">
                  <c:v>222.51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不良生成率!$A$203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不良生成率!$C$203:$M$203</c:f>
              <c:numCache>
                <c:formatCode>###,###,##0.00</c:formatCode>
                <c:ptCount val="11"/>
                <c:pt idx="0">
                  <c:v>92.8065</c:v>
                </c:pt>
                <c:pt idx="1">
                  <c:v>151.2467</c:v>
                </c:pt>
                <c:pt idx="2">
                  <c:v>194.66220000000001</c:v>
                </c:pt>
                <c:pt idx="3">
                  <c:v>313.38</c:v>
                </c:pt>
                <c:pt idx="4">
                  <c:v>367</c:v>
                </c:pt>
                <c:pt idx="5">
                  <c:v>339.63</c:v>
                </c:pt>
                <c:pt idx="6">
                  <c:v>241.02</c:v>
                </c:pt>
                <c:pt idx="7">
                  <c:v>180.52</c:v>
                </c:pt>
                <c:pt idx="8">
                  <c:v>156.38999999999999</c:v>
                </c:pt>
                <c:pt idx="9">
                  <c:v>152.02000000000001</c:v>
                </c:pt>
                <c:pt idx="10">
                  <c:v>152.16999999999999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不良生成率!$A$204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不良生成率!$C$204:$M$204</c:f>
              <c:numCache>
                <c:formatCode>###,###,##0.00</c:formatCode>
                <c:ptCount val="11"/>
                <c:pt idx="0">
                  <c:v>109.27</c:v>
                </c:pt>
                <c:pt idx="1">
                  <c:v>151.22</c:v>
                </c:pt>
                <c:pt idx="2">
                  <c:v>166.84</c:v>
                </c:pt>
                <c:pt idx="3">
                  <c:v>209.04</c:v>
                </c:pt>
                <c:pt idx="4">
                  <c:v>308.20999999999998</c:v>
                </c:pt>
                <c:pt idx="5">
                  <c:v>320.33999999999997</c:v>
                </c:pt>
                <c:pt idx="6">
                  <c:v>301.52999999999997</c:v>
                </c:pt>
                <c:pt idx="7">
                  <c:v>233.13</c:v>
                </c:pt>
                <c:pt idx="8">
                  <c:v>167.12</c:v>
                </c:pt>
                <c:pt idx="9">
                  <c:v>158.72999999999999</c:v>
                </c:pt>
                <c:pt idx="10">
                  <c:v>157.63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不良生成率!$A$205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不良生成率!$C$205:$M$205</c:f>
              <c:numCache>
                <c:formatCode>###,###,##0.00</c:formatCode>
                <c:ptCount val="11"/>
                <c:pt idx="0">
                  <c:v>48.28</c:v>
                </c:pt>
                <c:pt idx="1">
                  <c:v>105.14</c:v>
                </c:pt>
                <c:pt idx="2">
                  <c:v>161.84</c:v>
                </c:pt>
                <c:pt idx="3">
                  <c:v>271.5</c:v>
                </c:pt>
                <c:pt idx="4">
                  <c:v>320.66000000000003</c:v>
                </c:pt>
                <c:pt idx="5">
                  <c:v>182.32</c:v>
                </c:pt>
                <c:pt idx="6">
                  <c:v>201.06</c:v>
                </c:pt>
                <c:pt idx="7">
                  <c:v>200.9</c:v>
                </c:pt>
                <c:pt idx="8">
                  <c:v>165.86</c:v>
                </c:pt>
                <c:pt idx="9">
                  <c:v>155.37</c:v>
                </c:pt>
                <c:pt idx="10">
                  <c:v>161.32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8560"/>
        <c:axId val="-108865504"/>
      </c:lineChart>
      <c:dateAx>
        <c:axId val="-1088785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65504"/>
        <c:crosses val="autoZero"/>
        <c:auto val="1"/>
        <c:lblOffset val="100"/>
        <c:baseTimeUnit val="months"/>
        <c:majorUnit val="12"/>
        <c:majorTimeUnit val="months"/>
      </c:dateAx>
      <c:valAx>
        <c:axId val="-10886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不良生成率!$A$206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不良生成率!$C$206:$M$206</c:f>
              <c:numCache>
                <c:formatCode>###,###,##0.00</c:formatCode>
                <c:ptCount val="11"/>
                <c:pt idx="0">
                  <c:v>119.88</c:v>
                </c:pt>
                <c:pt idx="1">
                  <c:v>180.23</c:v>
                </c:pt>
                <c:pt idx="2">
                  <c:v>215.69</c:v>
                </c:pt>
                <c:pt idx="3">
                  <c:v>307.12</c:v>
                </c:pt>
                <c:pt idx="4">
                  <c:v>446.39</c:v>
                </c:pt>
                <c:pt idx="5">
                  <c:v>419.96</c:v>
                </c:pt>
                <c:pt idx="6">
                  <c:v>385.91</c:v>
                </c:pt>
                <c:pt idx="7">
                  <c:v>324.22000000000003</c:v>
                </c:pt>
                <c:pt idx="8">
                  <c:v>278.39</c:v>
                </c:pt>
                <c:pt idx="9">
                  <c:v>256.06</c:v>
                </c:pt>
                <c:pt idx="10">
                  <c:v>237.03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不良生成率!$A$207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不良生成率!$C$207:$M$207</c:f>
              <c:numCache>
                <c:formatCode>###,###,##0.00</c:formatCode>
                <c:ptCount val="11"/>
                <c:pt idx="0">
                  <c:v>146.88</c:v>
                </c:pt>
                <c:pt idx="1">
                  <c:v>170.05</c:v>
                </c:pt>
                <c:pt idx="2">
                  <c:v>173.74</c:v>
                </c:pt>
                <c:pt idx="3">
                  <c:v>234.71</c:v>
                </c:pt>
                <c:pt idx="4">
                  <c:v>323.98</c:v>
                </c:pt>
                <c:pt idx="5">
                  <c:v>316.74</c:v>
                </c:pt>
                <c:pt idx="6">
                  <c:v>298.51</c:v>
                </c:pt>
                <c:pt idx="7">
                  <c:v>325.72000000000003</c:v>
                </c:pt>
                <c:pt idx="8">
                  <c:v>430.95</c:v>
                </c:pt>
                <c:pt idx="9">
                  <c:v>457.32</c:v>
                </c:pt>
                <c:pt idx="10">
                  <c:v>450.19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不良生成率!$A$208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不良生成率!$C$192:$M$192</c:f>
              <c:numCache>
                <c:formatCode>m/d/yyyy</c:formatCode>
                <c:ptCount val="11"/>
                <c:pt idx="0">
                  <c:v>39447</c:v>
                </c:pt>
                <c:pt idx="1">
                  <c:v>39813</c:v>
                </c:pt>
                <c:pt idx="2">
                  <c:v>40178</c:v>
                </c:pt>
                <c:pt idx="3">
                  <c:v>40543</c:v>
                </c:pt>
                <c:pt idx="4">
                  <c:v>40908</c:v>
                </c:pt>
                <c:pt idx="5">
                  <c:v>41274</c:v>
                </c:pt>
                <c:pt idx="6">
                  <c:v>41639</c:v>
                </c:pt>
                <c:pt idx="7">
                  <c:v>42004</c:v>
                </c:pt>
                <c:pt idx="8">
                  <c:v>42369</c:v>
                </c:pt>
                <c:pt idx="9">
                  <c:v>42735</c:v>
                </c:pt>
                <c:pt idx="10">
                  <c:v>42916</c:v>
                </c:pt>
              </c:numCache>
            </c:numRef>
          </c:cat>
          <c:val>
            <c:numRef>
              <c:f>不良生成率!$C$208:$M$208</c:f>
              <c:numCache>
                <c:formatCode>###,###,##0.00</c:formatCode>
                <c:ptCount val="11"/>
                <c:pt idx="0">
                  <c:v>359.94</c:v>
                </c:pt>
                <c:pt idx="1">
                  <c:v>152.5</c:v>
                </c:pt>
                <c:pt idx="2">
                  <c:v>170.06</c:v>
                </c:pt>
                <c:pt idx="3">
                  <c:v>196.15</c:v>
                </c:pt>
                <c:pt idx="4">
                  <c:v>240.74</c:v>
                </c:pt>
                <c:pt idx="5">
                  <c:v>275.39</c:v>
                </c:pt>
                <c:pt idx="6">
                  <c:v>254.88</c:v>
                </c:pt>
                <c:pt idx="7">
                  <c:v>285.17</c:v>
                </c:pt>
                <c:pt idx="8">
                  <c:v>308.67</c:v>
                </c:pt>
                <c:pt idx="9">
                  <c:v>351.42</c:v>
                </c:pt>
                <c:pt idx="10">
                  <c:v>398.52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78016"/>
        <c:axId val="-108874208"/>
      </c:lineChart>
      <c:dateAx>
        <c:axId val="-1088780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4208"/>
        <c:crosses val="autoZero"/>
        <c:auto val="1"/>
        <c:lblOffset val="100"/>
        <c:baseTimeUnit val="months"/>
        <c:majorUnit val="12"/>
        <c:majorTimeUnit val="months"/>
      </c:dateAx>
      <c:valAx>
        <c:axId val="-1088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887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869856"/>
        <c:axId val="-108882368"/>
      </c:lineChart>
      <c:dateAx>
        <c:axId val="-108869856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82368"/>
        <c:crosses val="autoZero"/>
        <c:auto val="1"/>
        <c:lblOffset val="100"/>
        <c:baseTimeUnit val="months"/>
        <c:majorUnit val="4"/>
        <c:majorTimeUnit val="months"/>
      </c:dateAx>
      <c:valAx>
        <c:axId val="-1088823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10886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69</xdr:row>
      <xdr:rowOff>119062</xdr:rowOff>
    </xdr:from>
    <xdr:to>
      <xdr:col>14</xdr:col>
      <xdr:colOff>471488</xdr:colOff>
      <xdr:row>84</xdr:row>
      <xdr:rowOff>147637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657225</xdr:colOff>
      <xdr:row>68</xdr:row>
      <xdr:rowOff>4762</xdr:rowOff>
    </xdr:from>
    <xdr:to>
      <xdr:col>13</xdr:col>
      <xdr:colOff>442913</xdr:colOff>
      <xdr:row>83</xdr:row>
      <xdr:rowOff>33337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290511</xdr:colOff>
      <xdr:row>81</xdr:row>
      <xdr:rowOff>95250</xdr:rowOff>
    </xdr:from>
    <xdr:to>
      <xdr:col>11</xdr:col>
      <xdr:colOff>76199</xdr:colOff>
      <xdr:row>96</xdr:row>
      <xdr:rowOff>66675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250030</xdr:colOff>
      <xdr:row>116</xdr:row>
      <xdr:rowOff>90486</xdr:rowOff>
    </xdr:from>
    <xdr:to>
      <xdr:col>10</xdr:col>
      <xdr:colOff>416717</xdr:colOff>
      <xdr:row>131</xdr:row>
      <xdr:rowOff>42861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xmlns="" id="{49FDB3EB-0325-4E1E-BA72-6D1457AFCF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700087</xdr:colOff>
      <xdr:row>176</xdr:row>
      <xdr:rowOff>14287</xdr:rowOff>
    </xdr:from>
    <xdr:to>
      <xdr:col>8</xdr:col>
      <xdr:colOff>290512</xdr:colOff>
      <xdr:row>190</xdr:row>
      <xdr:rowOff>90487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257175</xdr:colOff>
      <xdr:row>209</xdr:row>
      <xdr:rowOff>80962</xdr:rowOff>
    </xdr:from>
    <xdr:to>
      <xdr:col>6</xdr:col>
      <xdr:colOff>723900</xdr:colOff>
      <xdr:row>223</xdr:row>
      <xdr:rowOff>157162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</xdr:colOff>
      <xdr:row>209</xdr:row>
      <xdr:rowOff>80962</xdr:rowOff>
    </xdr:from>
    <xdr:to>
      <xdr:col>12</xdr:col>
      <xdr:colOff>781050</xdr:colOff>
      <xdr:row>223</xdr:row>
      <xdr:rowOff>157162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295275</xdr:colOff>
      <xdr:row>224</xdr:row>
      <xdr:rowOff>128587</xdr:rowOff>
    </xdr:from>
    <xdr:to>
      <xdr:col>6</xdr:col>
      <xdr:colOff>762000</xdr:colOff>
      <xdr:row>239</xdr:row>
      <xdr:rowOff>14287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_1n"/>
      <definedName name="s_stmnote_bank_23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208"/>
  <sheetViews>
    <sheetView showGridLines="0" tabSelected="1" topLeftCell="A153" workbookViewId="0">
      <selection activeCell="F164" sqref="F164"/>
    </sheetView>
  </sheetViews>
  <sheetFormatPr defaultRowHeight="15"/>
  <cols>
    <col min="1" max="1" width="34.5" style="24" customWidth="1"/>
    <col min="2" max="2" width="14.375" style="25" bestFit="1" customWidth="1"/>
    <col min="3" max="3" width="14.75" style="25" bestFit="1" customWidth="1"/>
    <col min="4" max="4" width="14.375" style="25" bestFit="1" customWidth="1"/>
    <col min="5" max="5" width="13.75" style="25" bestFit="1" customWidth="1"/>
    <col min="6" max="6" width="15.375" style="25" bestFit="1" customWidth="1"/>
    <col min="7" max="7" width="12.25" style="25" customWidth="1"/>
    <col min="8" max="9" width="15.625" style="25" bestFit="1" customWidth="1"/>
    <col min="10" max="12" width="15.625" bestFit="1" customWidth="1"/>
    <col min="13" max="13" width="10.875" bestFit="1" customWidth="1"/>
    <col min="14" max="14" width="10.25" bestFit="1" customWidth="1"/>
  </cols>
  <sheetData>
    <row r="1" spans="1:16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30">
      <c r="A29" s="210" t="s">
        <v>191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>
      <c r="A31" s="24" t="s">
        <v>192</v>
      </c>
    </row>
    <row r="32" spans="1:16" hidden="1">
      <c r="A32" s="24" t="str">
        <f>A2</f>
        <v>宁波银行</v>
      </c>
    </row>
    <row r="33" spans="1:1">
      <c r="A33" s="211" t="s">
        <v>78</v>
      </c>
    </row>
    <row r="34" spans="1:1" ht="17.649999999999999" customHeight="1"/>
    <row r="35" spans="1:1" ht="17.649999999999999" customHeight="1"/>
    <row r="36" spans="1:1" ht="17.649999999999999" customHeight="1"/>
    <row r="37" spans="1:1" ht="17.649999999999999" customHeight="1"/>
    <row r="38" spans="1:1" ht="17.649999999999999" customHeight="1"/>
    <row r="39" spans="1:1" ht="17.649999999999999" customHeight="1"/>
    <row r="40" spans="1:1" ht="17.649999999999999" customHeight="1"/>
    <row r="42" spans="1:1" hidden="1">
      <c r="A42" s="24" t="s">
        <v>12</v>
      </c>
    </row>
    <row r="43" spans="1:1" hidden="1">
      <c r="A43" s="24" t="s">
        <v>65</v>
      </c>
    </row>
    <row r="44" spans="1:1" hidden="1">
      <c r="A44" s="24" t="s">
        <v>66</v>
      </c>
    </row>
    <row r="45" spans="1:1" hidden="1">
      <c r="A45" s="24" t="s">
        <v>67</v>
      </c>
    </row>
    <row r="46" spans="1:1" hidden="1">
      <c r="A46" s="24" t="s">
        <v>68</v>
      </c>
    </row>
    <row r="47" spans="1:1" hidden="1">
      <c r="A47" s="24" t="s">
        <v>13</v>
      </c>
    </row>
    <row r="48" spans="1:1" hidden="1">
      <c r="A48" s="24" t="s">
        <v>69</v>
      </c>
    </row>
    <row r="49" spans="1:14" hidden="1">
      <c r="A49" s="24" t="s">
        <v>70</v>
      </c>
    </row>
    <row r="50" spans="1:14" hidden="1">
      <c r="A50" s="24" t="s">
        <v>71</v>
      </c>
    </row>
    <row r="51" spans="1:14" hidden="1">
      <c r="A51" s="24" t="s">
        <v>72</v>
      </c>
    </row>
    <row r="52" spans="1:14" hidden="1">
      <c r="A52" s="24" t="s">
        <v>73</v>
      </c>
    </row>
    <row r="53" spans="1:14" hidden="1">
      <c r="A53" s="24" t="s">
        <v>74</v>
      </c>
    </row>
    <row r="54" spans="1:14" hidden="1">
      <c r="A54" s="24" t="s">
        <v>75</v>
      </c>
    </row>
    <row r="55" spans="1:14" hidden="1">
      <c r="A55" s="24" t="s">
        <v>76</v>
      </c>
    </row>
    <row r="56" spans="1:14" hidden="1">
      <c r="A56" s="24" t="s">
        <v>77</v>
      </c>
    </row>
    <row r="57" spans="1:14" hidden="1">
      <c r="A57" s="24" t="s">
        <v>78</v>
      </c>
    </row>
    <row r="58" spans="1:14" hidden="1"/>
    <row r="59" spans="1:14" hidden="1"/>
    <row r="62" spans="1:14">
      <c r="A62" s="147" t="s">
        <v>148</v>
      </c>
    </row>
    <row r="63" spans="1:14" ht="15.75" thickBot="1">
      <c r="A63" s="143"/>
      <c r="B63" s="144" t="s">
        <v>147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60</v>
      </c>
      <c r="N63" s="25"/>
    </row>
    <row r="64" spans="1:14" ht="14.25" customHeight="1" thickTop="1">
      <c r="A64" s="398" t="s">
        <v>12</v>
      </c>
      <c r="B64" s="30" t="s">
        <v>119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>
      <c r="A65" s="396"/>
      <c r="B65" s="138" t="s">
        <v>120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>
      <c r="A66" s="395" t="s">
        <v>65</v>
      </c>
      <c r="B66" s="140" t="s">
        <v>119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5.75" thickBot="1">
      <c r="A67" s="396"/>
      <c r="B67" s="138" t="s">
        <v>120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>
      <c r="A68" s="398" t="s">
        <v>66</v>
      </c>
      <c r="B68" s="30" t="s">
        <v>119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>
      <c r="A69" s="396"/>
      <c r="B69" s="138" t="s">
        <v>120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>
      <c r="A70" s="395" t="s">
        <v>67</v>
      </c>
      <c r="B70" s="140" t="s">
        <v>119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>
      <c r="A71" s="396"/>
      <c r="B71" s="138" t="s">
        <v>120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>
      <c r="A72" s="395" t="s">
        <v>68</v>
      </c>
      <c r="B72" s="140" t="s">
        <v>119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>
      <c r="A73" s="396"/>
      <c r="B73" s="138" t="s">
        <v>120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>
      <c r="A74" s="395" t="s">
        <v>13</v>
      </c>
      <c r="B74" s="140" t="s">
        <v>119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>
      <c r="A75" s="396"/>
      <c r="B75" s="138" t="s">
        <v>120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>
      <c r="A76" s="395" t="s">
        <v>69</v>
      </c>
      <c r="B76" s="140" t="s">
        <v>119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>
      <c r="A77" s="396"/>
      <c r="B77" s="138" t="s">
        <v>120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>
      <c r="A78" s="395" t="s">
        <v>70</v>
      </c>
      <c r="B78" s="140" t="s">
        <v>119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>
      <c r="A79" s="396"/>
      <c r="B79" s="138" t="s">
        <v>120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>
      <c r="A80" s="395" t="s">
        <v>71</v>
      </c>
      <c r="B80" s="140" t="s">
        <v>119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>
      <c r="A81" s="396"/>
      <c r="B81" s="138" t="s">
        <v>120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>
      <c r="A82" s="395" t="s">
        <v>72</v>
      </c>
      <c r="B82" s="140" t="s">
        <v>119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>
      <c r="A83" s="396"/>
      <c r="B83" s="138" t="s">
        <v>120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>
      <c r="A84" s="395" t="s">
        <v>73</v>
      </c>
      <c r="B84" s="140" t="s">
        <v>119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>
      <c r="A85" s="396"/>
      <c r="B85" s="138" t="s">
        <v>120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>
      <c r="A86" s="395" t="s">
        <v>74</v>
      </c>
      <c r="B86" s="140" t="s">
        <v>119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>
      <c r="A87" s="396"/>
      <c r="B87" s="138" t="s">
        <v>120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>
      <c r="A88" s="395" t="s">
        <v>75</v>
      </c>
      <c r="B88" s="140" t="s">
        <v>119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>
      <c r="A89" s="396"/>
      <c r="B89" s="138" t="s">
        <v>120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>
      <c r="A90" s="395" t="s">
        <v>76</v>
      </c>
      <c r="B90" s="140" t="s">
        <v>119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>
      <c r="A91" s="396"/>
      <c r="B91" s="138" t="s">
        <v>120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>
      <c r="A92" s="395" t="s">
        <v>77</v>
      </c>
      <c r="B92" s="140" t="s">
        <v>119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>
      <c r="A93" s="396"/>
      <c r="B93" s="138" t="s">
        <v>120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>
      <c r="A94" s="395" t="s">
        <v>78</v>
      </c>
      <c r="B94" s="140" t="s">
        <v>119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>
      <c r="A95" s="397"/>
      <c r="B95" s="145" t="s">
        <v>120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5.75" thickTop="1">
      <c r="I96" s="27"/>
    </row>
    <row r="101" spans="1:14">
      <c r="A101" s="24" t="s">
        <v>342</v>
      </c>
    </row>
    <row r="102" spans="1:14" thickBot="1">
      <c r="B102" s="268">
        <v>2007</v>
      </c>
      <c r="C102" s="268">
        <v>2008</v>
      </c>
      <c r="D102" s="268">
        <v>2009</v>
      </c>
      <c r="E102" s="268">
        <v>2010</v>
      </c>
      <c r="F102" s="268">
        <v>2011</v>
      </c>
      <c r="G102" s="268">
        <v>2012</v>
      </c>
      <c r="H102" s="268">
        <v>2013</v>
      </c>
      <c r="I102" s="268">
        <v>2014</v>
      </c>
      <c r="J102" s="268">
        <v>2015</v>
      </c>
      <c r="K102" s="268">
        <v>2016</v>
      </c>
      <c r="L102" s="268" t="s">
        <v>60</v>
      </c>
    </row>
    <row r="103" spans="1:14" ht="15.75" thickTop="1">
      <c r="A103" s="24" t="s">
        <v>339</v>
      </c>
      <c r="B103" s="25">
        <f>SUM(C64+C66+C70+C68+C72)</f>
        <v>-114.56570000000008</v>
      </c>
      <c r="C103" s="25">
        <f t="shared" ref="C103:L103" si="0">SUM(D64+D66+D70+D68+D72)</f>
        <v>293.33497999999992</v>
      </c>
      <c r="D103" s="25">
        <f t="shared" si="0"/>
        <v>-92.579280000000111</v>
      </c>
      <c r="E103" s="25">
        <f t="shared" si="0"/>
        <v>-287.90999999999997</v>
      </c>
      <c r="F103" s="25">
        <f t="shared" si="0"/>
        <v>39.160000000000082</v>
      </c>
      <c r="G103" s="25">
        <f t="shared" si="0"/>
        <v>368.02999999999992</v>
      </c>
      <c r="H103" s="25">
        <f t="shared" si="0"/>
        <v>1115.2800000000002</v>
      </c>
      <c r="I103" s="25">
        <f t="shared" si="0"/>
        <v>2776.84</v>
      </c>
      <c r="J103" s="25">
        <f t="shared" si="0"/>
        <v>4953.16</v>
      </c>
      <c r="K103" s="25">
        <f t="shared" si="0"/>
        <v>3876.7500000000005</v>
      </c>
      <c r="L103" s="25">
        <f t="shared" si="0"/>
        <v>1555.0999999999995</v>
      </c>
    </row>
    <row r="104" spans="1:14">
      <c r="A104" s="24" t="s">
        <v>340</v>
      </c>
      <c r="B104" s="381">
        <f>SUM(C74,C76,C78,C80,C82,C84,C86,C88,)</f>
        <v>29.782673880909989</v>
      </c>
      <c r="C104" s="381">
        <f t="shared" ref="C104:L104" si="1">SUM(D74,D76,D78,D80,D82,D84,D86,D88,)</f>
        <v>89.733012534089994</v>
      </c>
      <c r="D104" s="381">
        <f t="shared" si="1"/>
        <v>57.948493325000015</v>
      </c>
      <c r="E104" s="381">
        <f t="shared" si="1"/>
        <v>250.35050287500005</v>
      </c>
      <c r="F104" s="381">
        <f t="shared" si="1"/>
        <v>-213.43331999999998</v>
      </c>
      <c r="G104" s="381">
        <f t="shared" si="1"/>
        <v>292.24250000000001</v>
      </c>
      <c r="H104" s="381">
        <f t="shared" si="1"/>
        <v>697.61944999999992</v>
      </c>
      <c r="I104" s="381">
        <f t="shared" si="1"/>
        <v>1367.98</v>
      </c>
      <c r="J104" s="381">
        <f t="shared" si="1"/>
        <v>2494.3399999999997</v>
      </c>
      <c r="K104" s="381">
        <f t="shared" si="1"/>
        <v>3002.15</v>
      </c>
      <c r="L104" s="381">
        <f t="shared" si="1"/>
        <v>1159.01</v>
      </c>
    </row>
    <row r="105" spans="1:14">
      <c r="A105" s="24" t="s">
        <v>341</v>
      </c>
      <c r="B105" s="381">
        <f>SUM(C90,C92,C94)</f>
        <v>19.586310000000001</v>
      </c>
      <c r="C105" s="381">
        <f t="shared" ref="C105:L105" si="2">SUM(D90,D92,D94)</f>
        <v>70.678870437599997</v>
      </c>
      <c r="D105" s="381">
        <f t="shared" si="2"/>
        <v>-61.888980437600004</v>
      </c>
      <c r="E105" s="381">
        <f t="shared" si="2"/>
        <v>137.30945</v>
      </c>
      <c r="F105" s="381">
        <f t="shared" si="2"/>
        <v>-140.25167570500003</v>
      </c>
      <c r="G105" s="381">
        <f t="shared" si="2"/>
        <v>16.044009510999999</v>
      </c>
      <c r="H105" s="381">
        <f t="shared" si="2"/>
        <v>26.526706194000003</v>
      </c>
      <c r="I105" s="381">
        <f t="shared" si="2"/>
        <v>48.250469999999993</v>
      </c>
      <c r="J105" s="381">
        <f t="shared" si="2"/>
        <v>90.653409999999994</v>
      </c>
      <c r="K105" s="381">
        <f t="shared" si="2"/>
        <v>132.41724000000002</v>
      </c>
      <c r="L105" s="381">
        <f t="shared" si="2"/>
        <v>70.933910000000012</v>
      </c>
    </row>
    <row r="106" spans="1:14">
      <c r="A106" s="24" t="s">
        <v>347</v>
      </c>
      <c r="B106" s="381">
        <f>SUM(B103:B105)</f>
        <v>-65.196716119090098</v>
      </c>
      <c r="C106" s="381">
        <f t="shared" ref="C106:L106" si="3">SUM(C103:C105)</f>
        <v>453.74686297168989</v>
      </c>
      <c r="D106" s="381">
        <f t="shared" si="3"/>
        <v>-96.519767112600107</v>
      </c>
      <c r="E106" s="381">
        <f t="shared" si="3"/>
        <v>99.749952875000076</v>
      </c>
      <c r="F106" s="381">
        <f t="shared" si="3"/>
        <v>-314.52499570499992</v>
      </c>
      <c r="G106" s="381">
        <f t="shared" si="3"/>
        <v>676.31650951099994</v>
      </c>
      <c r="H106" s="381">
        <f t="shared" si="3"/>
        <v>1839.4261561940002</v>
      </c>
      <c r="I106" s="381">
        <f t="shared" si="3"/>
        <v>4193.0704699999997</v>
      </c>
      <c r="J106" s="381">
        <f t="shared" si="3"/>
        <v>7538.1534099999999</v>
      </c>
      <c r="K106" s="381">
        <f t="shared" si="3"/>
        <v>7011.3172400000003</v>
      </c>
      <c r="L106" s="381">
        <f t="shared" si="3"/>
        <v>2785.0439099999999</v>
      </c>
    </row>
    <row r="108" spans="1:14">
      <c r="A108" s="24" t="s">
        <v>344</v>
      </c>
      <c r="C108" s="26">
        <v>39082</v>
      </c>
      <c r="D108" s="26">
        <v>39447</v>
      </c>
      <c r="E108" s="26">
        <v>39813</v>
      </c>
      <c r="F108" s="26">
        <v>40178</v>
      </c>
      <c r="G108" s="26">
        <v>40543</v>
      </c>
      <c r="H108" s="26">
        <v>40908</v>
      </c>
      <c r="I108" s="26">
        <v>41274</v>
      </c>
      <c r="J108" s="26">
        <v>41639</v>
      </c>
      <c r="K108" s="26">
        <v>42004</v>
      </c>
      <c r="L108" s="26">
        <v>42369</v>
      </c>
      <c r="M108" s="26">
        <v>42735</v>
      </c>
      <c r="N108" s="384">
        <v>42916</v>
      </c>
    </row>
    <row r="109" spans="1:14" ht="15.75" thickBot="1">
      <c r="A109" s="383" t="s">
        <v>12</v>
      </c>
      <c r="B109" s="25" t="str">
        <f>[1]!to_tradecode(A109)</f>
        <v>601398</v>
      </c>
      <c r="C109" s="394">
        <f>[1]!s_stmnote_bank_1n($B109,C$108,1,100000000)</f>
        <v>36311.71</v>
      </c>
      <c r="D109" s="394">
        <f>[1]!s_stmnote_bank_1n($B109,D$108,1,100000000)</f>
        <v>40732.29</v>
      </c>
      <c r="E109" s="394">
        <f>[1]!s_stmnote_bank_1n($B109,E$108,1,100000000)</f>
        <v>45719.94</v>
      </c>
      <c r="F109" s="394">
        <f>[1]!s_stmnote_bank_1n($B109,F$108,1,100000000)</f>
        <v>57286.26</v>
      </c>
      <c r="G109" s="394">
        <f>[1]!s_stmnote_bank_1n($B109,G$108,1,100000000)</f>
        <v>67905.06</v>
      </c>
      <c r="H109" s="394">
        <f>[1]!s_stmnote_bank_1n($B109,H$108,1,100000000)</f>
        <v>77888.97</v>
      </c>
      <c r="I109" s="394">
        <f>[1]!s_stmnote_bank_1n($B109,I$108,1,100000000)</f>
        <v>88036.92</v>
      </c>
      <c r="J109" s="394">
        <f>[1]!s_stmnote_bank_1n($B109,J$108,1,100000000)</f>
        <v>99223.74</v>
      </c>
      <c r="K109" s="394">
        <f>[1]!s_stmnote_bank_1n($B109,K$108,1,100000000)</f>
        <v>110263.31</v>
      </c>
      <c r="L109" s="394">
        <f>[1]!s_stmnote_bank_1n($B109,L$108,1,100000000)</f>
        <v>119334.66</v>
      </c>
      <c r="M109" s="394">
        <f>[1]!s_stmnote_bank_1n($B109,M$108,1,100000000)</f>
        <v>130568.46</v>
      </c>
      <c r="N109" s="394">
        <f>[1]!s_stmnote_bank_1n($B109,N$108,1,100000000)</f>
        <v>138659.09</v>
      </c>
    </row>
    <row r="110" spans="1:14">
      <c r="A110" s="382" t="s">
        <v>65</v>
      </c>
      <c r="B110" s="25" t="str">
        <f>[1]!to_tradecode(A110)</f>
        <v>601939</v>
      </c>
      <c r="C110" s="394">
        <f>[1]!s_stmnote_bank_1n($B110,C$108,1,100000000)</f>
        <v>28735.16</v>
      </c>
      <c r="D110" s="394">
        <f>[1]!s_stmnote_bank_1n($B110,D$108,1,100000000)</f>
        <v>32721.57</v>
      </c>
      <c r="E110" s="394">
        <f>[1]!s_stmnote_bank_1n($B110,E$108,1,100000000)</f>
        <v>37939.43</v>
      </c>
      <c r="F110" s="394">
        <f>[1]!s_stmnote_bank_1n($B110,F$108,1,100000000)</f>
        <v>48197.73</v>
      </c>
      <c r="G110" s="394">
        <f>[1]!s_stmnote_bank_1n($B110,G$108,1,100000000)</f>
        <v>56691.28</v>
      </c>
      <c r="H110" s="394">
        <f>[1]!s_stmnote_bank_1n($B110,H$108,1,100000000)</f>
        <v>64964.11</v>
      </c>
      <c r="I110" s="394">
        <f>[1]!s_stmnote_bank_1n($B110,I$108,1,100000000)</f>
        <v>75123.12</v>
      </c>
      <c r="J110" s="394">
        <f>[1]!s_stmnote_bank_1n($B110,J$108,1,100000000)</f>
        <v>85900.57</v>
      </c>
      <c r="K110" s="394">
        <f>[1]!s_stmnote_bank_1n($B110,K$108,1,100000000)</f>
        <v>94745.23</v>
      </c>
      <c r="L110" s="394">
        <f>[1]!s_stmnote_bank_1n($B110,L$108,1,100000000)</f>
        <v>104851.4</v>
      </c>
      <c r="M110" s="394">
        <f>[1]!s_stmnote_bank_1n($B110,M$108,1,100000000)</f>
        <v>117570.32</v>
      </c>
      <c r="N110" s="394">
        <f>[1]!s_stmnote_bank_1n($B110,N$108,1,100000000)</f>
        <v>125070.21</v>
      </c>
    </row>
    <row r="111" spans="1:14" ht="15.75" thickBot="1">
      <c r="A111" s="383" t="s">
        <v>66</v>
      </c>
      <c r="B111" s="25" t="str">
        <f>[1]!to_tradecode(A111)</f>
        <v>601288</v>
      </c>
      <c r="C111" s="394"/>
      <c r="D111" s="394"/>
      <c r="E111" s="394"/>
      <c r="F111" s="394">
        <f>[1]!s_stmnote_bank_1n($B111,F$108,1,100000000)</f>
        <v>41381.870000000003</v>
      </c>
      <c r="G111" s="394">
        <f>[1]!s_stmnote_bank_1n($B111,G$108,1,100000000)</f>
        <v>49567.41</v>
      </c>
      <c r="H111" s="394">
        <f>[1]!s_stmnote_bank_1n($B111,H$108,1,100000000)</f>
        <v>56287.05</v>
      </c>
      <c r="I111" s="394">
        <f>[1]!s_stmnote_bank_1n($B111,I$108,1,100000000)</f>
        <v>64333.99</v>
      </c>
      <c r="J111" s="394">
        <f>[1]!s_stmnote_bank_1n($B111,J$108,1,100000000)</f>
        <v>72247.13</v>
      </c>
      <c r="K111" s="394">
        <f>[1]!s_stmnote_bank_1n($B111,K$108,1,100000000)</f>
        <v>80980.67</v>
      </c>
      <c r="L111" s="394">
        <f>[1]!s_stmnote_bank_1n($B111,L$108,1,100000000)</f>
        <v>89099.18</v>
      </c>
      <c r="M111" s="394">
        <f>[1]!s_stmnote_bank_1n($B111,M$108,1,100000000)</f>
        <v>97196.39</v>
      </c>
      <c r="N111" s="394">
        <f>[1]!s_stmnote_bank_1n($B111,N$108,1,100000000)</f>
        <v>104119.18</v>
      </c>
    </row>
    <row r="112" spans="1:14" ht="15.75" thickBot="1">
      <c r="A112" s="382" t="s">
        <v>67</v>
      </c>
      <c r="B112" s="25" t="str">
        <f>[1]!to_tradecode(A112)</f>
        <v>601988</v>
      </c>
      <c r="C112" s="394">
        <f>[1]!s_stmnote_bank_1n($B112,C$108,1,100000000)</f>
        <v>24318.06</v>
      </c>
      <c r="D112" s="394">
        <f>[1]!s_stmnote_bank_1n($B112,D$108,1,100000000)</f>
        <v>28505.61</v>
      </c>
      <c r="E112" s="394">
        <f>[1]!s_stmnote_bank_1n($B112,E$108,1,100000000)</f>
        <v>32961.46</v>
      </c>
      <c r="F112" s="394">
        <f>[1]!s_stmnote_bank_1n($B112,F$108,1,100000000)</f>
        <v>49103.58</v>
      </c>
      <c r="G112" s="394">
        <f>[1]!s_stmnote_bank_1n($B112,G$108,1,100000000)</f>
        <v>56606.21</v>
      </c>
      <c r="H112" s="394">
        <f>[1]!s_stmnote_bank_1n($B112,H$108,1,100000000)</f>
        <v>63428.14</v>
      </c>
      <c r="I112" s="394">
        <f>[1]!s_stmnote_bank_1n($B112,I$108,1,100000000)</f>
        <v>68646.960000000006</v>
      </c>
      <c r="J112" s="394">
        <f>[1]!s_stmnote_bank_1n($B112,J$108,1,100000000)</f>
        <v>76077.91</v>
      </c>
      <c r="K112" s="394">
        <f>[1]!s_stmnote_bank_1n($B112,K$108,1,100000000)</f>
        <v>84832.75</v>
      </c>
      <c r="L112" s="394">
        <f>[1]!s_stmnote_bank_1n($B112,L$108,1,100000000)</f>
        <v>91358.6</v>
      </c>
      <c r="M112" s="394">
        <f>[1]!s_stmnote_bank_1n($B112,M$108,1,100000000)</f>
        <v>99733.62</v>
      </c>
      <c r="N112" s="394">
        <f>[1]!s_stmnote_bank_1n($B112,N$108,1,100000000)</f>
        <v>106507.03</v>
      </c>
    </row>
    <row r="113" spans="1:14" ht="15.75" thickBot="1">
      <c r="A113" s="382" t="s">
        <v>68</v>
      </c>
      <c r="B113" s="25" t="str">
        <f>[1]!to_tradecode(A113)</f>
        <v>601328</v>
      </c>
      <c r="C113" s="394">
        <f>[1]!s_stmnote_bank_1n($B113,C$108,1,100000000)</f>
        <v>8973.6</v>
      </c>
      <c r="D113" s="394">
        <f>[1]!s_stmnote_bank_1n($B113,D$108,1,100000000)</f>
        <v>11044.6</v>
      </c>
      <c r="E113" s="394">
        <f>[1]!s_stmnote_bank_1n($B113,E$108,1,100000000)</f>
        <v>13285.9</v>
      </c>
      <c r="F113" s="394">
        <f>[1]!s_stmnote_bank_1n($B113,F$108,1,100000000)</f>
        <v>18393.14</v>
      </c>
      <c r="G113" s="394">
        <f>[1]!s_stmnote_bank_1n($B113,G$108,1,100000000)</f>
        <v>22369.27</v>
      </c>
      <c r="H113" s="394">
        <f>[1]!s_stmnote_bank_1n($B113,H$108,1,100000000)</f>
        <v>25617.5</v>
      </c>
      <c r="I113" s="394">
        <f>[1]!s_stmnote_bank_1n($B113,I$108,1,100000000)</f>
        <v>29472.99</v>
      </c>
      <c r="J113" s="394">
        <f>[1]!s_stmnote_bank_1n($B113,J$108,1,100000000)</f>
        <v>32663.68</v>
      </c>
      <c r="K113" s="394">
        <f>[1]!s_stmnote_bank_1n($B113,K$108,1,100000000)</f>
        <v>34317.35</v>
      </c>
      <c r="L113" s="394">
        <f>[1]!s_stmnote_bank_1n($B113,L$108,1,100000000)</f>
        <v>37220.06</v>
      </c>
      <c r="M113" s="394">
        <f>[1]!s_stmnote_bank_1n($B113,M$108,1,100000000)</f>
        <v>41029.589999999997</v>
      </c>
      <c r="N113" s="394">
        <f>[1]!s_stmnote_bank_1n($B113,N$108,1,100000000)</f>
        <v>43701.47</v>
      </c>
    </row>
    <row r="114" spans="1:14" ht="15.75" thickBot="1">
      <c r="A114" s="382" t="s">
        <v>13</v>
      </c>
      <c r="B114" s="25" t="str">
        <f>[1]!to_tradecode(A114)</f>
        <v>600036</v>
      </c>
      <c r="C114" s="394">
        <f>[1]!s_stmnote_bank_1n($B114,C$108,1,100000000)</f>
        <v>5657.0228399999996</v>
      </c>
      <c r="D114" s="394">
        <f>[1]!s_stmnote_bank_1n($B114,D$108,1,100000000)</f>
        <v>6731.67</v>
      </c>
      <c r="E114" s="394">
        <f>[1]!s_stmnote_bank_1n($B114,E$108,1,100000000)</f>
        <v>8743.6200000000008</v>
      </c>
      <c r="F114" s="394">
        <f>[1]!s_stmnote_bank_1n($B114,F$108,1,100000000)</f>
        <v>11858.22</v>
      </c>
      <c r="G114" s="394">
        <f>[1]!s_stmnote_bank_1n($B114,G$108,1,100000000)</f>
        <v>14314.51</v>
      </c>
      <c r="H114" s="394">
        <f>[1]!s_stmnote_bank_1n($B114,H$108,1,100000000)</f>
        <v>16410.75</v>
      </c>
      <c r="I114" s="394">
        <f>[1]!s_stmnote_bank_1n($B114,I$108,1,100000000)</f>
        <v>19044.63</v>
      </c>
      <c r="J114" s="394">
        <f>[1]!s_stmnote_bank_1n($B114,J$108,1,100000000)</f>
        <v>21970.94</v>
      </c>
      <c r="K114" s="394">
        <f>[1]!s_stmnote_bank_1n($B114,K$108,1,100000000)</f>
        <v>25139.19</v>
      </c>
      <c r="L114" s="394">
        <f>[1]!s_stmnote_bank_1n($B114,L$108,1,100000000)</f>
        <v>28242.86</v>
      </c>
      <c r="M114" s="394">
        <f>[1]!s_stmnote_bank_1n($B114,M$108,1,100000000)</f>
        <v>32616.81</v>
      </c>
      <c r="N114" s="394">
        <f>[1]!s_stmnote_bank_1n($B114,N$108,1,100000000)</f>
        <v>35399.379999999997</v>
      </c>
    </row>
    <row r="115" spans="1:14" ht="15.75" thickBot="1">
      <c r="A115" s="382" t="s">
        <v>69</v>
      </c>
      <c r="B115" s="25" t="str">
        <f>[1]!to_tradecode(A115)</f>
        <v>601998</v>
      </c>
      <c r="C115" s="394">
        <f>[1]!s_stmnote_bank_1n($B115,C$108,1,100000000)</f>
        <v>4631.67</v>
      </c>
      <c r="D115" s="394">
        <f>[1]!s_stmnote_bank_1n($B115,D$108,1,100000000)</f>
        <v>5752.08</v>
      </c>
      <c r="E115" s="394">
        <f>[1]!s_stmnote_bank_1n($B115,E$108,1,100000000)</f>
        <v>6649.24</v>
      </c>
      <c r="F115" s="394">
        <f>[1]!s_stmnote_bank_1n($B115,F$108,1,100000000)</f>
        <v>10656.49</v>
      </c>
      <c r="G115" s="394">
        <f>[1]!s_stmnote_bank_1n($B115,G$108,1,100000000)</f>
        <v>12642.45</v>
      </c>
      <c r="H115" s="394">
        <f>[1]!s_stmnote_bank_1n($B115,H$108,1,100000000)</f>
        <v>14340.37</v>
      </c>
      <c r="I115" s="394">
        <f>[1]!s_stmnote_bank_1n($B115,I$108,1,100000000)</f>
        <v>16629.009999999998</v>
      </c>
      <c r="J115" s="394">
        <f>[1]!s_stmnote_bank_1n($B115,J$108,1,100000000)</f>
        <v>19411.75</v>
      </c>
      <c r="K115" s="394">
        <f>[1]!s_stmnote_bank_1n($B115,K$108,1,100000000)</f>
        <v>21879.08</v>
      </c>
      <c r="L115" s="394">
        <f>[1]!s_stmnote_bank_1n($B115,L$108,1,100000000)</f>
        <v>25287.8</v>
      </c>
      <c r="M115" s="394">
        <f>[1]!s_stmnote_bank_1n($B115,M$108,1,100000000)</f>
        <v>28779.27</v>
      </c>
      <c r="N115" s="394">
        <f>[1]!s_stmnote_bank_1n($B115,N$108,1,100000000)</f>
        <v>30910.95</v>
      </c>
    </row>
    <row r="116" spans="1:14" ht="15.75" thickBot="1">
      <c r="A116" s="382" t="s">
        <v>70</v>
      </c>
      <c r="B116" s="25" t="str">
        <f>[1]!to_tradecode(A116)</f>
        <v>600000</v>
      </c>
      <c r="C116" s="394">
        <f>[1]!s_stmnote_bank_1n($B116,C$108,1,100000000)</f>
        <v>4608.9300199999998</v>
      </c>
      <c r="D116" s="394">
        <f>[1]!s_stmnote_bank_1n($B116,D$108,1,100000000)</f>
        <v>5509.8837800000001</v>
      </c>
      <c r="E116" s="394">
        <f>[1]!s_stmnote_bank_1n($B116,E$108,1,100000000)</f>
        <v>6975.6467000000002</v>
      </c>
      <c r="F116" s="394">
        <f>[1]!s_stmnote_bank_1n($B116,F$108,1,100000000)</f>
        <v>9288.5475000000006</v>
      </c>
      <c r="G116" s="394">
        <f>[1]!s_stmnote_bank_1n($B116,G$108,1,100000000)</f>
        <v>11464.89301</v>
      </c>
      <c r="H116" s="394">
        <f>[1]!s_stmnote_bank_1n($B116,H$108,1,100000000)</f>
        <v>13314.36044</v>
      </c>
      <c r="I116" s="394">
        <f>[1]!s_stmnote_bank_1n($B116,I$108,1,100000000)</f>
        <v>15445.53</v>
      </c>
      <c r="J116" s="394">
        <f>[1]!s_stmnote_bank_1n($B116,J$108,1,100000000)</f>
        <v>17674.939999999999</v>
      </c>
      <c r="K116" s="394">
        <f>[1]!s_stmnote_bank_1n($B116,K$108,1,100000000)</f>
        <v>20283.8</v>
      </c>
      <c r="L116" s="394">
        <f>[1]!s_stmnote_bank_1n($B116,L$108,1,100000000)</f>
        <v>22455.18</v>
      </c>
      <c r="M116" s="394">
        <f>[1]!s_stmnote_bank_1n($B116,M$108,1,100000000)</f>
        <v>27628.06</v>
      </c>
      <c r="N116" s="394">
        <f>[1]!s_stmnote_bank_1n($B116,N$108,1,100000000)</f>
        <v>30274.86</v>
      </c>
    </row>
    <row r="117" spans="1:14" ht="15.75" thickBot="1">
      <c r="A117" s="382" t="s">
        <v>71</v>
      </c>
      <c r="B117" s="25" t="str">
        <f>[1]!to_tradecode(A117)</f>
        <v>600016</v>
      </c>
      <c r="C117" s="394">
        <f>[1]!s_stmnote_bank_1n($B117,C$108,1,100000000)</f>
        <v>4474.4724800000004</v>
      </c>
      <c r="D117" s="394">
        <f>[1]!s_stmnote_bank_1n($B117,D$108,1,100000000)</f>
        <v>5549.5852800000002</v>
      </c>
      <c r="E117" s="394">
        <f>[1]!s_stmnote_bank_1n($B117,E$108,1,100000000)</f>
        <v>6583.6</v>
      </c>
      <c r="F117" s="394">
        <f>[1]!s_stmnote_bank_1n($B117,F$108,1,100000000)</f>
        <v>8829.7900000000009</v>
      </c>
      <c r="G117" s="394">
        <f>[1]!s_stmnote_bank_1n($B117,G$108,1,100000000)</f>
        <v>10575.71</v>
      </c>
      <c r="H117" s="394">
        <f>[1]!s_stmnote_bank_1n($B117,H$108,1,100000000)</f>
        <v>12052.21</v>
      </c>
      <c r="I117" s="394">
        <f>[1]!s_stmnote_bank_1n($B117,I$108,1,100000000)</f>
        <v>13846.1</v>
      </c>
      <c r="J117" s="394">
        <f>[1]!s_stmnote_bank_1n($B117,J$108,1,100000000)</f>
        <v>15742.63</v>
      </c>
      <c r="K117" s="394">
        <f>[1]!s_stmnote_bank_1n($B117,K$108,1,100000000)</f>
        <v>18126.66</v>
      </c>
      <c r="L117" s="394">
        <f>[1]!s_stmnote_bank_1n($B117,L$108,1,100000000)</f>
        <v>20480.48</v>
      </c>
      <c r="M117" s="394">
        <f>[1]!s_stmnote_bank_1n($B117,M$108,1,100000000)</f>
        <v>24615.86</v>
      </c>
      <c r="N117" s="394">
        <f>[1]!s_stmnote_bank_1n($B117,N$108,1,100000000)</f>
        <v>27062.94</v>
      </c>
    </row>
    <row r="118" spans="1:14" ht="15.75" thickBot="1">
      <c r="A118" s="382" t="s">
        <v>72</v>
      </c>
      <c r="B118" s="25" t="str">
        <f>[1]!to_tradecode(A118)</f>
        <v>601166</v>
      </c>
      <c r="C118" s="394">
        <f>[1]!s_stmnote_bank_1n($B118,C$108,1,100000000)</f>
        <v>3245.1191899999999</v>
      </c>
      <c r="D118" s="394">
        <f>[1]!s_stmnote_bank_1n($B118,D$108,1,100000000)</f>
        <v>4001.4277699999998</v>
      </c>
      <c r="E118" s="394">
        <f>[1]!s_stmnote_bank_1n($B118,E$108,1,100000000)</f>
        <v>4993.8642900000004</v>
      </c>
      <c r="F118" s="394">
        <f>[1]!s_stmnote_bank_1n($B118,F$108,1,100000000)</f>
        <v>7015.9746100000002</v>
      </c>
      <c r="G118" s="394">
        <f>[1]!s_stmnote_bank_1n($B118,G$108,1,100000000)</f>
        <v>8543.39</v>
      </c>
      <c r="H118" s="394">
        <f>[1]!s_stmnote_bank_1n($B118,H$108,1,100000000)</f>
        <v>9832.5400000000009</v>
      </c>
      <c r="I118" s="394">
        <f>[1]!s_stmnote_bank_1n($B118,I$108,1,100000000)</f>
        <v>12291.65</v>
      </c>
      <c r="J118" s="394">
        <f>[1]!s_stmnote_bank_1n($B118,J$108,1,100000000)</f>
        <v>13570.57</v>
      </c>
      <c r="K118" s="394">
        <f>[1]!s_stmnote_bank_1n($B118,K$108,1,100000000)</f>
        <v>15931.48</v>
      </c>
      <c r="L118" s="394">
        <f>[1]!s_stmnote_bank_1n($B118,L$108,1,100000000)</f>
        <v>17794.080000000002</v>
      </c>
      <c r="M118" s="394">
        <f>[1]!s_stmnote_bank_1n($B118,M$108,1,100000000)</f>
        <v>20798.14</v>
      </c>
      <c r="N118" s="394">
        <f>[1]!s_stmnote_bank_1n($B118,N$108,1,100000000)</f>
        <v>22846.65</v>
      </c>
    </row>
    <row r="119" spans="1:14" ht="15.75" thickBot="1">
      <c r="A119" s="382" t="s">
        <v>73</v>
      </c>
      <c r="B119" s="25" t="str">
        <f>[1]!to_tradecode(A119)</f>
        <v>601818</v>
      </c>
      <c r="C119" s="394"/>
      <c r="D119" s="394"/>
      <c r="E119" s="394">
        <f>[1]!s_stmnote_bank_1n($B119,E$108,1,100000000)</f>
        <v>4684.87</v>
      </c>
      <c r="F119" s="394">
        <f>[1]!s_stmnote_bank_1n($B119,F$108,1,100000000)</f>
        <v>6489.69</v>
      </c>
      <c r="G119" s="394">
        <f>[1]!s_stmnote_bank_1n($B119,G$108,1,100000000)</f>
        <v>7788.2842000000001</v>
      </c>
      <c r="H119" s="394">
        <f>[1]!s_stmnote_bank_1n($B119,H$108,1,100000000)</f>
        <v>8903.65</v>
      </c>
      <c r="I119" s="394">
        <f>[1]!s_stmnote_bank_1n($B119,I$108,1,100000000)</f>
        <v>10231.870000000001</v>
      </c>
      <c r="J119" s="394">
        <f>[1]!s_stmnote_bank_1n($B119,J$108,1,100000000)</f>
        <v>11663.1</v>
      </c>
      <c r="K119" s="394">
        <f>[1]!s_stmnote_bank_1n($B119,K$108,1,100000000)</f>
        <v>12994.55</v>
      </c>
      <c r="L119" s="394">
        <f>[1]!s_stmnote_bank_1n($B119,L$108,1,100000000)</f>
        <v>15135.43</v>
      </c>
      <c r="M119" s="394">
        <f>[1]!s_stmnote_bank_1n($B119,M$108,1,100000000)</f>
        <v>17952.78</v>
      </c>
      <c r="N119" s="394">
        <f>[1]!s_stmnote_bank_1n($B119,N$108,1,100000000)</f>
        <v>19644.48</v>
      </c>
    </row>
    <row r="120" spans="1:14" ht="15.75" thickBot="1">
      <c r="A120" s="382" t="s">
        <v>74</v>
      </c>
      <c r="B120" s="25" t="str">
        <f>[1]!to_tradecode(A120)</f>
        <v>600015</v>
      </c>
      <c r="C120" s="394">
        <f>[1]!s_stmnote_bank_1n($B120,C$108,1,100000000)</f>
        <v>2597.6714499999998</v>
      </c>
      <c r="D120" s="394">
        <f>[1]!s_stmnote_bank_1n($B120,D$108,1,100000000)</f>
        <v>3060.7766999999999</v>
      </c>
      <c r="E120" s="394">
        <f>[1]!s_stmnote_bank_1n($B120,E$108,1,100000000)</f>
        <v>3554.7783800000002</v>
      </c>
      <c r="F120" s="394">
        <f>[1]!s_stmnote_bank_1n($B120,F$108,1,100000000)</f>
        <v>4302.2558399999998</v>
      </c>
      <c r="G120" s="394">
        <f>[1]!s_stmnote_bank_1n($B120,G$108,1,100000000)</f>
        <v>5279.3668118421001</v>
      </c>
      <c r="H120" s="394">
        <f>[1]!s_stmnote_bank_1n($B120,H$108,1,100000000)</f>
        <v>6114.6291717058994</v>
      </c>
      <c r="I120" s="394">
        <f>[1]!s_stmnote_bank_1n($B120,I$108,1,100000000)</f>
        <v>7201.6802403257998</v>
      </c>
      <c r="J120" s="394">
        <f>[1]!s_stmnote_bank_1n($B120,J$108,1,100000000)</f>
        <v>8231.69</v>
      </c>
      <c r="K120" s="394">
        <f>[1]!s_stmnote_bank_1n($B120,K$108,1,100000000)</f>
        <v>9399.89</v>
      </c>
      <c r="L120" s="394">
        <f>[1]!s_stmnote_bank_1n($B120,L$108,1,100000000)</f>
        <v>10691.72</v>
      </c>
      <c r="M120" s="394">
        <f>[1]!s_stmnote_bank_1n($B120,M$108,1,100000000)</f>
        <v>12166.54</v>
      </c>
      <c r="N120" s="394">
        <f>[1]!s_stmnote_bank_1n($B120,N$108,1,100000000)</f>
        <v>13095.53</v>
      </c>
    </row>
    <row r="121" spans="1:14" ht="15.75" thickBot="1">
      <c r="A121" s="382" t="s">
        <v>75</v>
      </c>
      <c r="B121" s="25" t="str">
        <f>[1]!to_tradecode(A121)</f>
        <v>000001</v>
      </c>
      <c r="C121" s="394">
        <f>[1]!s_stmnote_bank_1n($B121,C$108,1,100000000)</f>
        <v>1821.8194696099999</v>
      </c>
      <c r="D121" s="394">
        <f>[1]!s_stmnote_bank_1n($B121,D$108,1,100000000)</f>
        <v>2218.13598</v>
      </c>
      <c r="E121" s="394">
        <f>[1]!s_stmnote_bank_1n($B121,E$108,1,100000000)</f>
        <v>2837.4136600000002</v>
      </c>
      <c r="F121" s="394">
        <f>[1]!s_stmnote_bank_1n($B121,F$108,1,100000000)</f>
        <v>3595.1741299999999</v>
      </c>
      <c r="G121" s="394">
        <f>[1]!s_stmnote_bank_1n($B121,G$108,1,100000000)</f>
        <v>4073.9113499999999</v>
      </c>
      <c r="H121" s="394">
        <f>[1]!s_stmnote_bank_1n($B121,H$108,1,100000000)</f>
        <v>6206.4181699999999</v>
      </c>
      <c r="I121" s="394">
        <f>[1]!s_stmnote_bank_1n($B121,I$108,1,100000000)</f>
        <v>7207.8004799999999</v>
      </c>
      <c r="J121" s="394">
        <f>[1]!s_stmnote_bank_1n($B121,J$108,1,100000000)</f>
        <v>8472.89</v>
      </c>
      <c r="K121" s="394">
        <f>[1]!s_stmnote_bank_1n($B121,K$108,1,100000000)</f>
        <v>10247.34</v>
      </c>
      <c r="L121" s="394">
        <f>[1]!s_stmnote_bank_1n($B121,L$108,1,100000000)</f>
        <v>12161.38</v>
      </c>
      <c r="M121" s="394">
        <f>[1]!s_stmnote_bank_1n($B121,M$108,1,100000000)</f>
        <v>14758.01</v>
      </c>
      <c r="N121" s="394">
        <f>[1]!s_stmnote_bank_1n($B121,N$108,1,100000000)</f>
        <v>15942.81</v>
      </c>
    </row>
    <row r="122" spans="1:14" ht="15.75" thickBot="1">
      <c r="A122" s="382" t="s">
        <v>76</v>
      </c>
      <c r="B122" s="25" t="str">
        <f>[1]!to_tradecode(A122)</f>
        <v>601169</v>
      </c>
      <c r="C122" s="394">
        <f>[1]!s_stmnote_bank_1n($B122,C$108,1,100000000)</f>
        <v>1295.7731699999999</v>
      </c>
      <c r="D122" s="394">
        <f>[1]!s_stmnote_bank_1n($B122,D$108,1,100000000)</f>
        <v>1572.0810100000001</v>
      </c>
      <c r="E122" s="394">
        <f>[1]!s_stmnote_bank_1n($B122,E$108,1,100000000)</f>
        <v>1930.7370000000001</v>
      </c>
      <c r="F122" s="394">
        <f>[1]!s_stmnote_bank_1n($B122,F$108,1,100000000)</f>
        <v>2734.80942</v>
      </c>
      <c r="G122" s="394">
        <f>[1]!s_stmnote_bank_1n($B122,G$108,1,100000000)</f>
        <v>3347.31772</v>
      </c>
      <c r="H122" s="394">
        <f>[1]!s_stmnote_bank_1n($B122,H$108,1,100000000)</f>
        <v>4056.0951500000001</v>
      </c>
      <c r="I122" s="394">
        <f>[1]!s_stmnote_bank_1n($B122,I$108,1,100000000)</f>
        <v>4967.2023399999998</v>
      </c>
      <c r="J122" s="394">
        <f>[1]!s_stmnote_bank_1n($B122,J$108,1,100000000)</f>
        <v>5848.6183300000002</v>
      </c>
      <c r="K122" s="394">
        <f>[1]!s_stmnote_bank_1n($B122,K$108,1,100000000)</f>
        <v>6752.88</v>
      </c>
      <c r="L122" s="394">
        <f>[1]!s_stmnote_bank_1n($B122,L$108,1,100000000)</f>
        <v>7753.9</v>
      </c>
      <c r="M122" s="394">
        <f>[1]!s_stmnote_bank_1n($B122,M$108,1,100000000)</f>
        <v>8999.07</v>
      </c>
      <c r="N122" s="394">
        <f>[1]!s_stmnote_bank_1n($B122,N$108,1,100000000)</f>
        <v>10295.5</v>
      </c>
    </row>
    <row r="123" spans="1:14" ht="15.75" thickBot="1">
      <c r="A123" s="382" t="s">
        <v>77</v>
      </c>
      <c r="B123" s="25" t="str">
        <f>[1]!to_tradecode(A123)</f>
        <v>601009</v>
      </c>
      <c r="C123" s="394">
        <f>[1]!s_stmnote_bank_1n($B123,C$108,1,100000000)</f>
        <v>255.04997</v>
      </c>
      <c r="D123" s="394">
        <f>[1]!s_stmnote_bank_1n($B123,D$108,1,100000000)</f>
        <v>306.29237000000001</v>
      </c>
      <c r="E123" s="394">
        <f>[1]!s_stmnote_bank_1n($B123,E$108,1,100000000)</f>
        <v>401.79527000000002</v>
      </c>
      <c r="F123" s="394">
        <f>[1]!s_stmnote_bank_1n($B123,F$108,1,100000000)</f>
        <v>670.28048999999999</v>
      </c>
      <c r="G123" s="394">
        <f>[1]!s_stmnote_bank_1n($B123,G$108,1,100000000)</f>
        <v>838.91660000000002</v>
      </c>
      <c r="H123" s="394">
        <f>[1]!s_stmnote_bank_1n($B123,H$108,1,100000000)</f>
        <v>1028.0496900000001</v>
      </c>
      <c r="I123" s="394">
        <f>[1]!s_stmnote_bank_1n($B123,I$108,1,100000000)</f>
        <v>1252.6865499999999</v>
      </c>
      <c r="J123" s="394">
        <f>[1]!s_stmnote_bank_1n($B123,J$108,1,100000000)</f>
        <v>1469.614</v>
      </c>
      <c r="K123" s="394">
        <f>[1]!s_stmnote_bank_1n($B123,K$108,1,100000000)</f>
        <v>1746.8520599999999</v>
      </c>
      <c r="L123" s="394">
        <f>[1]!s_stmnote_bank_1n($B123,L$108,1,100000000)</f>
        <v>2511.9754899999998</v>
      </c>
      <c r="M123" s="394">
        <f>[1]!s_stmnote_bank_1n($B123,M$108,1,100000000)</f>
        <v>3317.8481499999998</v>
      </c>
      <c r="N123" s="394">
        <f>[1]!s_stmnote_bank_1n($B123,N$108,1,100000000)</f>
        <v>3685.21729</v>
      </c>
    </row>
    <row r="124" spans="1:14">
      <c r="A124" s="382" t="s">
        <v>78</v>
      </c>
      <c r="B124" s="25" t="str">
        <f>[1]!to_tradecode(A124)</f>
        <v>002142</v>
      </c>
      <c r="C124" s="394">
        <f>[1]!s_stmnote_bank_1n($B124,C$108,1,100000000)</f>
        <v>281.34899000000001</v>
      </c>
      <c r="D124" s="394">
        <f>[1]!s_stmnote_bank_1n($B124,D$108,1,100000000)</f>
        <v>365.02456276610002</v>
      </c>
      <c r="E124" s="394">
        <f>[1]!s_stmnote_bank_1n($B124,E$108,1,100000000)</f>
        <v>491.55965919210001</v>
      </c>
      <c r="F124" s="394">
        <f>[1]!s_stmnote_bank_1n($B124,F$108,1,100000000)</f>
        <v>818.63849000000005</v>
      </c>
      <c r="G124" s="394">
        <f>[1]!s_stmnote_bank_1n($B124,G$108,1,100000000)</f>
        <v>1015.74407</v>
      </c>
      <c r="H124" s="394">
        <f>[1]!s_stmnote_bank_1n($B124,H$108,1,100000000)</f>
        <v>1227.4511</v>
      </c>
      <c r="I124" s="394">
        <f>[1]!s_stmnote_bank_1n($B124,I$108,1,100000000)</f>
        <v>1456.17543</v>
      </c>
      <c r="J124" s="394">
        <f>[1]!s_stmnote_bank_1n($B124,J$108,1,100000000)</f>
        <v>1711.8966600000001</v>
      </c>
      <c r="K124" s="394">
        <f>[1]!s_stmnote_bank_1n($B124,K$108,1,100000000)</f>
        <v>2100.6218199999998</v>
      </c>
      <c r="L124" s="394">
        <f>[1]!s_stmnote_bank_1n($B124,L$108,1,100000000)</f>
        <v>2556.8858</v>
      </c>
      <c r="M124" s="394">
        <f>[1]!s_stmnote_bank_1n($B124,M$108,1,100000000)</f>
        <v>3025.0667800000001</v>
      </c>
      <c r="N124" s="394">
        <f>[1]!s_stmnote_bank_1n($B124,N$108,1,100000000)</f>
        <v>3256.9820800000002</v>
      </c>
    </row>
    <row r="126" spans="1:14" thickBot="1">
      <c r="A126" s="24" t="s">
        <v>345</v>
      </c>
      <c r="B126" s="268">
        <v>2006</v>
      </c>
      <c r="C126" s="268">
        <v>2007</v>
      </c>
      <c r="D126" s="268">
        <v>2008</v>
      </c>
      <c r="E126" s="268">
        <v>2009</v>
      </c>
      <c r="F126" s="268">
        <v>2010</v>
      </c>
      <c r="G126" s="268">
        <v>2011</v>
      </c>
      <c r="H126" s="268">
        <v>2012</v>
      </c>
      <c r="I126" s="268">
        <v>2013</v>
      </c>
      <c r="J126" s="268">
        <v>2014</v>
      </c>
      <c r="K126" s="268">
        <v>2015</v>
      </c>
      <c r="L126" s="268">
        <v>2016</v>
      </c>
      <c r="M126" s="268" t="s">
        <v>60</v>
      </c>
    </row>
    <row r="127" spans="1:14" ht="15.75" thickTop="1">
      <c r="A127" s="24" t="s">
        <v>339</v>
      </c>
      <c r="B127" s="394">
        <f>SUM(C109:C113)</f>
        <v>98338.53</v>
      </c>
      <c r="C127" s="394">
        <f t="shared" ref="C127:M127" si="4">SUM(D109:D113)</f>
        <v>113004.07</v>
      </c>
      <c r="D127" s="394">
        <f t="shared" si="4"/>
        <v>129906.72999999998</v>
      </c>
      <c r="E127" s="394">
        <f t="shared" si="4"/>
        <v>214362.58000000002</v>
      </c>
      <c r="F127" s="394">
        <f t="shared" si="4"/>
        <v>253139.22999999998</v>
      </c>
      <c r="G127" s="394">
        <f t="shared" si="4"/>
        <v>288185.77</v>
      </c>
      <c r="H127" s="394">
        <f t="shared" si="4"/>
        <v>325613.98</v>
      </c>
      <c r="I127" s="394">
        <f t="shared" si="4"/>
        <v>366113.02999999997</v>
      </c>
      <c r="J127" s="394">
        <f t="shared" si="4"/>
        <v>405139.30999999994</v>
      </c>
      <c r="K127" s="394">
        <f t="shared" si="4"/>
        <v>441863.89999999997</v>
      </c>
      <c r="L127" s="394">
        <f t="shared" si="4"/>
        <v>486098.38</v>
      </c>
      <c r="M127" s="394">
        <f t="shared" si="4"/>
        <v>518056.98</v>
      </c>
    </row>
    <row r="128" spans="1:14">
      <c r="A128" s="24" t="s">
        <v>340</v>
      </c>
      <c r="B128" s="394">
        <f>SUM(C114:C121)</f>
        <v>27036.705449609999</v>
      </c>
      <c r="C128" s="394">
        <f t="shared" ref="C128:M128" si="5">SUM(D114:D121)</f>
        <v>32823.559509999999</v>
      </c>
      <c r="D128" s="394">
        <f t="shared" si="5"/>
        <v>45023.033030000006</v>
      </c>
      <c r="E128" s="394">
        <f t="shared" si="5"/>
        <v>62036.142079999998</v>
      </c>
      <c r="F128" s="394">
        <f t="shared" si="5"/>
        <v>74682.515371842092</v>
      </c>
      <c r="G128" s="394">
        <f t="shared" si="5"/>
        <v>87174.927781705905</v>
      </c>
      <c r="H128" s="394">
        <f t="shared" si="5"/>
        <v>101898.2707203258</v>
      </c>
      <c r="I128" s="394">
        <f t="shared" si="5"/>
        <v>116738.51000000002</v>
      </c>
      <c r="J128" s="394">
        <f t="shared" si="5"/>
        <v>134001.99000000002</v>
      </c>
      <c r="K128" s="394">
        <f t="shared" si="5"/>
        <v>152248.93</v>
      </c>
      <c r="L128" s="394">
        <f t="shared" si="5"/>
        <v>179315.47000000003</v>
      </c>
      <c r="M128" s="394">
        <f t="shared" si="5"/>
        <v>195177.60000000001</v>
      </c>
    </row>
    <row r="129" spans="1:13">
      <c r="A129" s="24" t="s">
        <v>341</v>
      </c>
      <c r="B129" s="394">
        <f>SUM(C122:C124)</f>
        <v>1832.1721299999999</v>
      </c>
      <c r="C129" s="394">
        <f t="shared" ref="C129:M129" si="6">SUM(D122:D124)</f>
        <v>2243.3979427661002</v>
      </c>
      <c r="D129" s="394">
        <f t="shared" si="6"/>
        <v>2824.0919291921</v>
      </c>
      <c r="E129" s="394">
        <f t="shared" si="6"/>
        <v>4223.7284</v>
      </c>
      <c r="F129" s="394">
        <f t="shared" si="6"/>
        <v>5201.9783899999993</v>
      </c>
      <c r="G129" s="394">
        <f t="shared" si="6"/>
        <v>6311.5959400000002</v>
      </c>
      <c r="H129" s="394">
        <f t="shared" si="6"/>
        <v>7676.0643200000004</v>
      </c>
      <c r="I129" s="394">
        <f t="shared" si="6"/>
        <v>9030.1289900000011</v>
      </c>
      <c r="J129" s="394">
        <f t="shared" si="6"/>
        <v>10600.353880000001</v>
      </c>
      <c r="K129" s="394">
        <f t="shared" si="6"/>
        <v>12822.761289999999</v>
      </c>
      <c r="L129" s="394">
        <f t="shared" si="6"/>
        <v>15341.984929999999</v>
      </c>
      <c r="M129" s="394">
        <f t="shared" si="6"/>
        <v>17237.699370000002</v>
      </c>
    </row>
    <row r="130" spans="1:13">
      <c r="A130" s="24" t="s">
        <v>346</v>
      </c>
      <c r="B130" s="394">
        <f>SUM(C109:C124)</f>
        <v>127207.40757960998</v>
      </c>
      <c r="C130" s="394">
        <f t="shared" ref="C130:M130" si="7">SUM(D109:D124)</f>
        <v>148071.02745276611</v>
      </c>
      <c r="D130" s="394">
        <f t="shared" si="7"/>
        <v>177753.85495919207</v>
      </c>
      <c r="E130" s="394">
        <f t="shared" si="7"/>
        <v>280622.45048</v>
      </c>
      <c r="F130" s="394">
        <f t="shared" si="7"/>
        <v>333023.72376184212</v>
      </c>
      <c r="G130" s="394">
        <f t="shared" si="7"/>
        <v>381672.29372170602</v>
      </c>
      <c r="H130" s="394">
        <f t="shared" si="7"/>
        <v>435188.3150403258</v>
      </c>
      <c r="I130" s="394">
        <f t="shared" si="7"/>
        <v>491881.66899000003</v>
      </c>
      <c r="J130" s="394">
        <f t="shared" si="7"/>
        <v>549741.65387999977</v>
      </c>
      <c r="K130" s="394">
        <f t="shared" si="7"/>
        <v>606935.59129000001</v>
      </c>
      <c r="L130" s="394">
        <f t="shared" si="7"/>
        <v>680755.83493000001</v>
      </c>
      <c r="M130" s="394">
        <f t="shared" si="7"/>
        <v>730472.27936999989</v>
      </c>
    </row>
    <row r="132" spans="1:13" thickBot="1">
      <c r="A132" s="24" t="s">
        <v>343</v>
      </c>
      <c r="B132" s="268">
        <v>2007</v>
      </c>
      <c r="C132" s="268">
        <v>2008</v>
      </c>
      <c r="D132" s="268">
        <v>2009</v>
      </c>
      <c r="E132" s="268">
        <v>2010</v>
      </c>
      <c r="F132" s="268">
        <v>2011</v>
      </c>
      <c r="G132" s="268">
        <v>2012</v>
      </c>
      <c r="H132" s="268">
        <v>2013</v>
      </c>
      <c r="I132" s="268">
        <v>2014</v>
      </c>
      <c r="J132" s="268">
        <v>2015</v>
      </c>
      <c r="K132" s="268">
        <v>2016</v>
      </c>
      <c r="L132" s="268" t="s">
        <v>60</v>
      </c>
    </row>
    <row r="133" spans="1:13" ht="15.75" thickTop="1">
      <c r="A133" s="24" t="s">
        <v>339</v>
      </c>
      <c r="B133" s="385">
        <f>B103/B127</f>
        <v>-1.1650133472607337E-3</v>
      </c>
      <c r="C133" s="385">
        <f t="shared" ref="C133:L133" si="8">C103/C127</f>
        <v>2.5957912843316165E-3</v>
      </c>
      <c r="D133" s="385">
        <f t="shared" si="8"/>
        <v>-7.1265961355504925E-4</v>
      </c>
      <c r="E133" s="385">
        <f t="shared" si="8"/>
        <v>-1.3430982217138827E-3</v>
      </c>
      <c r="F133" s="385">
        <f t="shared" si="8"/>
        <v>1.5469747616756236E-4</v>
      </c>
      <c r="G133" s="385">
        <f t="shared" si="8"/>
        <v>1.2770581975647163E-3</v>
      </c>
      <c r="H133" s="385">
        <f t="shared" si="8"/>
        <v>3.425160062230744E-3</v>
      </c>
      <c r="I133" s="385">
        <f t="shared" si="8"/>
        <v>7.5846522042659894E-3</v>
      </c>
      <c r="J133" s="385">
        <f t="shared" si="8"/>
        <v>1.2225819311386991E-2</v>
      </c>
      <c r="K133" s="385">
        <f t="shared" si="8"/>
        <v>8.7736291649985459E-3</v>
      </c>
      <c r="L133" s="385">
        <f t="shared" si="8"/>
        <v>3.1991466418793647E-3</v>
      </c>
    </row>
    <row r="134" spans="1:13">
      <c r="A134" s="24" t="s">
        <v>340</v>
      </c>
      <c r="B134" s="385">
        <f t="shared" ref="B134:L136" si="9">B104/B128</f>
        <v>1.1015644615582998E-3</v>
      </c>
      <c r="C134" s="385">
        <f t="shared" si="9"/>
        <v>2.7337989503165251E-3</v>
      </c>
      <c r="D134" s="385">
        <f t="shared" si="9"/>
        <v>1.2870855076864201E-3</v>
      </c>
      <c r="E134" s="385">
        <f t="shared" si="9"/>
        <v>4.0355588610290326E-3</v>
      </c>
      <c r="F134" s="385">
        <f t="shared" si="9"/>
        <v>-2.8578753532513151E-3</v>
      </c>
      <c r="G134" s="385">
        <f t="shared" si="9"/>
        <v>3.3523687077986722E-3</v>
      </c>
      <c r="H134" s="385">
        <f t="shared" si="9"/>
        <v>6.8462344362517696E-3</v>
      </c>
      <c r="I134" s="385">
        <f t="shared" si="9"/>
        <v>1.1718326711553879E-2</v>
      </c>
      <c r="J134" s="385">
        <f t="shared" si="9"/>
        <v>1.8614201177161619E-2</v>
      </c>
      <c r="K134" s="385">
        <f t="shared" si="9"/>
        <v>1.9718693589505031E-2</v>
      </c>
      <c r="L134" s="385">
        <f t="shared" si="9"/>
        <v>6.4635248704420197E-3</v>
      </c>
    </row>
    <row r="135" spans="1:13">
      <c r="A135" s="24" t="s">
        <v>341</v>
      </c>
      <c r="B135" s="385">
        <f t="shared" si="9"/>
        <v>1.0690212824053819E-2</v>
      </c>
      <c r="C135" s="385">
        <f t="shared" si="9"/>
        <v>3.150527558675268E-2</v>
      </c>
      <c r="D135" s="385">
        <f t="shared" si="9"/>
        <v>-2.191464796094823E-2</v>
      </c>
      <c r="E135" s="385">
        <f t="shared" si="9"/>
        <v>3.2509062372476409E-2</v>
      </c>
      <c r="F135" s="385">
        <f t="shared" si="9"/>
        <v>-2.6961218442316529E-2</v>
      </c>
      <c r="G135" s="385">
        <f t="shared" si="9"/>
        <v>2.5419893262368753E-3</v>
      </c>
      <c r="H135" s="385">
        <f t="shared" si="9"/>
        <v>3.4557691400376386E-3</v>
      </c>
      <c r="I135" s="385">
        <f t="shared" si="9"/>
        <v>5.3432758328737879E-3</v>
      </c>
      <c r="J135" s="385">
        <f t="shared" si="9"/>
        <v>8.5519229854239542E-3</v>
      </c>
      <c r="K135" s="385">
        <f t="shared" si="9"/>
        <v>1.032673361105672E-2</v>
      </c>
      <c r="L135" s="385">
        <f t="shared" si="9"/>
        <v>4.6235158177801716E-3</v>
      </c>
    </row>
    <row r="136" spans="1:13">
      <c r="A136" s="24" t="s">
        <v>346</v>
      </c>
      <c r="B136" s="385">
        <f t="shared" si="9"/>
        <v>-5.1252295255123533E-4</v>
      </c>
      <c r="C136" s="385">
        <f t="shared" si="9"/>
        <v>3.0643865364980518E-3</v>
      </c>
      <c r="D136" s="385">
        <f t="shared" si="9"/>
        <v>-5.4299675883124265E-4</v>
      </c>
      <c r="E136" s="385">
        <f t="shared" si="9"/>
        <v>3.5545963163096701E-4</v>
      </c>
      <c r="F136" s="385">
        <f t="shared" si="9"/>
        <v>-9.4445222145773814E-4</v>
      </c>
      <c r="G136" s="385">
        <f t="shared" si="9"/>
        <v>1.7719821968637103E-3</v>
      </c>
      <c r="H136" s="385">
        <f t="shared" si="9"/>
        <v>4.2267360878555614E-3</v>
      </c>
      <c r="I136" s="385">
        <f t="shared" si="9"/>
        <v>8.5245511966522275E-3</v>
      </c>
      <c r="J136" s="385">
        <f t="shared" si="9"/>
        <v>1.3712174358258587E-2</v>
      </c>
      <c r="K136" s="385">
        <f t="shared" si="9"/>
        <v>1.1551995533987265E-2</v>
      </c>
      <c r="L136" s="385">
        <f t="shared" si="9"/>
        <v>4.0911054552861485E-3</v>
      </c>
    </row>
    <row r="139" spans="1:13" ht="14.25">
      <c r="A139" s="24" t="s">
        <v>348</v>
      </c>
      <c r="B139" s="7">
        <v>2007</v>
      </c>
      <c r="C139" s="7">
        <v>2008</v>
      </c>
      <c r="D139" s="7">
        <v>2009</v>
      </c>
      <c r="E139" s="7">
        <v>2010</v>
      </c>
      <c r="F139" s="7">
        <v>2011</v>
      </c>
      <c r="G139" s="7">
        <v>2012</v>
      </c>
      <c r="H139" s="7">
        <v>2013</v>
      </c>
      <c r="I139" s="7">
        <v>2014</v>
      </c>
      <c r="J139" s="7">
        <v>2015</v>
      </c>
      <c r="K139" s="7">
        <v>2016</v>
      </c>
      <c r="L139" s="37" t="s">
        <v>6</v>
      </c>
    </row>
    <row r="140" spans="1:13" ht="15.75" thickBot="1">
      <c r="A140" s="383" t="s">
        <v>12</v>
      </c>
      <c r="B140" s="25">
        <f>工商银行!B22</f>
        <v>-131.37</v>
      </c>
      <c r="C140" s="25">
        <f>工商银行!C22</f>
        <v>-149.07</v>
      </c>
      <c r="D140" s="25">
        <f>工商银行!D22</f>
        <v>-121.08</v>
      </c>
      <c r="E140" s="25">
        <f>工商银行!E22</f>
        <v>-69.040000000000006</v>
      </c>
      <c r="F140" s="25">
        <f>工商银行!F22</f>
        <v>-45.46</v>
      </c>
      <c r="G140" s="25">
        <f>工商银行!G22</f>
        <v>-75.28</v>
      </c>
      <c r="H140" s="25">
        <f>工商银行!H22</f>
        <v>-165</v>
      </c>
      <c r="I140" s="25">
        <f>工商银行!I22</f>
        <v>-383.64</v>
      </c>
      <c r="J140" s="25">
        <f>工商银行!J22</f>
        <v>-602.96</v>
      </c>
      <c r="K140" s="25">
        <f>工商银行!K22</f>
        <v>-741.44</v>
      </c>
      <c r="L140" s="25">
        <f>工商银行!L22</f>
        <v>-333.42</v>
      </c>
    </row>
    <row r="141" spans="1:13">
      <c r="A141" s="382" t="s">
        <v>65</v>
      </c>
      <c r="B141" s="25">
        <f>建设银行!B22</f>
        <v>-69.66</v>
      </c>
      <c r="C141" s="25">
        <f>建设银行!C22</f>
        <v>-134.24</v>
      </c>
      <c r="D141" s="25">
        <f>建设银行!D22</f>
        <v>-72.820000000000007</v>
      </c>
      <c r="E141" s="25">
        <f>建设银行!E22</f>
        <v>-96.78</v>
      </c>
      <c r="F141" s="25">
        <f>建设银行!F22</f>
        <v>-41.23</v>
      </c>
      <c r="G141" s="25">
        <f>建设银行!G22</f>
        <v>-68.900000000000006</v>
      </c>
      <c r="H141" s="25">
        <f>建设银行!H22</f>
        <v>-167.29000000000002</v>
      </c>
      <c r="I141" s="25">
        <f>建设银行!I22</f>
        <v>-356.61</v>
      </c>
      <c r="J141" s="25">
        <f>建设银行!J22</f>
        <v>-924.36</v>
      </c>
      <c r="K141" s="25">
        <f>建设银行!K22</f>
        <v>-717.93000000000006</v>
      </c>
      <c r="L141" s="25">
        <f>建设银行!L22</f>
        <v>-271.33999999999997</v>
      </c>
    </row>
    <row r="142" spans="1:13" ht="15.75" thickBot="1">
      <c r="A142" s="383" t="s">
        <v>66</v>
      </c>
      <c r="E142" s="25">
        <f>农业银行!B22</f>
        <v>-3.5500000000000003</v>
      </c>
      <c r="F142" s="25">
        <f>农业银行!C22</f>
        <v>-2.83</v>
      </c>
      <c r="G142" s="25">
        <f>农业银行!D22</f>
        <v>-40.090000000000003</v>
      </c>
      <c r="H142" s="25">
        <f>农业银行!E22</f>
        <v>-97.84</v>
      </c>
      <c r="I142" s="25">
        <f>农业银行!F22</f>
        <v>-292.22000000000003</v>
      </c>
      <c r="J142" s="25">
        <f>农业银行!G22</f>
        <v>-413.29</v>
      </c>
      <c r="K142" s="25">
        <f>农业银行!H22</f>
        <v>-827.46</v>
      </c>
      <c r="L142" s="25">
        <f>农业银行!I22</f>
        <v>-283.2</v>
      </c>
      <c r="M142" s="25"/>
    </row>
    <row r="143" spans="1:13" ht="15.75" thickBot="1">
      <c r="A143" s="382" t="s">
        <v>67</v>
      </c>
      <c r="B143" s="25">
        <f>中国银行!B22</f>
        <v>-67.98</v>
      </c>
      <c r="C143" s="25">
        <f>中国银行!C22</f>
        <v>-55.75</v>
      </c>
      <c r="D143" s="25">
        <f>中国银行!D22</f>
        <v>-90.38</v>
      </c>
      <c r="E143" s="25">
        <f>中国银行!E22</f>
        <v>-55.17</v>
      </c>
      <c r="F143" s="25">
        <f>中国银行!F22</f>
        <v>-18.09</v>
      </c>
      <c r="G143" s="25">
        <f>中国银行!G22</f>
        <v>-42.09</v>
      </c>
      <c r="H143" s="25">
        <f>中国银行!H22</f>
        <v>-90.96</v>
      </c>
      <c r="I143" s="25">
        <f>中国银行!I22</f>
        <v>-257.31</v>
      </c>
      <c r="J143" s="25">
        <f>中国银行!J22</f>
        <v>-451.97</v>
      </c>
      <c r="K143" s="25">
        <f>中国银行!K22</f>
        <v>-524.76</v>
      </c>
      <c r="L143" s="25">
        <f>中国银行!L22</f>
        <v>-403.92</v>
      </c>
      <c r="M143" s="25"/>
    </row>
    <row r="144" spans="1:13" ht="15.75" thickBot="1">
      <c r="A144" s="382" t="s">
        <v>68</v>
      </c>
      <c r="B144" s="25">
        <f>交通银行!B22</f>
        <v>-16.53</v>
      </c>
      <c r="C144" s="25">
        <f>交通银行!C22</f>
        <v>-24.52</v>
      </c>
      <c r="D144" s="25">
        <f>交通银行!D22</f>
        <v>-33.269999999999996</v>
      </c>
      <c r="E144" s="25">
        <f>交通银行!E22</f>
        <v>-35.300000000000004</v>
      </c>
      <c r="F144" s="25">
        <f>交通银行!F22</f>
        <v>-24.27</v>
      </c>
      <c r="G144" s="25">
        <f>交通银行!G22</f>
        <v>-32.269999999999996</v>
      </c>
      <c r="H144" s="25">
        <f>交通银行!H22</f>
        <v>-125.88</v>
      </c>
      <c r="I144" s="25">
        <f>交通银行!I22</f>
        <v>-168.72000000000003</v>
      </c>
      <c r="J144" s="25">
        <f>交通银行!J22</f>
        <v>-167.39000000000001</v>
      </c>
      <c r="K144" s="25">
        <f>交通银行!K22</f>
        <v>-222.56</v>
      </c>
      <c r="L144" s="25">
        <f>交通银行!L22</f>
        <v>-88.17</v>
      </c>
      <c r="M144" s="25"/>
    </row>
    <row r="145" spans="1:13" ht="15.75" thickBot="1">
      <c r="A145" s="382" t="s">
        <v>13</v>
      </c>
      <c r="B145" s="25">
        <f>招商银行!B22</f>
        <v>-2.9000000000000004</v>
      </c>
      <c r="C145" s="25">
        <f>招商银行!C22</f>
        <v>-7.55</v>
      </c>
      <c r="D145" s="25">
        <f>招商银行!D22</f>
        <v>-7.26</v>
      </c>
      <c r="E145" s="25">
        <f>招商银行!E22</f>
        <v>-1.18</v>
      </c>
      <c r="F145" s="25">
        <f>招商银行!F22</f>
        <v>-5.83</v>
      </c>
      <c r="G145" s="25">
        <f>招商银行!G22</f>
        <v>-8.7799999999999994</v>
      </c>
      <c r="H145" s="25">
        <f>招商银行!H22</f>
        <v>-21.419999999999998</v>
      </c>
      <c r="I145" s="25">
        <f>招商银行!I22</f>
        <v>-149.16999999999999</v>
      </c>
      <c r="J145" s="25">
        <f>招商银行!J22</f>
        <v>-383.83</v>
      </c>
      <c r="K145" s="25">
        <f>招商银行!K22</f>
        <v>-416.42</v>
      </c>
      <c r="L145" s="25">
        <f>招商银行!L22</f>
        <v>-98.13</v>
      </c>
      <c r="M145" s="25"/>
    </row>
    <row r="146" spans="1:13" ht="15.75" thickBot="1">
      <c r="A146" s="382" t="s">
        <v>69</v>
      </c>
      <c r="B146" s="25">
        <f>中信银行!B22</f>
        <v>-31.169999999999998</v>
      </c>
      <c r="C146" s="25">
        <f>中信银行!C22</f>
        <v>-10.030000000000001</v>
      </c>
      <c r="D146" s="25">
        <f>中信银行!D22</f>
        <v>-13.28</v>
      </c>
      <c r="E146" s="25">
        <f>中信银行!E22</f>
        <v>-11.98</v>
      </c>
      <c r="F146" s="25">
        <f>中信银行!F22</f>
        <v>-7.2</v>
      </c>
      <c r="G146" s="25">
        <f>中信银行!G22</f>
        <v>-7.96</v>
      </c>
      <c r="H146" s="25">
        <f>中信银行!H22</f>
        <v>-53.47</v>
      </c>
      <c r="I146" s="25">
        <f>中信银行!I22</f>
        <v>-116.08</v>
      </c>
      <c r="J146" s="25">
        <f>中信银行!J22</f>
        <v>-262.07</v>
      </c>
      <c r="K146" s="25">
        <f>中信银行!K22</f>
        <v>-306.77</v>
      </c>
      <c r="L146" s="25">
        <f>中信银行!L22</f>
        <v>-191.14000000000001</v>
      </c>
      <c r="M146" s="25"/>
    </row>
    <row r="147" spans="1:13" ht="15.75" thickBot="1">
      <c r="A147" s="382" t="s">
        <v>70</v>
      </c>
      <c r="B147" s="381">
        <f>浦发银行!B22</f>
        <v>-8.0502400000000005</v>
      </c>
      <c r="C147" s="381">
        <f>浦发银行!C22</f>
        <v>-23.348420000000001</v>
      </c>
      <c r="D147" s="381">
        <f>浦发银行!D22</f>
        <v>-8.1898499999999999</v>
      </c>
      <c r="E147" s="381">
        <f>浦发银行!E22</f>
        <v>-4.1972899999999997</v>
      </c>
      <c r="F147" s="381">
        <f>浦发银行!F22</f>
        <v>-5.0870700000000006</v>
      </c>
      <c r="G147" s="381">
        <f>浦发银行!G22</f>
        <v>-10.07</v>
      </c>
      <c r="H147" s="381">
        <f>浦发银行!H22</f>
        <v>-44.37</v>
      </c>
      <c r="I147" s="381">
        <f>浦发银行!I22</f>
        <v>-96.26</v>
      </c>
      <c r="J147" s="381">
        <f>浦发银行!J22</f>
        <v>-164.76</v>
      </c>
      <c r="K147" s="381">
        <f>浦发银行!K22</f>
        <v>-332.39</v>
      </c>
      <c r="L147" s="381">
        <f>浦发银行!L22</f>
        <v>-177.01</v>
      </c>
      <c r="M147" s="381"/>
    </row>
    <row r="148" spans="1:13" ht="15.75" thickBot="1">
      <c r="A148" s="382" t="s">
        <v>71</v>
      </c>
      <c r="B148" s="381">
        <f>民生银行!B22</f>
        <v>-8.2774100000000015</v>
      </c>
      <c r="C148" s="381">
        <f>民生银行!C22</f>
        <v>-13.4</v>
      </c>
      <c r="D148" s="381">
        <f>民生银行!D22</f>
        <v>-13.450000000000001</v>
      </c>
      <c r="E148" s="381">
        <f>民生银行!E22</f>
        <v>-7.73</v>
      </c>
      <c r="F148" s="381">
        <f>民生银行!F22</f>
        <v>-8.6300000000000008</v>
      </c>
      <c r="G148" s="381">
        <f>民生银行!G22</f>
        <v>-22.83</v>
      </c>
      <c r="H148" s="381">
        <f>民生银行!H22</f>
        <v>-113.52000000000001</v>
      </c>
      <c r="I148" s="381">
        <f>民生银行!I22</f>
        <v>-171.75</v>
      </c>
      <c r="J148" s="381">
        <f>民生银行!J22</f>
        <v>-213.2</v>
      </c>
      <c r="K148" s="381">
        <f>民生银行!K22</f>
        <v>-282.10000000000002</v>
      </c>
      <c r="L148" s="381">
        <f>民生银行!L22</f>
        <v>-111.61</v>
      </c>
      <c r="M148" s="381"/>
    </row>
    <row r="149" spans="1:13" ht="15.75" thickBot="1">
      <c r="A149" s="382" t="s">
        <v>72</v>
      </c>
      <c r="B149" s="381">
        <f>兴业银行!B24</f>
        <v>-6.1806200000000002</v>
      </c>
      <c r="C149" s="381">
        <f>兴业银行!C24</f>
        <v>-8.6000300000000003</v>
      </c>
      <c r="D149" s="381">
        <f>兴业银行!D24</f>
        <v>-2.9786000000000001</v>
      </c>
      <c r="E149" s="381">
        <f>兴业银行!E24</f>
        <v>-0.71</v>
      </c>
      <c r="F149" s="381">
        <f>兴业银行!F24</f>
        <v>-0.91</v>
      </c>
      <c r="G149" s="381">
        <f>兴业银行!G24</f>
        <v>-13.14</v>
      </c>
      <c r="H149" s="381">
        <f>兴业银行!H24</f>
        <v>-43.91</v>
      </c>
      <c r="I149" s="381">
        <f>兴业银行!I24</f>
        <v>-117.16</v>
      </c>
      <c r="J149" s="381">
        <f>兴业银行!J24</f>
        <v>-260.27999999999997</v>
      </c>
      <c r="K149" s="381">
        <f>兴业银行!K24</f>
        <v>-288.47000000000003</v>
      </c>
      <c r="L149" s="381">
        <f>兴业银行!L24</f>
        <v>-22.37</v>
      </c>
      <c r="M149" s="381"/>
    </row>
    <row r="150" spans="1:13" ht="15.75" thickBot="1">
      <c r="A150" s="382" t="s">
        <v>73</v>
      </c>
      <c r="D150" s="25">
        <f>光大银行!B22</f>
        <v>-0.31</v>
      </c>
      <c r="E150" s="25">
        <f>光大银行!C22</f>
        <v>-8.2100000000000009</v>
      </c>
      <c r="F150" s="25">
        <f>光大银行!D22</f>
        <v>-7.49</v>
      </c>
      <c r="G150" s="25">
        <f>光大银行!E22</f>
        <v>-9.09</v>
      </c>
      <c r="H150" s="25">
        <f>光大银行!F22</f>
        <v>-58.6</v>
      </c>
      <c r="I150" s="25">
        <f>光大银行!G22</f>
        <v>-59</v>
      </c>
      <c r="J150" s="25">
        <f>光大银行!H22</f>
        <v>-91.62</v>
      </c>
      <c r="K150" s="25">
        <f>光大银行!I22</f>
        <v>-164.67</v>
      </c>
      <c r="L150" s="25">
        <f>光大银行!J22</f>
        <v>-56.57</v>
      </c>
    </row>
    <row r="151" spans="1:13" ht="15.75" thickBot="1">
      <c r="A151" s="382" t="s">
        <v>74</v>
      </c>
      <c r="B151" s="310">
        <f>华夏银行!B22</f>
        <v>-15.367990000000001</v>
      </c>
      <c r="C151" s="310">
        <f>华夏银行!C22</f>
        <v>-20.574660000000002</v>
      </c>
      <c r="D151" s="310">
        <f>华夏银行!D22</f>
        <v>-21.84591</v>
      </c>
      <c r="E151" s="310">
        <f>华夏银行!E22</f>
        <v>-17.698909999999998</v>
      </c>
      <c r="F151" s="310">
        <f>华夏银行!F22</f>
        <v>-6.5807700000000002</v>
      </c>
      <c r="G151" s="310">
        <f>华夏银行!G22</f>
        <v>-7.01</v>
      </c>
      <c r="H151" s="310">
        <f>华夏银行!H22</f>
        <v>-16.399999999999999</v>
      </c>
      <c r="I151" s="310">
        <f>华夏银行!I22</f>
        <v>-39.64</v>
      </c>
      <c r="J151" s="310">
        <f>华夏银行!J22</f>
        <v>-55.449999999999996</v>
      </c>
      <c r="K151" s="310">
        <f>华夏银行!K22</f>
        <v>-84.89</v>
      </c>
      <c r="L151" s="310">
        <f>华夏银行!L22</f>
        <v>-54.26</v>
      </c>
    </row>
    <row r="152" spans="1:13" ht="15.75" thickBot="1">
      <c r="A152" s="382" t="s">
        <v>75</v>
      </c>
      <c r="B152" s="381">
        <f>平安银行!B22</f>
        <v>-23.01981</v>
      </c>
      <c r="C152" s="381">
        <f>平安银行!C22</f>
        <v>-106.06712</v>
      </c>
      <c r="D152" s="381">
        <f>平安银行!D22</f>
        <v>-4.7773399999999997</v>
      </c>
      <c r="E152" s="381">
        <f>平安银行!E22</f>
        <v>-2.13</v>
      </c>
      <c r="F152" s="381">
        <f>平安银行!F22</f>
        <v>-2.36</v>
      </c>
      <c r="G152" s="381">
        <f>平安银行!G22</f>
        <v>-12.44</v>
      </c>
      <c r="H152" s="381">
        <f>平安银行!H22</f>
        <v>-40.020000000000003</v>
      </c>
      <c r="I152" s="381">
        <f>平安银行!I22</f>
        <v>-90.94</v>
      </c>
      <c r="J152" s="381">
        <f>平安银行!J22</f>
        <v>-235.83</v>
      </c>
      <c r="K152" s="381">
        <f>平安银行!K22</f>
        <v>-357.97</v>
      </c>
      <c r="L152" s="381">
        <f>平安银行!L22</f>
        <v>-189.17000000000002</v>
      </c>
    </row>
    <row r="153" spans="1:13" ht="15.75" thickBot="1">
      <c r="A153" s="382" t="s">
        <v>76</v>
      </c>
      <c r="B153" s="25">
        <f>北京银行!B22</f>
        <v>-4.87</v>
      </c>
      <c r="C153" s="25">
        <f>北京银行!C22</f>
        <v>-3.09</v>
      </c>
      <c r="D153" s="25">
        <f>北京银行!D22</f>
        <v>-0.46</v>
      </c>
      <c r="E153" s="25">
        <f>北京银行!E22</f>
        <v>-0.99</v>
      </c>
      <c r="F153" s="25">
        <f>北京银行!F22</f>
        <v>0</v>
      </c>
      <c r="G153" s="25">
        <f>北京银行!G22</f>
        <v>-1.91</v>
      </c>
      <c r="H153" s="25">
        <f>北京银行!H22</f>
        <v>-3.95</v>
      </c>
      <c r="I153" s="25">
        <f>北京银行!I22</f>
        <v>-0.98</v>
      </c>
      <c r="J153" s="25">
        <f>北京银行!J22</f>
        <v>-6.16</v>
      </c>
      <c r="K153" s="25">
        <f>北京银行!K22</f>
        <v>-31.45</v>
      </c>
      <c r="L153" s="25">
        <f>北京银行!L22</f>
        <v>-39.630000000000003</v>
      </c>
    </row>
    <row r="154" spans="1:13" ht="15.75" thickBot="1">
      <c r="A154" s="382" t="s">
        <v>77</v>
      </c>
      <c r="B154" s="381">
        <f>南京银行!B22</f>
        <v>-0.65541000000000005</v>
      </c>
      <c r="C154" s="381">
        <f>南京银行!C22</f>
        <v>-0.99378999999999995</v>
      </c>
      <c r="D154" s="381">
        <f>南京银行!D22</f>
        <v>-0.55735999999999997</v>
      </c>
      <c r="E154" s="381">
        <f>南京银行!E22</f>
        <v>-7.4789999999999995E-2</v>
      </c>
      <c r="F154" s="381">
        <f>南京银行!F22</f>
        <v>0</v>
      </c>
      <c r="G154" s="381">
        <f>南京银行!G22</f>
        <v>-1</v>
      </c>
      <c r="H154" s="381">
        <f>南京银行!H22</f>
        <v>-2.63</v>
      </c>
      <c r="I154" s="381">
        <f>南京银行!I22</f>
        <v>-10.8</v>
      </c>
      <c r="J154" s="381">
        <f>南京银行!J22</f>
        <v>-27.08</v>
      </c>
      <c r="K154" s="381">
        <f>南京银行!K22</f>
        <v>-32.590000000000003</v>
      </c>
      <c r="L154" s="381">
        <f>南京银行!L22</f>
        <v>-10.51154</v>
      </c>
    </row>
    <row r="155" spans="1:13">
      <c r="A155" s="382" t="s">
        <v>78</v>
      </c>
      <c r="B155" s="381">
        <f>宁波银行!B22</f>
        <v>-2.4539999999999999E-2</v>
      </c>
      <c r="C155" s="381">
        <f>宁波银行!C22</f>
        <v>-0.35515999999999998</v>
      </c>
      <c r="D155" s="381">
        <f>宁波银行!D22</f>
        <v>4.3970000000000009E-2</v>
      </c>
      <c r="E155" s="381">
        <f>宁波银行!E22</f>
        <v>-0.70311000000000001</v>
      </c>
      <c r="F155" s="381">
        <f>宁波银行!F22</f>
        <v>0</v>
      </c>
      <c r="G155" s="381">
        <f>宁波银行!G22</f>
        <v>-0.15</v>
      </c>
      <c r="H155" s="381">
        <f>宁波银行!H22</f>
        <v>-4.57</v>
      </c>
      <c r="I155" s="381">
        <f>宁波银行!I22</f>
        <v>-9.83</v>
      </c>
      <c r="J155" s="381">
        <f>宁波银行!J22</f>
        <v>-19.28</v>
      </c>
      <c r="K155" s="381">
        <f>宁波银行!K22</f>
        <v>-28.49</v>
      </c>
      <c r="L155" s="381">
        <f>宁波银行!L22</f>
        <v>-11.562530000000001</v>
      </c>
    </row>
    <row r="157" spans="1:13" ht="14.25">
      <c r="B157" s="7">
        <v>2006</v>
      </c>
      <c r="C157" s="7">
        <v>2007</v>
      </c>
      <c r="D157" s="7">
        <v>2008</v>
      </c>
      <c r="E157" s="7">
        <v>2009</v>
      </c>
      <c r="F157" s="7">
        <v>2010</v>
      </c>
      <c r="G157" s="7">
        <v>2011</v>
      </c>
      <c r="H157" s="7">
        <v>2012</v>
      </c>
      <c r="I157" s="7">
        <v>2013</v>
      </c>
      <c r="J157" s="7">
        <v>2014</v>
      </c>
      <c r="K157" s="7">
        <v>2015</v>
      </c>
      <c r="L157" s="7">
        <v>2016</v>
      </c>
    </row>
    <row r="158" spans="1:13" ht="15.75" thickBot="1">
      <c r="A158" s="383" t="s">
        <v>12</v>
      </c>
      <c r="B158" s="25">
        <f>工商银行!B15</f>
        <v>1377.45</v>
      </c>
      <c r="C158" s="25">
        <f>工商银行!C15</f>
        <v>1117.74</v>
      </c>
      <c r="D158" s="25">
        <f>工商银行!D15</f>
        <v>1044.82</v>
      </c>
      <c r="E158" s="25">
        <f>工商银行!E15</f>
        <v>884.67</v>
      </c>
      <c r="F158" s="25">
        <f>工商银行!F15</f>
        <v>732.41</v>
      </c>
      <c r="G158" s="25">
        <f>工商银行!G15</f>
        <v>730.11</v>
      </c>
      <c r="H158" s="25">
        <f>工商银行!H15</f>
        <v>745.75</v>
      </c>
      <c r="I158" s="25">
        <f>工商银行!I15</f>
        <v>936.89</v>
      </c>
      <c r="J158" s="25">
        <f>工商银行!J15</f>
        <v>1244.97</v>
      </c>
      <c r="K158" s="25">
        <f>工商银行!K15</f>
        <v>1795.18</v>
      </c>
      <c r="L158" s="25">
        <f>工商银行!M15</f>
        <v>2118.0100000000002</v>
      </c>
    </row>
    <row r="159" spans="1:13">
      <c r="A159" s="382" t="s">
        <v>65</v>
      </c>
      <c r="B159" s="25">
        <f>建设银行!B13</f>
        <v>943.99</v>
      </c>
      <c r="C159" s="25">
        <f>建设银行!C13</f>
        <v>851.7</v>
      </c>
      <c r="D159" s="25">
        <f>建设银行!D13</f>
        <v>838.82</v>
      </c>
      <c r="E159" s="25">
        <f>建设银行!E13</f>
        <v>721.56</v>
      </c>
      <c r="F159" s="25">
        <f>建设银行!F13</f>
        <v>647.12</v>
      </c>
      <c r="G159" s="25">
        <f>建设银行!G13</f>
        <v>709.15</v>
      </c>
      <c r="H159" s="25">
        <f>建设银行!H13</f>
        <v>746.18</v>
      </c>
      <c r="I159" s="25">
        <f>建设银行!I13</f>
        <v>852.64</v>
      </c>
      <c r="J159" s="25">
        <f>建设银行!J13</f>
        <v>1131.71</v>
      </c>
      <c r="K159" s="25">
        <f>建设银行!K13</f>
        <v>1659.8</v>
      </c>
      <c r="L159" s="25">
        <f>建设银行!M13</f>
        <v>1786.9</v>
      </c>
    </row>
    <row r="160" spans="1:13" ht="15.75" thickBot="1">
      <c r="A160" s="383" t="s">
        <v>66</v>
      </c>
      <c r="E160" s="25">
        <f>农业银行!B14</f>
        <v>1202.4100000000001</v>
      </c>
      <c r="F160" s="25">
        <f>农业银行!C14</f>
        <v>1004.05</v>
      </c>
      <c r="G160" s="25">
        <f>农业银行!D14</f>
        <v>873.58</v>
      </c>
      <c r="H160" s="25">
        <f>农业银行!E14</f>
        <v>858.48</v>
      </c>
      <c r="I160" s="25">
        <f>农业银行!F14</f>
        <v>877.81</v>
      </c>
      <c r="J160" s="25">
        <f>农业银行!G14</f>
        <v>1249.7</v>
      </c>
      <c r="K160" s="25">
        <f>农业银行!H14</f>
        <v>2128.67</v>
      </c>
      <c r="L160" s="25">
        <f>农业银行!J14</f>
        <v>2308.34</v>
      </c>
    </row>
    <row r="161" spans="1:13" ht="15.75" thickBot="1">
      <c r="A161" s="382" t="s">
        <v>67</v>
      </c>
      <c r="B161" s="25">
        <f>中国银行!B12</f>
        <v>982.2</v>
      </c>
      <c r="C161" s="25">
        <f>中国银行!C12</f>
        <v>888.02</v>
      </c>
      <c r="D161" s="25">
        <f>中国银行!D12</f>
        <v>874.9</v>
      </c>
      <c r="E161" s="25">
        <f>中国银行!E12</f>
        <v>747.18</v>
      </c>
      <c r="F161" s="25">
        <f>中国银行!F12</f>
        <v>624.70000000000005</v>
      </c>
      <c r="G161" s="25">
        <f>中国银行!G12</f>
        <v>632.74</v>
      </c>
      <c r="H161" s="25">
        <f>中国银行!H12</f>
        <v>654.48</v>
      </c>
      <c r="I161" s="25">
        <f>中国银行!I12</f>
        <v>732.71</v>
      </c>
      <c r="J161" s="25">
        <f>中国银行!J12</f>
        <v>1004.94</v>
      </c>
      <c r="K161" s="25">
        <f>中国银行!K12</f>
        <v>1308.97</v>
      </c>
      <c r="L161" s="25">
        <f>中国银行!M12</f>
        <v>1460.03</v>
      </c>
      <c r="M161" s="25"/>
    </row>
    <row r="162" spans="1:13" ht="15.75" thickBot="1">
      <c r="A162" s="382" t="s">
        <v>68</v>
      </c>
      <c r="B162" s="25">
        <f>交通银行!B14</f>
        <v>180.34</v>
      </c>
      <c r="C162" s="148">
        <f>交通银行!C14</f>
        <v>226.4143</v>
      </c>
      <c r="D162" s="148">
        <f>交通银行!D14</f>
        <v>255.08928</v>
      </c>
      <c r="E162" s="25">
        <f>交通银行!E14</f>
        <v>250.09</v>
      </c>
      <c r="F162" s="25">
        <f>交通银行!F14</f>
        <v>249.88</v>
      </c>
      <c r="G162" s="25">
        <f>交通银行!G14</f>
        <v>219.86</v>
      </c>
      <c r="H162" s="25">
        <f>交通银行!H14</f>
        <v>269.95</v>
      </c>
      <c r="I162" s="25">
        <f>交通银行!I14</f>
        <v>343.1</v>
      </c>
      <c r="J162" s="25">
        <f>交通银行!J14</f>
        <v>430.17</v>
      </c>
      <c r="K162" s="25">
        <f>交通银行!K14</f>
        <v>562.05999999999995</v>
      </c>
      <c r="L162" s="25">
        <f>交通银行!M14</f>
        <v>624</v>
      </c>
      <c r="M162" s="25"/>
    </row>
    <row r="163" spans="1:13" ht="15.75" thickBot="1">
      <c r="A163" s="382" t="s">
        <v>13</v>
      </c>
      <c r="B163" s="25">
        <f>招商银行!B13</f>
        <v>120.06</v>
      </c>
      <c r="C163" s="25">
        <f>招商银行!C13</f>
        <v>103.94</v>
      </c>
      <c r="D163" s="25">
        <f>招商银行!D13</f>
        <v>96.77</v>
      </c>
      <c r="E163" s="25">
        <f>招商银行!E13</f>
        <v>97.32</v>
      </c>
      <c r="F163" s="25">
        <f>招商银行!F13</f>
        <v>96.86</v>
      </c>
      <c r="G163" s="25">
        <f>招商银行!G13</f>
        <v>91.73</v>
      </c>
      <c r="H163" s="25">
        <f>招商银行!H13</f>
        <v>116.94</v>
      </c>
      <c r="I163" s="25">
        <f>招商银行!I13</f>
        <v>183.32</v>
      </c>
      <c r="J163" s="25">
        <f>招商银行!J13</f>
        <v>279.17</v>
      </c>
      <c r="K163" s="25">
        <f>招商银行!K13</f>
        <v>474.1</v>
      </c>
      <c r="L163" s="25">
        <f>招商银行!M13</f>
        <v>611.21</v>
      </c>
      <c r="M163" s="25"/>
    </row>
    <row r="164" spans="1:13" ht="15.75" thickBot="1">
      <c r="A164" s="382" t="s">
        <v>69</v>
      </c>
      <c r="B164" s="25">
        <f>中信银行!B11</f>
        <v>115.65</v>
      </c>
      <c r="C164" s="25">
        <f>中信银行!C11</f>
        <v>84.92</v>
      </c>
      <c r="D164" s="25">
        <f>中信银行!D11</f>
        <v>90.46</v>
      </c>
      <c r="E164" s="25">
        <f>中信银行!E11</f>
        <v>101.57</v>
      </c>
      <c r="F164" s="25">
        <f>中信银行!F11</f>
        <v>85.33</v>
      </c>
      <c r="G164" s="25">
        <f>中信银行!G11</f>
        <v>85.41</v>
      </c>
      <c r="H164" s="25">
        <f>中信银行!H11</f>
        <v>122.55</v>
      </c>
      <c r="I164" s="25">
        <f>中信银行!I11</f>
        <v>199.66</v>
      </c>
      <c r="J164" s="25">
        <f>中信银行!J11</f>
        <v>284.54000000000002</v>
      </c>
      <c r="K164" s="25">
        <f>中信银行!K11</f>
        <v>360.5</v>
      </c>
      <c r="L164" s="25">
        <f>中信银行!M11</f>
        <v>485.8</v>
      </c>
      <c r="M164" s="25"/>
    </row>
    <row r="165" spans="1:13" ht="15.75" thickBot="1">
      <c r="A165" s="382" t="s">
        <v>70</v>
      </c>
      <c r="B165" s="148">
        <f>浦发银行!B11</f>
        <v>84.397553000000002</v>
      </c>
      <c r="C165" s="148">
        <f>浦发银行!C11</f>
        <v>80.23</v>
      </c>
      <c r="D165" s="148">
        <f>浦发银行!D11</f>
        <v>84.671570000000003</v>
      </c>
      <c r="E165" s="148">
        <f>浦发银行!E11</f>
        <v>74.600530000000006</v>
      </c>
      <c r="F165" s="148">
        <f>浦发银行!F11</f>
        <v>58.798839999999998</v>
      </c>
      <c r="G165" s="148">
        <f>浦发银行!G11</f>
        <v>58.271180000000001</v>
      </c>
      <c r="H165" s="148">
        <f>浦发银行!H11</f>
        <v>89.4</v>
      </c>
      <c r="I165" s="148">
        <f>浦发银行!I11</f>
        <v>130.61000000000001</v>
      </c>
      <c r="J165" s="148">
        <f>浦发银行!J11</f>
        <v>215.85</v>
      </c>
      <c r="K165" s="148">
        <f>浦发银行!K11</f>
        <v>350.54</v>
      </c>
      <c r="L165" s="148">
        <f>浦发银行!M11</f>
        <v>521.78</v>
      </c>
      <c r="M165" s="148"/>
    </row>
    <row r="166" spans="1:13" ht="15.75" thickBot="1">
      <c r="A166" s="382" t="s">
        <v>71</v>
      </c>
      <c r="B166" s="25">
        <f>民生银行!B11</f>
        <v>55.02</v>
      </c>
      <c r="C166" s="25">
        <f>民生银行!C11</f>
        <v>67.730400000000003</v>
      </c>
      <c r="D166" s="25">
        <f>民生银行!D11</f>
        <v>79.209999999999994</v>
      </c>
      <c r="E166" s="25">
        <f>民生银行!E11</f>
        <v>73.97</v>
      </c>
      <c r="F166" s="25">
        <f>民生银行!F11</f>
        <v>73.39</v>
      </c>
      <c r="G166" s="25">
        <f>民生银行!G11</f>
        <v>75.39</v>
      </c>
      <c r="H166" s="25">
        <f>民生银行!H11</f>
        <v>105.23</v>
      </c>
      <c r="I166" s="25">
        <f>民生银行!I11</f>
        <v>134.04</v>
      </c>
      <c r="J166" s="25">
        <f>民生银行!J11</f>
        <v>211.34</v>
      </c>
      <c r="K166" s="25">
        <f>民生银行!K11</f>
        <v>328.21</v>
      </c>
      <c r="L166" s="25">
        <f>民生银行!M11</f>
        <v>414.35</v>
      </c>
      <c r="M166" s="25"/>
    </row>
    <row r="167" spans="1:13" ht="15.75" thickBot="1">
      <c r="A167" s="382" t="s">
        <v>72</v>
      </c>
      <c r="B167" s="25">
        <f>兴业银行!B15</f>
        <v>49.8</v>
      </c>
      <c r="C167" s="25">
        <f>兴业银行!C15</f>
        <v>45.83372</v>
      </c>
      <c r="D167" s="25">
        <f>兴业银行!D15</f>
        <v>41.49</v>
      </c>
      <c r="E167" s="25">
        <f>兴业银行!E15</f>
        <v>37.79</v>
      </c>
      <c r="F167" s="25">
        <f>兴业银行!F15</f>
        <v>36.159999999999997</v>
      </c>
      <c r="G167" s="25">
        <f>兴业银行!G15</f>
        <v>37.15</v>
      </c>
      <c r="H167" s="25">
        <f>兴业银行!H15</f>
        <v>52.86</v>
      </c>
      <c r="I167" s="25">
        <f>兴业银行!I15</f>
        <v>103.31</v>
      </c>
      <c r="J167" s="25">
        <f>兴业银行!J15</f>
        <v>175.44</v>
      </c>
      <c r="K167" s="25">
        <f>兴业银行!K15</f>
        <v>259.83</v>
      </c>
      <c r="L167" s="25">
        <f>兴业银行!M15</f>
        <v>344.16</v>
      </c>
      <c r="M167" s="25"/>
    </row>
    <row r="168" spans="1:13" ht="15.75" thickBot="1">
      <c r="A168" s="382" t="s">
        <v>73</v>
      </c>
      <c r="B168" s="148">
        <f>光大银行!B11</f>
        <v>92.914743799999997</v>
      </c>
      <c r="C168" s="148">
        <f>光大银行!C11</f>
        <v>80.985007124999996</v>
      </c>
      <c r="D168" s="148">
        <f>光大银行!D11</f>
        <v>58.31</v>
      </c>
      <c r="E168" s="148">
        <f>光大银行!E11</f>
        <v>57.34</v>
      </c>
      <c r="F168" s="148">
        <f>光大银行!F11</f>
        <v>76.13</v>
      </c>
      <c r="G168" s="148">
        <f>光大银行!G11</f>
        <v>100.29</v>
      </c>
      <c r="H168" s="148">
        <f>光大银行!H11</f>
        <v>155.25</v>
      </c>
      <c r="I168" s="148">
        <f>光大银行!I11</f>
        <v>243.75</v>
      </c>
      <c r="J168" s="148">
        <f>光大银行!J11</f>
        <v>255.07</v>
      </c>
      <c r="K168" s="148">
        <f>光大银行!K11</f>
        <v>287.02</v>
      </c>
      <c r="L168" s="148">
        <f>光大银行!M11</f>
        <v>0</v>
      </c>
      <c r="M168" s="148"/>
    </row>
    <row r="169" spans="1:13" ht="15.75" thickBot="1">
      <c r="A169" s="382" t="s">
        <v>74</v>
      </c>
      <c r="B169" s="148">
        <f>华夏银行!B13</f>
        <v>70.916430585000001</v>
      </c>
      <c r="C169" s="148">
        <f>华夏银行!C13</f>
        <v>68.896467465909993</v>
      </c>
      <c r="D169" s="148">
        <f>华夏银行!D13</f>
        <v>64.871799999999993</v>
      </c>
      <c r="E169" s="148">
        <f>华夏银行!E13</f>
        <v>64.572649999999996</v>
      </c>
      <c r="F169" s="148">
        <f>华夏银行!F13</f>
        <v>62.540370000000003</v>
      </c>
      <c r="G169" s="148">
        <f>华夏银行!G13</f>
        <v>55.996870000000001</v>
      </c>
      <c r="H169" s="148">
        <f>华夏银行!H13</f>
        <v>63.390549999999998</v>
      </c>
      <c r="I169" s="148">
        <f>华夏银行!I13</f>
        <v>74.430000000000007</v>
      </c>
      <c r="J169" s="148">
        <f>华夏银行!J13</f>
        <v>102.45</v>
      </c>
      <c r="K169" s="148">
        <f>华夏银行!K13</f>
        <v>162.97</v>
      </c>
      <c r="L169" s="148">
        <f>华夏银行!M13</f>
        <v>203.48</v>
      </c>
      <c r="M169" s="148"/>
    </row>
    <row r="170" spans="1:13" ht="15.75" thickBot="1">
      <c r="A170" s="382" t="s">
        <v>75</v>
      </c>
      <c r="B170" s="148">
        <f>平安银行!B13</f>
        <v>145.65</v>
      </c>
      <c r="C170" s="148">
        <f>平安银行!C13</f>
        <v>124.76</v>
      </c>
      <c r="D170" s="148">
        <f>平安银行!D13</f>
        <v>19</v>
      </c>
      <c r="E170" s="148">
        <f>平安银行!E13</f>
        <v>24.436720000000001</v>
      </c>
      <c r="F170" s="148">
        <f>平安银行!F13</f>
        <v>280.37</v>
      </c>
      <c r="G170" s="148">
        <f>平安银行!G13</f>
        <v>32.950000000000003</v>
      </c>
      <c r="H170" s="148">
        <f>平安银行!H13</f>
        <v>68.66</v>
      </c>
      <c r="I170" s="148">
        <f>平安银行!I13</f>
        <v>75.41</v>
      </c>
      <c r="J170" s="148">
        <f>平安银行!J13</f>
        <v>105.01</v>
      </c>
      <c r="K170" s="148">
        <f>平安银行!K13</f>
        <v>176.45</v>
      </c>
      <c r="L170" s="148">
        <f>平安银行!M13</f>
        <v>257.02</v>
      </c>
      <c r="M170" s="148"/>
    </row>
    <row r="171" spans="1:13" ht="15.75" thickBot="1">
      <c r="A171" s="382" t="s">
        <v>76</v>
      </c>
      <c r="B171" s="148">
        <f>北京银行!B10</f>
        <v>17.93</v>
      </c>
      <c r="C171" s="148">
        <f>北京银行!C10</f>
        <v>32.4</v>
      </c>
      <c r="D171" s="148">
        <f>北京银行!D10</f>
        <v>94.3</v>
      </c>
      <c r="E171" s="148">
        <f>北京银行!E10</f>
        <v>27.96</v>
      </c>
      <c r="F171" s="148">
        <f>北京银行!F10</f>
        <v>117.68</v>
      </c>
      <c r="G171" s="148">
        <f>北京银行!G10</f>
        <v>21.497304294999999</v>
      </c>
      <c r="H171" s="148">
        <f>北京银行!H10</f>
        <v>29.306493805999999</v>
      </c>
      <c r="I171" s="148">
        <f>北京银行!I10</f>
        <v>37.880000000000003</v>
      </c>
      <c r="J171" s="148">
        <f>北京银行!J10</f>
        <v>57.83</v>
      </c>
      <c r="K171" s="148">
        <f>北京银行!K10</f>
        <v>86.55</v>
      </c>
      <c r="L171" s="148">
        <f>北京银行!M10</f>
        <v>114.26</v>
      </c>
      <c r="M171" s="148"/>
    </row>
    <row r="172" spans="1:13" ht="15.75" thickBot="1">
      <c r="A172" s="382" t="s">
        <v>77</v>
      </c>
      <c r="B172" s="148">
        <f>南京银行!B10</f>
        <v>6.2959399999999999</v>
      </c>
      <c r="C172" s="148">
        <f>南京银行!C10</f>
        <v>5.48</v>
      </c>
      <c r="D172" s="148">
        <f>南京银行!D10</f>
        <v>6.5988699999999998</v>
      </c>
      <c r="E172" s="148">
        <f>南京银行!E10</f>
        <v>8.1533999999999995</v>
      </c>
      <c r="F172" s="148">
        <f>南京银行!F10</f>
        <v>31.87</v>
      </c>
      <c r="G172" s="148">
        <f>南京银行!G10</f>
        <v>8.0299999999999994</v>
      </c>
      <c r="H172" s="148">
        <f>南京银行!H10</f>
        <v>10.44</v>
      </c>
      <c r="I172" s="148">
        <f>南京银行!I10</f>
        <v>13.076829999999999</v>
      </c>
      <c r="J172" s="148">
        <f>南京银行!J10</f>
        <v>16.391210000000001</v>
      </c>
      <c r="K172" s="148">
        <f>南京银行!K10</f>
        <v>20.81681</v>
      </c>
      <c r="L172" s="148">
        <f>南京银行!M10</f>
        <v>28.955469999999998</v>
      </c>
      <c r="M172" s="148"/>
    </row>
    <row r="173" spans="1:13">
      <c r="A173" s="382" t="s">
        <v>78</v>
      </c>
      <c r="B173" s="148">
        <f>宁波银行!B12</f>
        <v>0.91859999999999997</v>
      </c>
      <c r="C173" s="148">
        <f>宁波银行!C12</f>
        <v>1.3008999999999999</v>
      </c>
      <c r="D173" s="148">
        <f>宁波银行!D12</f>
        <v>4.5219504376000001</v>
      </c>
      <c r="E173" s="148">
        <f>宁波银行!E12</f>
        <v>6.4450500000000002</v>
      </c>
      <c r="F173" s="148">
        <f>宁波银行!F12</f>
        <v>28.55</v>
      </c>
      <c r="G173" s="148">
        <f>宁波银行!G12</f>
        <v>8.3210200000000007</v>
      </c>
      <c r="H173" s="148">
        <f>宁波银行!H12</f>
        <v>11.085839999999999</v>
      </c>
      <c r="I173" s="148">
        <f>宁波银行!I12</f>
        <v>15.25221</v>
      </c>
      <c r="J173" s="148">
        <f>宁波银行!J12</f>
        <v>18.628299999999999</v>
      </c>
      <c r="K173" s="148">
        <f>宁波银行!K12</f>
        <v>23.616109999999999</v>
      </c>
      <c r="L173" s="148">
        <f>宁波银行!M12</f>
        <v>27.654689999999999</v>
      </c>
      <c r="M173" s="148"/>
    </row>
    <row r="176" spans="1:13" ht="14.25">
      <c r="A176" s="24" t="s">
        <v>350</v>
      </c>
      <c r="B176" s="7">
        <v>2007</v>
      </c>
      <c r="C176" s="7">
        <v>2008</v>
      </c>
      <c r="D176" s="7">
        <v>2009</v>
      </c>
      <c r="E176" s="7">
        <v>2010</v>
      </c>
      <c r="F176" s="7">
        <v>2011</v>
      </c>
      <c r="G176" s="7">
        <v>2012</v>
      </c>
      <c r="H176" s="7">
        <v>2013</v>
      </c>
      <c r="I176" s="7">
        <v>2014</v>
      </c>
      <c r="J176" s="7">
        <v>2015</v>
      </c>
      <c r="K176" s="7">
        <v>2016</v>
      </c>
      <c r="L176" s="37" t="s">
        <v>6</v>
      </c>
    </row>
    <row r="177" spans="1:13">
      <c r="A177" s="24" t="s">
        <v>351</v>
      </c>
      <c r="B177" s="385">
        <f>-SUM(B140:B144)/SUM(B158:B162)</f>
        <v>8.1957990573998676E-2</v>
      </c>
      <c r="C177" s="385">
        <f t="shared" ref="C177:K177" si="10">-SUM(C140:C144)/SUM(C158:C162)</f>
        <v>0.1178971529416747</v>
      </c>
      <c r="D177" s="385">
        <f t="shared" si="10"/>
        <v>0.1053712884021355</v>
      </c>
      <c r="E177" s="385">
        <f t="shared" si="10"/>
        <v>6.8272765251937123E-2</v>
      </c>
      <c r="F177" s="385">
        <f t="shared" si="10"/>
        <v>4.0476833550224668E-2</v>
      </c>
      <c r="G177" s="385">
        <f t="shared" si="10"/>
        <v>8.1704281237363521E-2</v>
      </c>
      <c r="H177" s="385">
        <f t="shared" si="10"/>
        <v>0.19755774327906098</v>
      </c>
      <c r="I177" s="385">
        <f t="shared" si="10"/>
        <v>0.38964508502197348</v>
      </c>
      <c r="J177" s="385">
        <f t="shared" si="10"/>
        <v>0.50577399145310964</v>
      </c>
      <c r="K177" s="385">
        <f t="shared" si="10"/>
        <v>0.40701277586697215</v>
      </c>
      <c r="L177" s="385">
        <f>-SUM(L140:L144)*2/SUM(L158:L162)</f>
        <v>0.33265118207412558</v>
      </c>
    </row>
    <row r="178" spans="1:13">
      <c r="A178" s="24" t="s">
        <v>352</v>
      </c>
      <c r="B178" s="385">
        <f>-SUM(B145:B152)/SUM(B163:B170)</f>
        <v>0.12930956081927908</v>
      </c>
      <c r="C178" s="385">
        <f t="shared" ref="C178:K178" si="11">-SUM(C145:C152)/SUM(C163:C170)</f>
        <v>0.28840940295360623</v>
      </c>
      <c r="D178" s="385">
        <f t="shared" si="11"/>
        <v>0.1348054259802432</v>
      </c>
      <c r="E178" s="385">
        <f t="shared" si="11"/>
        <v>0.10127202807976451</v>
      </c>
      <c r="F178" s="385">
        <f t="shared" si="11"/>
        <v>5.7288241973168695E-2</v>
      </c>
      <c r="G178" s="385">
        <f t="shared" si="11"/>
        <v>0.16999633554767277</v>
      </c>
      <c r="H178" s="385">
        <f t="shared" si="11"/>
        <v>0.50590189822022524</v>
      </c>
      <c r="I178" s="385">
        <f t="shared" si="11"/>
        <v>0.73392571623286407</v>
      </c>
      <c r="J178" s="385">
        <f t="shared" si="11"/>
        <v>1.0234334231706641</v>
      </c>
      <c r="K178" s="385">
        <f t="shared" si="11"/>
        <v>0.93084738416916046</v>
      </c>
      <c r="L178" s="385">
        <f>-SUM(L145:L152)*2/SUM(L163:L170)</f>
        <v>0.63447741207978015</v>
      </c>
    </row>
    <row r="179" spans="1:13">
      <c r="A179" s="24" t="s">
        <v>353</v>
      </c>
      <c r="B179" s="385">
        <f>-SUM(B153:B155)/SUM(B171:B173)</f>
        <v>0.22072187441090588</v>
      </c>
      <c r="C179" s="385">
        <f t="shared" ref="C179:K179" si="12">-SUM(C153:C155)/SUM(C171:C173)</f>
        <v>0.1132937221962742</v>
      </c>
      <c r="D179" s="385">
        <f t="shared" si="12"/>
        <v>9.2333753044178072E-3</v>
      </c>
      <c r="E179" s="385">
        <f t="shared" si="12"/>
        <v>4.1540516630657366E-2</v>
      </c>
      <c r="F179" s="385">
        <f t="shared" si="12"/>
        <v>0</v>
      </c>
      <c r="G179" s="385">
        <f t="shared" si="12"/>
        <v>8.0849021905158566E-2</v>
      </c>
      <c r="H179" s="385">
        <f t="shared" si="12"/>
        <v>0.21934857530944035</v>
      </c>
      <c r="I179" s="385">
        <f t="shared" si="12"/>
        <v>0.32639047477504579</v>
      </c>
      <c r="J179" s="385">
        <f t="shared" si="12"/>
        <v>0.56564649614198281</v>
      </c>
      <c r="K179" s="385">
        <f t="shared" si="12"/>
        <v>0.70642798312940336</v>
      </c>
      <c r="L179" s="385">
        <f>-SUM(L153:L155)*2/SUM(L171:L173)</f>
        <v>0.72223341980835054</v>
      </c>
    </row>
    <row r="180" spans="1:13">
      <c r="A180" s="24" t="s">
        <v>354</v>
      </c>
      <c r="B180" s="385">
        <f>-SUM(B140:B155)/SUM(B158:B173)</f>
        <v>9.0975136914126245E-2</v>
      </c>
      <c r="C180" s="385">
        <f t="shared" ref="C180:K180" si="13">-SUM(C140:C155)/SUM(C158:C173)</f>
        <v>0.14749667697448149</v>
      </c>
      <c r="D180" s="385">
        <f t="shared" si="13"/>
        <v>0.10690555362207517</v>
      </c>
      <c r="E180" s="385">
        <f t="shared" si="13"/>
        <v>7.2018077069505082E-2</v>
      </c>
      <c r="F180" s="385">
        <f t="shared" si="13"/>
        <v>4.18389365864512E-2</v>
      </c>
      <c r="G180" s="385">
        <f t="shared" si="13"/>
        <v>9.437567963961134E-2</v>
      </c>
      <c r="H180" s="385">
        <f t="shared" si="13"/>
        <v>0.25605904012863662</v>
      </c>
      <c r="I180" s="385">
        <f t="shared" si="13"/>
        <v>0.46834113183931952</v>
      </c>
      <c r="J180" s="385">
        <f t="shared" si="13"/>
        <v>0.63090045998004252</v>
      </c>
      <c r="K180" s="385">
        <f t="shared" si="13"/>
        <v>0.53682605119415083</v>
      </c>
      <c r="L180" s="385">
        <f>-SUM(L140:L155)*2/SUM(L158:L173)</f>
        <v>0.41429761087855371</v>
      </c>
    </row>
    <row r="192" spans="1:13">
      <c r="A192" s="24" t="s">
        <v>355</v>
      </c>
      <c r="B192" s="24"/>
      <c r="C192" s="26">
        <v>39447</v>
      </c>
      <c r="D192" s="26">
        <v>39813</v>
      </c>
      <c r="E192" s="26">
        <v>40178</v>
      </c>
      <c r="F192" s="26">
        <v>40543</v>
      </c>
      <c r="G192" s="26">
        <v>40908</v>
      </c>
      <c r="H192" s="26">
        <v>41274</v>
      </c>
      <c r="I192" s="26">
        <v>41639</v>
      </c>
      <c r="J192" s="26">
        <v>42004</v>
      </c>
      <c r="K192" s="26">
        <v>42369</v>
      </c>
      <c r="L192" s="26">
        <v>42735</v>
      </c>
      <c r="M192" s="26">
        <v>42916</v>
      </c>
    </row>
    <row r="193" spans="1:13" ht="15.75" thickBot="1">
      <c r="A193" s="383" t="s">
        <v>12</v>
      </c>
      <c r="B193" s="393" t="str">
        <f>[1]!to_tradecode(A193)</f>
        <v>601398</v>
      </c>
      <c r="C193" s="394">
        <f>[1]!s_stmnote_bank_23n($B193,C$192,1)</f>
        <v>103.5</v>
      </c>
      <c r="D193" s="394">
        <f>[1]!s_stmnote_bank_23n($B193,D$192,1)</f>
        <v>130.15</v>
      </c>
      <c r="E193" s="394">
        <f>[1]!s_stmnote_bank_23n($B193,E$192,1)</f>
        <v>164.41</v>
      </c>
      <c r="F193" s="394">
        <f>[1]!s_stmnote_bank_23n($B193,F$192,1)</f>
        <v>228.2</v>
      </c>
      <c r="G193" s="394">
        <f>[1]!s_stmnote_bank_23n($B193,G$192,1)</f>
        <v>266.92</v>
      </c>
      <c r="H193" s="394">
        <f>[1]!s_stmnote_bank_23n($B193,H$192,1)</f>
        <v>295.55</v>
      </c>
      <c r="I193" s="394">
        <f>[1]!s_stmnote_bank_23n($B193,I$192,1)</f>
        <v>257.19</v>
      </c>
      <c r="J193" s="394">
        <f>[1]!s_stmnote_bank_23n($B193,J$192,1)</f>
        <v>206.9</v>
      </c>
      <c r="K193" s="394">
        <f>[1]!s_stmnote_bank_23n($B193,K$192,1)</f>
        <v>156.34</v>
      </c>
      <c r="L193" s="394">
        <f>[1]!s_stmnote_bank_23n($B193,L$192,1)</f>
        <v>136.69</v>
      </c>
      <c r="M193" s="394">
        <f>[1]!s_stmnote_bank_23n($B193,M$192,1)</f>
        <v>145.81</v>
      </c>
    </row>
    <row r="194" spans="1:13">
      <c r="A194" s="382" t="s">
        <v>65</v>
      </c>
      <c r="B194" s="393" t="str">
        <f>[1]!to_tradecode(A194)</f>
        <v>601939</v>
      </c>
      <c r="C194" s="394">
        <f>[1]!s_stmnote_bank_23n($B194,C$192,1)</f>
        <v>104.41</v>
      </c>
      <c r="D194" s="394">
        <f>[1]!s_stmnote_bank_23n($B194,D$192,1)</f>
        <v>131.58000000000001</v>
      </c>
      <c r="E194" s="394">
        <f>[1]!s_stmnote_bank_23n($B194,E$192,1)</f>
        <v>175.77</v>
      </c>
      <c r="F194" s="394">
        <f>[1]!s_stmnote_bank_23n($B194,F$192,1)</f>
        <v>221.14</v>
      </c>
      <c r="G194" s="394">
        <f>[1]!s_stmnote_bank_23n($B194,G$192,1)</f>
        <v>241.44</v>
      </c>
      <c r="H194" s="394">
        <f>[1]!s_stmnote_bank_23n($B194,H$192,1)</f>
        <v>271.29000000000002</v>
      </c>
      <c r="I194" s="394">
        <f>[1]!s_stmnote_bank_23n($B194,I$192,1)</f>
        <v>268.22000000000003</v>
      </c>
      <c r="J194" s="394">
        <f>[1]!s_stmnote_bank_23n($B194,J$192,1)</f>
        <v>222.33</v>
      </c>
      <c r="K194" s="394">
        <f>[1]!s_stmnote_bank_23n($B194,K$192,1)</f>
        <v>150.99</v>
      </c>
      <c r="L194" s="394">
        <f>[1]!s_stmnote_bank_23n($B194,L$192,1)</f>
        <v>150.36000000000001</v>
      </c>
      <c r="M194" s="394">
        <f>[1]!s_stmnote_bank_23n($B194,M$192,1)</f>
        <v>160.15</v>
      </c>
    </row>
    <row r="195" spans="1:13" ht="15.75" thickBot="1">
      <c r="A195" s="383" t="s">
        <v>66</v>
      </c>
      <c r="B195" s="393" t="str">
        <f>[1]!to_tradecode(A195)</f>
        <v>601288</v>
      </c>
      <c r="C195" s="394">
        <f>[1]!s_stmnote_bank_23n($B195,C$192,1)</f>
        <v>93.421199999999999</v>
      </c>
      <c r="D195" s="394">
        <f>[1]!s_stmnote_bank_23n($B195,D$192,1)</f>
        <v>63.531700000000001</v>
      </c>
      <c r="E195" s="394">
        <f>[1]!s_stmnote_bank_23n($B195,E$192,1)</f>
        <v>105.37</v>
      </c>
      <c r="F195" s="394">
        <f>[1]!s_stmnote_bank_23n($B195,F$192,1)</f>
        <v>168.05</v>
      </c>
      <c r="G195" s="394">
        <f>[1]!s_stmnote_bank_23n($B195,G$192,1)</f>
        <v>263.10000000000002</v>
      </c>
      <c r="H195" s="394">
        <f>[1]!s_stmnote_bank_23n($B195,H$192,1)</f>
        <v>326.14</v>
      </c>
      <c r="I195" s="394">
        <f>[1]!s_stmnote_bank_23n($B195,I$192,1)</f>
        <v>367.04</v>
      </c>
      <c r="J195" s="394">
        <f>[1]!s_stmnote_bank_23n($B195,J$192,1)</f>
        <v>286.52999999999997</v>
      </c>
      <c r="K195" s="394">
        <f>[1]!s_stmnote_bank_23n($B195,K$192,1)</f>
        <v>189.43</v>
      </c>
      <c r="L195" s="394">
        <f>[1]!s_stmnote_bank_23n($B195,L$192,1)</f>
        <v>173.4</v>
      </c>
      <c r="M195" s="394">
        <f>[1]!s_stmnote_bank_23n($B195,M$192,1)</f>
        <v>181.8</v>
      </c>
    </row>
    <row r="196" spans="1:13" ht="15.75" thickBot="1">
      <c r="A196" s="382" t="s">
        <v>67</v>
      </c>
      <c r="B196" s="393" t="str">
        <f>[1]!to_tradecode(A196)</f>
        <v>601988</v>
      </c>
      <c r="C196" s="394">
        <f>[1]!s_stmnote_bank_23n($B196,C$192,1)</f>
        <v>108.18</v>
      </c>
      <c r="D196" s="394">
        <f>[1]!s_stmnote_bank_23n($B196,D$192,1)</f>
        <v>121.72</v>
      </c>
      <c r="E196" s="394">
        <f>[1]!s_stmnote_bank_23n($B196,E$192,1)</f>
        <v>151.16999999999999</v>
      </c>
      <c r="F196" s="394">
        <f>[1]!s_stmnote_bank_23n($B196,F$192,1)</f>
        <v>196.67</v>
      </c>
      <c r="G196" s="394">
        <f>[1]!s_stmnote_bank_23n($B196,G$192,1)</f>
        <v>220.75</v>
      </c>
      <c r="H196" s="394">
        <f>[1]!s_stmnote_bank_23n($B196,H$192,1)</f>
        <v>236.3</v>
      </c>
      <c r="I196" s="394">
        <f>[1]!s_stmnote_bank_23n($B196,I$192,1)</f>
        <v>229.35</v>
      </c>
      <c r="J196" s="394">
        <f>[1]!s_stmnote_bank_23n($B196,J$192,1)</f>
        <v>187.6</v>
      </c>
      <c r="K196" s="394">
        <f>[1]!s_stmnote_bank_23n($B196,K$192,1)</f>
        <v>153.30000000000001</v>
      </c>
      <c r="L196" s="394">
        <f>[1]!s_stmnote_bank_23n($B196,L$192,1)</f>
        <v>162.82</v>
      </c>
      <c r="M196" s="394">
        <f>[1]!s_stmnote_bank_23n($B196,M$192,1)</f>
        <v>152.46</v>
      </c>
    </row>
    <row r="197" spans="1:13" ht="15.75" thickBot="1">
      <c r="A197" s="382" t="s">
        <v>68</v>
      </c>
      <c r="B197" s="393" t="str">
        <f>[1]!to_tradecode(A197)</f>
        <v>601328</v>
      </c>
      <c r="C197" s="394">
        <f>[1]!s_stmnote_bank_23n($B197,C$192,1)</f>
        <v>95.63</v>
      </c>
      <c r="D197" s="394">
        <f>[1]!s_stmnote_bank_23n($B197,D$192,1)</f>
        <v>116.83</v>
      </c>
      <c r="E197" s="394">
        <f>[1]!s_stmnote_bank_23n($B197,E$192,1)</f>
        <v>151.05000000000001</v>
      </c>
      <c r="F197" s="394">
        <f>[1]!s_stmnote_bank_23n($B197,F$192,1)</f>
        <v>185.84</v>
      </c>
      <c r="G197" s="394">
        <f>[1]!s_stmnote_bank_23n($B197,G$192,1)</f>
        <v>256.37</v>
      </c>
      <c r="H197" s="394">
        <f>[1]!s_stmnote_bank_23n($B197,H$192,1)</f>
        <v>250.68</v>
      </c>
      <c r="I197" s="394">
        <f>[1]!s_stmnote_bank_23n($B197,I$192,1)</f>
        <v>213.65</v>
      </c>
      <c r="J197" s="394">
        <f>[1]!s_stmnote_bank_23n($B197,J$192,1)</f>
        <v>178.88</v>
      </c>
      <c r="K197" s="394">
        <f>[1]!s_stmnote_bank_23n($B197,K$192,1)</f>
        <v>155.57</v>
      </c>
      <c r="L197" s="394">
        <f>[1]!s_stmnote_bank_23n($B197,L$192,1)</f>
        <v>150.5</v>
      </c>
      <c r="M197" s="394">
        <f>[1]!s_stmnote_bank_23n($B197,M$192,1)</f>
        <v>151.02000000000001</v>
      </c>
    </row>
    <row r="198" spans="1:13" ht="15.75" thickBot="1">
      <c r="A198" s="382" t="s">
        <v>13</v>
      </c>
      <c r="B198" s="393" t="str">
        <f>[1]!to_tradecode(A198)</f>
        <v>600036</v>
      </c>
      <c r="C198" s="394">
        <f>[1]!s_stmnote_bank_23n($B198,C$192,1)</f>
        <v>180.39</v>
      </c>
      <c r="D198" s="394">
        <f>[1]!s_stmnote_bank_23n($B198,D$192,1)</f>
        <v>223.29</v>
      </c>
      <c r="E198" s="394">
        <f>[1]!s_stmnote_bank_23n($B198,E$192,1)</f>
        <v>246.66</v>
      </c>
      <c r="F198" s="394">
        <f>[1]!s_stmnote_bank_23n($B198,F$192,1)</f>
        <v>302.41000000000003</v>
      </c>
      <c r="G198" s="394">
        <f>[1]!s_stmnote_bank_23n($B198,G$192,1)</f>
        <v>400.13</v>
      </c>
      <c r="H198" s="394">
        <f>[1]!s_stmnote_bank_23n($B198,H$192,1)</f>
        <v>351.79</v>
      </c>
      <c r="I198" s="394">
        <f>[1]!s_stmnote_bank_23n($B198,I$192,1)</f>
        <v>266</v>
      </c>
      <c r="J198" s="394">
        <f>[1]!s_stmnote_bank_23n($B198,J$192,1)</f>
        <v>233.42</v>
      </c>
      <c r="K198" s="394">
        <f>[1]!s_stmnote_bank_23n($B198,K$192,1)</f>
        <v>178.95</v>
      </c>
      <c r="L198" s="394">
        <f>[1]!s_stmnote_bank_23n($B198,L$192,1)</f>
        <v>180.02</v>
      </c>
      <c r="M198" s="394">
        <f>[1]!s_stmnote_bank_23n($B198,M$192,1)</f>
        <v>224.69</v>
      </c>
    </row>
    <row r="199" spans="1:13" ht="15.75" thickBot="1">
      <c r="A199" s="382" t="s">
        <v>69</v>
      </c>
      <c r="B199" s="393" t="str">
        <f>[1]!to_tradecode(A199)</f>
        <v>601998</v>
      </c>
      <c r="C199" s="394">
        <f>[1]!s_stmnote_bank_23n($B199,C$192,1)</f>
        <v>110.01</v>
      </c>
      <c r="D199" s="394">
        <f>[1]!s_stmnote_bank_23n($B199,D$192,1)</f>
        <v>150.03</v>
      </c>
      <c r="E199" s="394">
        <f>[1]!s_stmnote_bank_23n($B199,E$192,1)</f>
        <v>149.36000000000001</v>
      </c>
      <c r="F199" s="394">
        <f>[1]!s_stmnote_bank_23n($B199,F$192,1)</f>
        <v>213.51</v>
      </c>
      <c r="G199" s="394">
        <f>[1]!s_stmnote_bank_23n($B199,G$192,1)</f>
        <v>272.31</v>
      </c>
      <c r="H199" s="394">
        <f>[1]!s_stmnote_bank_23n($B199,H$192,1)</f>
        <v>288.25</v>
      </c>
      <c r="I199" s="394">
        <f>[1]!s_stmnote_bank_23n($B199,I$192,1)</f>
        <v>206.62</v>
      </c>
      <c r="J199" s="394">
        <f>[1]!s_stmnote_bank_23n($B199,J$192,1)</f>
        <v>181.26</v>
      </c>
      <c r="K199" s="394">
        <f>[1]!s_stmnote_bank_23n($B199,K$192,1)</f>
        <v>167.81</v>
      </c>
      <c r="L199" s="394">
        <f>[1]!s_stmnote_bank_23n($B199,L$192,1)</f>
        <v>155.5</v>
      </c>
      <c r="M199" s="394">
        <f>[1]!s_stmnote_bank_23n($B199,M$192,1)</f>
        <v>152.97</v>
      </c>
    </row>
    <row r="200" spans="1:13" ht="15.75" thickBot="1">
      <c r="A200" s="382" t="s">
        <v>70</v>
      </c>
      <c r="B200" s="393" t="str">
        <f>[1]!to_tradecode(A200)</f>
        <v>600000</v>
      </c>
      <c r="C200" s="394">
        <f>[1]!s_stmnote_bank_23n($B200,C$192,1)</f>
        <v>191.08</v>
      </c>
      <c r="D200" s="394">
        <f>[1]!s_stmnote_bank_23n($B200,D$192,1)</f>
        <v>192.49</v>
      </c>
      <c r="E200" s="394">
        <f>[1]!s_stmnote_bank_23n($B200,E$192,1)</f>
        <v>245.93</v>
      </c>
      <c r="F200" s="394">
        <f>[1]!s_stmnote_bank_23n($B200,F$192,1)</f>
        <v>380.56</v>
      </c>
      <c r="G200" s="394">
        <f>[1]!s_stmnote_bank_23n($B200,G$192,1)</f>
        <v>499.6</v>
      </c>
      <c r="H200" s="394">
        <f>[1]!s_stmnote_bank_23n($B200,H$192,1)</f>
        <v>399.85</v>
      </c>
      <c r="I200" s="394">
        <f>[1]!s_stmnote_bank_23n($B200,I$192,1)</f>
        <v>319.64999999999998</v>
      </c>
      <c r="J200" s="394">
        <f>[1]!s_stmnote_bank_23n($B200,J$192,1)</f>
        <v>249.09</v>
      </c>
      <c r="K200" s="394">
        <f>[1]!s_stmnote_bank_23n($B200,K$192,1)</f>
        <v>211.4</v>
      </c>
      <c r="L200" s="394">
        <f>[1]!s_stmnote_bank_23n($B200,L$192,1)</f>
        <v>169.13</v>
      </c>
      <c r="M200" s="394">
        <f>[1]!s_stmnote_bank_23n($B200,M$192,1)</f>
        <v>154.21</v>
      </c>
    </row>
    <row r="201" spans="1:13" ht="15.75" thickBot="1">
      <c r="A201" s="382" t="s">
        <v>71</v>
      </c>
      <c r="B201" s="393" t="str">
        <f>[1]!to_tradecode(A201)</f>
        <v>600016</v>
      </c>
      <c r="C201" s="394">
        <f>[1]!s_stmnote_bank_23n($B201,C$192,1)</f>
        <v>113.14</v>
      </c>
      <c r="D201" s="394">
        <f>[1]!s_stmnote_bank_23n($B201,D$192,1)</f>
        <v>150.04</v>
      </c>
      <c r="E201" s="394">
        <f>[1]!s_stmnote_bank_23n($B201,E$192,1)</f>
        <v>206.04</v>
      </c>
      <c r="F201" s="394">
        <f>[1]!s_stmnote_bank_23n($B201,F$192,1)</f>
        <v>270.45</v>
      </c>
      <c r="G201" s="394">
        <f>[1]!s_stmnote_bank_23n($B201,G$192,1)</f>
        <v>357.29</v>
      </c>
      <c r="H201" s="394">
        <f>[1]!s_stmnote_bank_23n($B201,H$192,1)</f>
        <v>314.52999999999997</v>
      </c>
      <c r="I201" s="394">
        <f>[1]!s_stmnote_bank_23n($B201,I$192,1)</f>
        <v>259.74</v>
      </c>
      <c r="J201" s="394">
        <f>[1]!s_stmnote_bank_23n($B201,J$192,1)</f>
        <v>182.2</v>
      </c>
      <c r="K201" s="394">
        <f>[1]!s_stmnote_bank_23n($B201,K$192,1)</f>
        <v>153.63</v>
      </c>
      <c r="L201" s="394">
        <f>[1]!s_stmnote_bank_23n($B201,L$192,1)</f>
        <v>155.41</v>
      </c>
      <c r="M201" s="394">
        <f>[1]!s_stmnote_bank_23n($B201,M$192,1)</f>
        <v>153.33000000000001</v>
      </c>
    </row>
    <row r="202" spans="1:13" ht="15.75" thickBot="1">
      <c r="A202" s="382" t="s">
        <v>72</v>
      </c>
      <c r="B202" s="393" t="str">
        <f>[1]!to_tradecode(A202)</f>
        <v>601166</v>
      </c>
      <c r="C202" s="394">
        <f>[1]!s_stmnote_bank_23n($B202,C$192,1)</f>
        <v>155.21</v>
      </c>
      <c r="D202" s="394">
        <f>[1]!s_stmnote_bank_23n($B202,D$192,1)</f>
        <v>226.58</v>
      </c>
      <c r="E202" s="394">
        <f>[1]!s_stmnote_bank_23n($B202,E$192,1)</f>
        <v>254.93</v>
      </c>
      <c r="F202" s="394">
        <f>[1]!s_stmnote_bank_23n($B202,F$192,1)</f>
        <v>325.51</v>
      </c>
      <c r="G202" s="394">
        <f>[1]!s_stmnote_bank_23n($B202,G$192,1)</f>
        <v>385.3</v>
      </c>
      <c r="H202" s="394">
        <f>[1]!s_stmnote_bank_23n($B202,H$192,1)</f>
        <v>465.82</v>
      </c>
      <c r="I202" s="394">
        <f>[1]!s_stmnote_bank_23n($B202,I$192,1)</f>
        <v>352.1</v>
      </c>
      <c r="J202" s="394">
        <f>[1]!s_stmnote_bank_23n($B202,J$192,1)</f>
        <v>250.21</v>
      </c>
      <c r="K202" s="394">
        <f>[1]!s_stmnote_bank_23n($B202,K$192,1)</f>
        <v>210.08</v>
      </c>
      <c r="L202" s="394">
        <f>[1]!s_stmnote_bank_23n($B202,L$192,1)</f>
        <v>210.51</v>
      </c>
      <c r="M202" s="394">
        <f>[1]!s_stmnote_bank_23n($B202,M$192,1)</f>
        <v>222.51</v>
      </c>
    </row>
    <row r="203" spans="1:13" ht="15.75" thickBot="1">
      <c r="A203" s="382" t="s">
        <v>73</v>
      </c>
      <c r="B203" s="393" t="str">
        <f>[1]!to_tradecode(A203)</f>
        <v>601818</v>
      </c>
      <c r="C203" s="394">
        <f>[1]!s_stmnote_bank_23n($B203,C$192,1)</f>
        <v>92.8065</v>
      </c>
      <c r="D203" s="394">
        <f>[1]!s_stmnote_bank_23n($B203,D$192,1)</f>
        <v>151.2467</v>
      </c>
      <c r="E203" s="394">
        <f>[1]!s_stmnote_bank_23n($B203,E$192,1)</f>
        <v>194.66220000000001</v>
      </c>
      <c r="F203" s="394">
        <f>[1]!s_stmnote_bank_23n($B203,F$192,1)</f>
        <v>313.38</v>
      </c>
      <c r="G203" s="394">
        <f>[1]!s_stmnote_bank_23n($B203,G$192,1)</f>
        <v>367</v>
      </c>
      <c r="H203" s="394">
        <f>[1]!s_stmnote_bank_23n($B203,H$192,1)</f>
        <v>339.63</v>
      </c>
      <c r="I203" s="394">
        <f>[1]!s_stmnote_bank_23n($B203,I$192,1)</f>
        <v>241.02</v>
      </c>
      <c r="J203" s="394">
        <f>[1]!s_stmnote_bank_23n($B203,J$192,1)</f>
        <v>180.52</v>
      </c>
      <c r="K203" s="394">
        <f>[1]!s_stmnote_bank_23n($B203,K$192,1)</f>
        <v>156.38999999999999</v>
      </c>
      <c r="L203" s="394">
        <f>[1]!s_stmnote_bank_23n($B203,L$192,1)</f>
        <v>152.02000000000001</v>
      </c>
      <c r="M203" s="394">
        <f>[1]!s_stmnote_bank_23n($B203,M$192,1)</f>
        <v>152.16999999999999</v>
      </c>
    </row>
    <row r="204" spans="1:13" ht="15.75" thickBot="1">
      <c r="A204" s="382" t="s">
        <v>74</v>
      </c>
      <c r="B204" s="393" t="str">
        <f>[1]!to_tradecode(A204)</f>
        <v>600015</v>
      </c>
      <c r="C204" s="394">
        <f>[1]!s_stmnote_bank_23n($B204,C$192,1)</f>
        <v>109.27</v>
      </c>
      <c r="D204" s="394">
        <f>[1]!s_stmnote_bank_23n($B204,D$192,1)</f>
        <v>151.22</v>
      </c>
      <c r="E204" s="394">
        <f>[1]!s_stmnote_bank_23n($B204,E$192,1)</f>
        <v>166.84</v>
      </c>
      <c r="F204" s="394">
        <f>[1]!s_stmnote_bank_23n($B204,F$192,1)</f>
        <v>209.04</v>
      </c>
      <c r="G204" s="394">
        <f>[1]!s_stmnote_bank_23n($B204,G$192,1)</f>
        <v>308.20999999999998</v>
      </c>
      <c r="H204" s="394">
        <f>[1]!s_stmnote_bank_23n($B204,H$192,1)</f>
        <v>320.33999999999997</v>
      </c>
      <c r="I204" s="394">
        <f>[1]!s_stmnote_bank_23n($B204,I$192,1)</f>
        <v>301.52999999999997</v>
      </c>
      <c r="J204" s="394">
        <f>[1]!s_stmnote_bank_23n($B204,J$192,1)</f>
        <v>233.13</v>
      </c>
      <c r="K204" s="394">
        <f>[1]!s_stmnote_bank_23n($B204,K$192,1)</f>
        <v>167.12</v>
      </c>
      <c r="L204" s="394">
        <f>[1]!s_stmnote_bank_23n($B204,L$192,1)</f>
        <v>158.72999999999999</v>
      </c>
      <c r="M204" s="394">
        <f>[1]!s_stmnote_bank_23n($B204,M$192,1)</f>
        <v>157.63</v>
      </c>
    </row>
    <row r="205" spans="1:13" ht="15.75" thickBot="1">
      <c r="A205" s="382" t="s">
        <v>75</v>
      </c>
      <c r="B205" s="393" t="str">
        <f>[1]!to_tradecode(A205)</f>
        <v>000001</v>
      </c>
      <c r="C205" s="394">
        <f>[1]!s_stmnote_bank_23n($B205,C$192,1)</f>
        <v>48.28</v>
      </c>
      <c r="D205" s="394">
        <f>[1]!s_stmnote_bank_23n($B205,D$192,1)</f>
        <v>105.14</v>
      </c>
      <c r="E205" s="394">
        <f>[1]!s_stmnote_bank_23n($B205,E$192,1)</f>
        <v>161.84</v>
      </c>
      <c r="F205" s="394">
        <f>[1]!s_stmnote_bank_23n($B205,F$192,1)</f>
        <v>271.5</v>
      </c>
      <c r="G205" s="394">
        <f>[1]!s_stmnote_bank_23n($B205,G$192,1)</f>
        <v>320.66000000000003</v>
      </c>
      <c r="H205" s="394">
        <f>[1]!s_stmnote_bank_23n($B205,H$192,1)</f>
        <v>182.32</v>
      </c>
      <c r="I205" s="394">
        <f>[1]!s_stmnote_bank_23n($B205,I$192,1)</f>
        <v>201.06</v>
      </c>
      <c r="J205" s="394">
        <f>[1]!s_stmnote_bank_23n($B205,J$192,1)</f>
        <v>200.9</v>
      </c>
      <c r="K205" s="394">
        <f>[1]!s_stmnote_bank_23n($B205,K$192,1)</f>
        <v>165.86</v>
      </c>
      <c r="L205" s="394">
        <f>[1]!s_stmnote_bank_23n($B205,L$192,1)</f>
        <v>155.37</v>
      </c>
      <c r="M205" s="394">
        <f>[1]!s_stmnote_bank_23n($B205,M$192,1)</f>
        <v>161.32</v>
      </c>
    </row>
    <row r="206" spans="1:13" ht="15.75" thickBot="1">
      <c r="A206" s="382" t="s">
        <v>76</v>
      </c>
      <c r="B206" s="393" t="str">
        <f>[1]!to_tradecode(A206)</f>
        <v>601169</v>
      </c>
      <c r="C206" s="394">
        <f>[1]!s_stmnote_bank_23n($B206,C$192,1)</f>
        <v>119.88</v>
      </c>
      <c r="D206" s="394">
        <f>[1]!s_stmnote_bank_23n($B206,D$192,1)</f>
        <v>180.23</v>
      </c>
      <c r="E206" s="394">
        <f>[1]!s_stmnote_bank_23n($B206,E$192,1)</f>
        <v>215.69</v>
      </c>
      <c r="F206" s="394">
        <f>[1]!s_stmnote_bank_23n($B206,F$192,1)</f>
        <v>307.12</v>
      </c>
      <c r="G206" s="394">
        <f>[1]!s_stmnote_bank_23n($B206,G$192,1)</f>
        <v>446.39</v>
      </c>
      <c r="H206" s="394">
        <f>[1]!s_stmnote_bank_23n($B206,H$192,1)</f>
        <v>419.96</v>
      </c>
      <c r="I206" s="394">
        <f>[1]!s_stmnote_bank_23n($B206,I$192,1)</f>
        <v>385.91</v>
      </c>
      <c r="J206" s="394">
        <f>[1]!s_stmnote_bank_23n($B206,J$192,1)</f>
        <v>324.22000000000003</v>
      </c>
      <c r="K206" s="394">
        <f>[1]!s_stmnote_bank_23n($B206,K$192,1)</f>
        <v>278.39</v>
      </c>
      <c r="L206" s="394">
        <f>[1]!s_stmnote_bank_23n($B206,L$192,1)</f>
        <v>256.06</v>
      </c>
      <c r="M206" s="394">
        <v>237.03</v>
      </c>
    </row>
    <row r="207" spans="1:13" ht="15.75" thickBot="1">
      <c r="A207" s="382" t="s">
        <v>77</v>
      </c>
      <c r="B207" s="393" t="str">
        <f>[1]!to_tradecode(A207)</f>
        <v>601009</v>
      </c>
      <c r="C207" s="394">
        <f>[1]!s_stmnote_bank_23n($B207,C$192,1)</f>
        <v>146.88</v>
      </c>
      <c r="D207" s="394">
        <f>[1]!s_stmnote_bank_23n($B207,D$192,1)</f>
        <v>170.05</v>
      </c>
      <c r="E207" s="394">
        <f>[1]!s_stmnote_bank_23n($B207,E$192,1)</f>
        <v>173.74</v>
      </c>
      <c r="F207" s="394">
        <f>[1]!s_stmnote_bank_23n($B207,F$192,1)</f>
        <v>234.71</v>
      </c>
      <c r="G207" s="394">
        <f>[1]!s_stmnote_bank_23n($B207,G$192,1)</f>
        <v>323.98</v>
      </c>
      <c r="H207" s="394">
        <f>[1]!s_stmnote_bank_23n($B207,H$192,1)</f>
        <v>316.74</v>
      </c>
      <c r="I207" s="394">
        <f>[1]!s_stmnote_bank_23n($B207,I$192,1)</f>
        <v>298.51</v>
      </c>
      <c r="J207" s="394">
        <f>[1]!s_stmnote_bank_23n($B207,J$192,1)</f>
        <v>325.72000000000003</v>
      </c>
      <c r="K207" s="394">
        <f>[1]!s_stmnote_bank_23n($B207,K$192,1)</f>
        <v>430.95</v>
      </c>
      <c r="L207" s="394">
        <f>[1]!s_stmnote_bank_23n($B207,L$192,1)</f>
        <v>457.32</v>
      </c>
      <c r="M207" s="394">
        <f>[1]!s_stmnote_bank_23n($B207,M$192,1)</f>
        <v>450.19</v>
      </c>
    </row>
    <row r="208" spans="1:13">
      <c r="A208" s="382" t="s">
        <v>78</v>
      </c>
      <c r="B208" s="393" t="str">
        <f>[1]!to_tradecode(A208)</f>
        <v>002142</v>
      </c>
      <c r="C208" s="394">
        <f>[1]!s_stmnote_bank_23n($B208,C$192,1)</f>
        <v>359.94</v>
      </c>
      <c r="D208" s="394">
        <f>[1]!s_stmnote_bank_23n($B208,D$192,1)</f>
        <v>152.5</v>
      </c>
      <c r="E208" s="394">
        <f>[1]!s_stmnote_bank_23n($B208,E$192,1)</f>
        <v>170.06</v>
      </c>
      <c r="F208" s="394">
        <f>[1]!s_stmnote_bank_23n($B208,F$192,1)</f>
        <v>196.15</v>
      </c>
      <c r="G208" s="394">
        <f>[1]!s_stmnote_bank_23n($B208,G$192,1)</f>
        <v>240.74</v>
      </c>
      <c r="H208" s="394">
        <f>[1]!s_stmnote_bank_23n($B208,H$192,1)</f>
        <v>275.39</v>
      </c>
      <c r="I208" s="394">
        <f>[1]!s_stmnote_bank_23n($B208,I$192,1)</f>
        <v>254.88</v>
      </c>
      <c r="J208" s="394">
        <f>[1]!s_stmnote_bank_23n($B208,J$192,1)</f>
        <v>285.17</v>
      </c>
      <c r="K208" s="394">
        <f>[1]!s_stmnote_bank_23n($B208,K$192,1)</f>
        <v>308.67</v>
      </c>
      <c r="L208" s="394">
        <f>[1]!s_stmnote_bank_23n($B208,L$192,1)</f>
        <v>351.42</v>
      </c>
      <c r="M208" s="394">
        <f>[1]!s_stmnote_bank_23n($B208,M$192,1)</f>
        <v>398.52</v>
      </c>
    </row>
  </sheetData>
  <mergeCells count="16">
    <mergeCell ref="A74:A75"/>
    <mergeCell ref="A64:A65"/>
    <mergeCell ref="A66:A67"/>
    <mergeCell ref="A68:A69"/>
    <mergeCell ref="A70:A71"/>
    <mergeCell ref="A72:A73"/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</mergeCells>
  <phoneticPr fontId="3" type="noConversion"/>
  <conditionalFormatting sqref="A20:L27">
    <cfRule type="expression" dxfId="7" priority="1">
      <formula>ISNA(A20)</formula>
    </cfRule>
  </conditionalFormatting>
  <dataValidations disablePrompts="1"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topLeftCell="A13" workbookViewId="0">
      <pane xSplit="2" topLeftCell="C1" activePane="topRight" state="frozenSplit"/>
      <selection pane="topRight" activeCell="D43" sqref="D43"/>
    </sheetView>
  </sheetViews>
  <sheetFormatPr defaultColWidth="9" defaultRowHeight="12"/>
  <cols>
    <col min="1" max="1" width="6.625" style="41" customWidth="1"/>
    <col min="2" max="10" width="9" style="41"/>
    <col min="11" max="13" width="10" style="41" bestFit="1" customWidth="1"/>
    <col min="14" max="14" width="11.125" style="41" bestFit="1" customWidth="1"/>
    <col min="15" max="17" width="10" style="41" bestFit="1" customWidth="1"/>
    <col min="18" max="18" width="11.125" style="41" bestFit="1" customWidth="1"/>
    <col min="19" max="21" width="10" style="41" bestFit="1" customWidth="1"/>
    <col min="22" max="22" width="11.125" style="41" bestFit="1" customWidth="1"/>
    <col min="23" max="23" width="9.375" style="41" customWidth="1"/>
    <col min="24" max="24" width="10" style="41" bestFit="1" customWidth="1"/>
    <col min="25" max="16384" width="9" style="41"/>
  </cols>
  <sheetData>
    <row r="1" spans="2:24" ht="12.75" thickBot="1"/>
    <row r="2" spans="2:24" ht="15" customHeight="1" thickBot="1">
      <c r="B2" s="212" t="s">
        <v>193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>
      <c r="B3" s="219" t="s">
        <v>194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>
      <c r="B4" s="223" t="s">
        <v>195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>
      <c r="B5" s="223" t="s">
        <v>196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>
      <c r="B6" s="223" t="s">
        <v>197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>
      <c r="B7" s="227" t="s">
        <v>198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>
      <c r="B8" s="219" t="s">
        <v>199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>
      <c r="B9" s="223" t="s">
        <v>200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>
      <c r="B10" s="223" t="s">
        <v>201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>
      <c r="B11" s="223" t="s">
        <v>202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>
      <c r="B12" s="223" t="s">
        <v>203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>
      <c r="B13" s="223" t="s">
        <v>204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>
      <c r="B14" s="223" t="s">
        <v>205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>
      <c r="B15" s="227" t="s">
        <v>206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>
      <c r="B16" s="219" t="s">
        <v>207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>
      <c r="B17" s="223" t="s">
        <v>208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>
      <c r="B18" s="227" t="s">
        <v>209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.75" thickBot="1"/>
    <row r="20" spans="2:24" ht="15" customHeight="1" thickBot="1">
      <c r="B20" s="212" t="s">
        <v>210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>
      <c r="B21" s="219" t="s">
        <v>194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>
      <c r="B22" s="223" t="s">
        <v>195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>
      <c r="B23" s="223" t="s">
        <v>196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>
      <c r="B24" s="223" t="s">
        <v>197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>
      <c r="B25" s="227" t="s">
        <v>198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>
      <c r="B26" s="219" t="s">
        <v>199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>
      <c r="B27" s="223" t="s">
        <v>200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>
      <c r="B28" s="223" t="s">
        <v>201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>
      <c r="B29" s="223" t="s">
        <v>202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>
      <c r="B30" s="223" t="s">
        <v>203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>
      <c r="B31" s="223" t="s">
        <v>204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>
      <c r="B32" s="223" t="s">
        <v>205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>
      <c r="B33" s="227" t="s">
        <v>206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>
      <c r="B34" s="219" t="s">
        <v>207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>
      <c r="B35" s="223" t="s">
        <v>208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>
      <c r="B36" s="227" t="s">
        <v>209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5">
      <c r="B39" s="41" t="s">
        <v>211</v>
      </c>
    </row>
    <row r="40" spans="1:24" ht="15">
      <c r="B40" s="41" t="s">
        <v>212</v>
      </c>
    </row>
    <row r="41" spans="1:24" ht="15">
      <c r="B41" s="41" t="s">
        <v>217</v>
      </c>
    </row>
    <row r="42" spans="1:24" ht="13.5">
      <c r="B42" s="41" t="s">
        <v>213</v>
      </c>
    </row>
    <row r="45" spans="1:24">
      <c r="B45" s="235" t="s">
        <v>214</v>
      </c>
      <c r="C45" s="235" t="s">
        <v>76</v>
      </c>
    </row>
    <row r="46" spans="1:24">
      <c r="B46" s="234"/>
      <c r="C46" s="234"/>
    </row>
    <row r="47" spans="1:24">
      <c r="B47" s="236"/>
      <c r="C47" s="238" t="s">
        <v>215</v>
      </c>
      <c r="D47" s="238" t="s">
        <v>216</v>
      </c>
    </row>
    <row r="48" spans="1:2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showGridLines="0" topLeftCell="A13" workbookViewId="0">
      <pane xSplit="1" topLeftCell="B1" activePane="topRight" state="frozenSplit"/>
      <selection pane="topRight" activeCell="K15" sqref="K15"/>
    </sheetView>
  </sheetViews>
  <sheetFormatPr defaultColWidth="9" defaultRowHeight="12"/>
  <cols>
    <col min="1" max="1" width="17.25" style="1" customWidth="1"/>
    <col min="2" max="2" width="11.25" style="1" customWidth="1"/>
    <col min="3" max="7" width="9.5" style="1" customWidth="1"/>
    <col min="8" max="8" width="10.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1"/>
    <col min="13" max="13" width="9.625" style="1" bestFit="1" customWidth="1"/>
    <col min="14" max="14" width="9" style="1"/>
    <col min="15" max="23" width="9" style="1" customWidth="1"/>
    <col min="24" max="16384" width="9" style="1"/>
  </cols>
  <sheetData>
    <row r="1" spans="1:14">
      <c r="A1" s="1" t="str">
        <f>[1]!to_tradecode(A2)</f>
        <v>601398</v>
      </c>
      <c r="G1" s="166"/>
    </row>
    <row r="2" spans="1:1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v>2895.12</v>
      </c>
    </row>
    <row r="4" spans="1:14" ht="13.5" customHeight="1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v>610.01</v>
      </c>
    </row>
    <row r="5" spans="1:14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v>1587.12</v>
      </c>
    </row>
    <row r="6" spans="1:14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v>-977.11</v>
      </c>
    </row>
    <row r="8" spans="1:14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v>-16.32</v>
      </c>
    </row>
    <row r="9" spans="1:14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v>-333.42</v>
      </c>
    </row>
    <row r="11" spans="1:14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v>9.74</v>
      </c>
    </row>
    <row r="12" spans="1:14" s="362" customFormat="1">
      <c r="A12" s="378" t="s">
        <v>218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>
      <c r="A13" s="376" t="s">
        <v>337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v>3165.13</v>
      </c>
    </row>
    <row r="15" spans="1:14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>
      <c r="C17" s="342" t="s">
        <v>338</v>
      </c>
      <c r="D17" s="343"/>
      <c r="E17" s="343"/>
      <c r="F17" s="343"/>
      <c r="G17" s="343"/>
      <c r="H17" s="343"/>
    </row>
    <row r="19" spans="1:21">
      <c r="O19" s="11"/>
      <c r="P19" s="11"/>
      <c r="Q19" s="11"/>
      <c r="R19" s="11"/>
      <c r="S19" s="11"/>
      <c r="T19" s="11"/>
      <c r="U19" s="11"/>
    </row>
    <row r="20" spans="1:21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>
      <c r="A21" s="9" t="s">
        <v>7</v>
      </c>
      <c r="B21" s="10">
        <f t="shared" ref="B21:J21" si="0">C4</f>
        <v>330.61</v>
      </c>
      <c r="C21" s="10">
        <f t="shared" si="0"/>
        <v>365.12</v>
      </c>
      <c r="D21" s="10">
        <f t="shared" si="0"/>
        <v>216.82</v>
      </c>
      <c r="E21" s="10">
        <f t="shared" si="0"/>
        <v>278.88</v>
      </c>
      <c r="F21" s="10">
        <f t="shared" si="0"/>
        <v>318.32</v>
      </c>
      <c r="G21" s="10">
        <f t="shared" si="0"/>
        <v>325.72000000000003</v>
      </c>
      <c r="H21" s="10">
        <f t="shared" si="0"/>
        <v>380.98</v>
      </c>
      <c r="I21" s="10">
        <f t="shared" si="0"/>
        <v>562.66999999999996</v>
      </c>
      <c r="J21" s="10">
        <f t="shared" si="0"/>
        <v>860.22</v>
      </c>
      <c r="K21" s="10">
        <f>M4</f>
        <v>861.38</v>
      </c>
      <c r="L21" s="160">
        <f>N4</f>
        <v>610.01</v>
      </c>
    </row>
    <row r="22" spans="1:21">
      <c r="A22" s="12" t="s">
        <v>8</v>
      </c>
      <c r="B22" s="13">
        <f>C10+C12</f>
        <v>-131.37</v>
      </c>
      <c r="C22" s="13">
        <f t="shared" ref="C22:F22" si="1">D10+D12</f>
        <v>-149.07</v>
      </c>
      <c r="D22" s="13">
        <f t="shared" si="1"/>
        <v>-121.08</v>
      </c>
      <c r="E22" s="13">
        <f t="shared" si="1"/>
        <v>-69.040000000000006</v>
      </c>
      <c r="F22" s="13">
        <f t="shared" si="1"/>
        <v>-45.46</v>
      </c>
      <c r="G22" s="13">
        <f>H10+H12</f>
        <v>-75.28</v>
      </c>
      <c r="H22" s="13">
        <f t="shared" ref="H22:I22" si="2">I10+I12</f>
        <v>-165</v>
      </c>
      <c r="I22" s="13">
        <f t="shared" si="2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>
      <c r="A23" s="14" t="s">
        <v>9</v>
      </c>
      <c r="B23" s="15">
        <f t="shared" ref="B23:G23" si="3">C11</f>
        <v>0</v>
      </c>
      <c r="C23" s="15">
        <f t="shared" si="3"/>
        <v>2.29</v>
      </c>
      <c r="D23" s="15">
        <f t="shared" si="3"/>
        <v>9.16</v>
      </c>
      <c r="E23" s="15">
        <f t="shared" si="3"/>
        <v>10.89</v>
      </c>
      <c r="F23" s="15">
        <f t="shared" si="3"/>
        <v>10.6</v>
      </c>
      <c r="G23" s="15">
        <f t="shared" si="3"/>
        <v>8.92</v>
      </c>
      <c r="H23" s="15">
        <f t="shared" ref="H23:J23" si="4">I11</f>
        <v>9.77</v>
      </c>
      <c r="I23" s="15">
        <f t="shared" si="4"/>
        <v>14.98</v>
      </c>
      <c r="J23" s="15">
        <f t="shared" si="4"/>
        <v>10.89</v>
      </c>
      <c r="K23" s="15">
        <f>M11</f>
        <v>19.989999999999998</v>
      </c>
      <c r="L23" s="162">
        <f>N11</f>
        <v>9.74</v>
      </c>
    </row>
    <row r="24" spans="1:21">
      <c r="L24" s="136"/>
    </row>
    <row r="25" spans="1:21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>
      <c r="A26" s="39" t="s">
        <v>10</v>
      </c>
      <c r="B26" s="247">
        <f t="shared" ref="B26:I26" si="5">(C15-B15-B22)</f>
        <v>-128.34000000000003</v>
      </c>
      <c r="C26" s="248">
        <f t="shared" si="5"/>
        <v>76.14999999999992</v>
      </c>
      <c r="D26" s="248">
        <f>(E15-D15-D22)</f>
        <v>-39.069999999999979</v>
      </c>
      <c r="E26" s="248">
        <f t="shared" si="5"/>
        <v>-83.219999999999985</v>
      </c>
      <c r="F26" s="248">
        <f t="shared" si="5"/>
        <v>43.160000000000046</v>
      </c>
      <c r="G26" s="248">
        <f t="shared" si="5"/>
        <v>90.919999999999987</v>
      </c>
      <c r="H26" s="248">
        <f t="shared" si="5"/>
        <v>356.14</v>
      </c>
      <c r="I26" s="248">
        <f t="shared" si="5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>
      <c r="A27" s="40" t="s">
        <v>11</v>
      </c>
      <c r="B27" s="20">
        <f t="shared" ref="B27:I27" si="6">(C15-B15-B22)/B16</f>
        <v>-3.5343970305997717E-3</v>
      </c>
      <c r="C27" s="21">
        <f t="shared" si="6"/>
        <v>1.8695241539329096E-3</v>
      </c>
      <c r="D27" s="21">
        <f t="shared" si="6"/>
        <v>-8.545505527785027E-4</v>
      </c>
      <c r="E27" s="21">
        <f t="shared" si="6"/>
        <v>-1.4527043657589095E-3</v>
      </c>
      <c r="F27" s="21">
        <f t="shared" si="6"/>
        <v>6.3559328273916622E-4</v>
      </c>
      <c r="G27" s="21">
        <f t="shared" si="6"/>
        <v>1.1673026360471833E-3</v>
      </c>
      <c r="H27" s="21">
        <f t="shared" si="6"/>
        <v>4.0453482470763401E-3</v>
      </c>
      <c r="I27" s="21">
        <f t="shared" si="6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5">
      <c r="A29" s="239" t="s">
        <v>191</v>
      </c>
      <c r="B29" s="239"/>
      <c r="C29" s="239"/>
      <c r="D29" s="239"/>
      <c r="E29" s="239"/>
      <c r="F29" s="239"/>
    </row>
    <row r="32" spans="1:21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87" t="s">
        <v>349</v>
      </c>
      <c r="B33" s="305">
        <f t="shared" ref="B33:K33" si="7">-B22/B15</f>
        <v>9.5371882826962864E-2</v>
      </c>
      <c r="C33" s="305">
        <f t="shared" si="7"/>
        <v>0.1333673305062</v>
      </c>
      <c r="D33" s="305">
        <f t="shared" si="7"/>
        <v>0.11588598993128003</v>
      </c>
      <c r="E33" s="305">
        <f t="shared" si="7"/>
        <v>7.8040399244916195E-2</v>
      </c>
      <c r="F33" s="305">
        <f t="shared" si="7"/>
        <v>6.2069059679687608E-2</v>
      </c>
      <c r="G33" s="305">
        <f t="shared" si="7"/>
        <v>0.10310775088685266</v>
      </c>
      <c r="H33" s="305">
        <f t="shared" si="7"/>
        <v>0.22125377137110291</v>
      </c>
      <c r="I33" s="305">
        <f t="shared" si="7"/>
        <v>0.4094824365720629</v>
      </c>
      <c r="J33" s="305">
        <f t="shared" si="7"/>
        <v>0.48431689117006838</v>
      </c>
      <c r="K33" s="305">
        <f t="shared" si="7"/>
        <v>0.41301707906728019</v>
      </c>
      <c r="L33" s="306">
        <f>-L22*2/M15</f>
        <v>0.31484270612508908</v>
      </c>
    </row>
    <row r="34" spans="1:12">
      <c r="G34" s="333"/>
      <c r="H34" s="333"/>
      <c r="I34" s="333"/>
      <c r="J34" s="333"/>
      <c r="K34" s="333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3"/>
  <sheetViews>
    <sheetView showGridLines="0" workbookViewId="0">
      <pane xSplit="1" topLeftCell="B1" activePane="topRight" state="frozenSplit"/>
      <selection pane="topRight" activeCell="A32" sqref="A32:XFD33"/>
    </sheetView>
  </sheetViews>
  <sheetFormatPr defaultColWidth="9" defaultRowHeight="12"/>
  <cols>
    <col min="1" max="1" width="17.25" style="1" customWidth="1"/>
    <col min="2" max="6" width="9.25" style="1" customWidth="1"/>
    <col min="7" max="8" width="10.87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41"/>
    <col min="13" max="16384" width="9" style="1"/>
  </cols>
  <sheetData>
    <row r="1" spans="1:14">
      <c r="A1" s="1" t="str">
        <f>[1]!to_tradecode(A2)</f>
        <v>601939</v>
      </c>
      <c r="G1" s="166" t="s">
        <v>149</v>
      </c>
    </row>
    <row r="2" spans="1:14">
      <c r="A2" s="2" t="s">
        <v>24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43" t="s">
        <v>25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>
      <c r="A4" s="2" t="s">
        <v>26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>
      <c r="A5" s="2" t="s">
        <v>27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>
      <c r="A6" s="45" t="s">
        <v>28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>
      <c r="A7" s="45" t="s">
        <v>29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>
      <c r="A8" s="2" t="s">
        <v>30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>
      <c r="A9" s="2" t="s">
        <v>31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>
      <c r="A10" s="2" t="s">
        <v>32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>
      <c r="A11" s="2" t="s">
        <v>33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>
      <c r="A12" s="2" t="s">
        <v>34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>
      <c r="A13" s="2" t="s">
        <v>35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>
      <c r="A14" s="2" t="s">
        <v>36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>
      <c r="L15" s="1"/>
      <c r="N15" s="23"/>
    </row>
    <row r="16" spans="1:14">
      <c r="A16" s="2"/>
      <c r="B16" s="2"/>
      <c r="C16" s="2"/>
      <c r="D16" s="2"/>
      <c r="E16" s="2"/>
      <c r="F16" s="2"/>
      <c r="L16" s="1"/>
    </row>
    <row r="17" spans="1:22">
      <c r="L17" s="1"/>
      <c r="O17" s="11"/>
      <c r="P17" s="11"/>
      <c r="Q17" s="11"/>
      <c r="R17" s="11"/>
      <c r="S17" s="11"/>
      <c r="T17" s="11"/>
      <c r="U17" s="11"/>
      <c r="V17" s="11"/>
    </row>
    <row r="18" spans="1:22">
      <c r="L18" s="1"/>
    </row>
    <row r="20" spans="1:22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>
      <c r="A21" s="9" t="s">
        <v>37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>
      <c r="A22" s="38" t="s">
        <v>38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>
      <c r="L23" s="1"/>
    </row>
    <row r="25" spans="1:22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>
      <c r="A26" s="246" t="s">
        <v>39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>
      <c r="A27" s="40" t="s">
        <v>40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5">
      <c r="A29" s="239" t="s">
        <v>191</v>
      </c>
      <c r="B29" s="239"/>
      <c r="C29" s="239"/>
      <c r="D29" s="239"/>
      <c r="E29" s="239"/>
      <c r="F29" s="239"/>
    </row>
    <row r="30" spans="1:22">
      <c r="G30" s="333"/>
      <c r="H30" s="333"/>
      <c r="I30" s="333"/>
      <c r="J30" s="333"/>
      <c r="K30" s="333"/>
      <c r="L30" s="332"/>
    </row>
    <row r="32" spans="1:22">
      <c r="A32" s="244"/>
      <c r="B32" s="7">
        <v>2007</v>
      </c>
      <c r="C32" s="7">
        <v>2008</v>
      </c>
      <c r="D32" s="7">
        <v>2009</v>
      </c>
      <c r="E32" s="7">
        <v>2010</v>
      </c>
      <c r="F32" s="7">
        <v>2011</v>
      </c>
      <c r="G32" s="7">
        <v>2012</v>
      </c>
      <c r="H32" s="7">
        <v>2013</v>
      </c>
      <c r="I32" s="7">
        <v>2014</v>
      </c>
      <c r="J32" s="7">
        <v>2015</v>
      </c>
      <c r="K32" s="7">
        <v>2016</v>
      </c>
      <c r="L32" s="8" t="s">
        <v>6</v>
      </c>
    </row>
    <row r="33" spans="1:12">
      <c r="A33" s="387" t="s">
        <v>349</v>
      </c>
      <c r="B33" s="305">
        <f>-B22/B13</f>
        <v>7.3793154588501997E-2</v>
      </c>
      <c r="C33" s="305">
        <f t="shared" ref="C33:K33" si="10">-C22/C13</f>
        <v>0.15761418339791006</v>
      </c>
      <c r="D33" s="305">
        <f t="shared" si="10"/>
        <v>8.6812426980758695E-2</v>
      </c>
      <c r="E33" s="305">
        <f t="shared" si="10"/>
        <v>0.13412606020289375</v>
      </c>
      <c r="F33" s="305">
        <f>-F22/F13</f>
        <v>6.3713067128198783E-2</v>
      </c>
      <c r="G33" s="305">
        <f t="shared" si="10"/>
        <v>9.7158570119156754E-2</v>
      </c>
      <c r="H33" s="305">
        <f t="shared" si="10"/>
        <v>0.22419523439384603</v>
      </c>
      <c r="I33" s="305">
        <f t="shared" si="10"/>
        <v>0.41824216550947646</v>
      </c>
      <c r="J33" s="305">
        <f t="shared" si="10"/>
        <v>0.81678168435376552</v>
      </c>
      <c r="K33" s="305">
        <f t="shared" si="10"/>
        <v>0.43254006506808051</v>
      </c>
      <c r="L33" s="305">
        <f>-L22*2/M13</f>
        <v>0.30369914376853763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5"/>
  <sheetViews>
    <sheetView showGridLines="0" workbookViewId="0">
      <pane xSplit="1" topLeftCell="B1" activePane="topRight" state="frozenSplit"/>
      <selection pane="topRight" activeCell="H14" sqref="H14"/>
    </sheetView>
  </sheetViews>
  <sheetFormatPr defaultColWidth="9.125" defaultRowHeight="14.25"/>
  <cols>
    <col min="1" max="1" width="17.25" style="65" customWidth="1"/>
    <col min="2" max="2" width="10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8" width="9.125" style="61"/>
    <col min="9" max="9" width="10.375" style="61" bestFit="1" customWidth="1"/>
    <col min="10" max="10" width="9.125" style="61"/>
    <col min="11" max="11" width="10" style="61" bestFit="1" customWidth="1"/>
    <col min="12" max="16384" width="9.125" style="61"/>
  </cols>
  <sheetData>
    <row r="1" spans="1:11">
      <c r="A1" s="59" t="str">
        <f>[1]!to_tradecode(A2)</f>
        <v>601288</v>
      </c>
      <c r="B1" s="166" t="s">
        <v>149</v>
      </c>
    </row>
    <row r="2" spans="1:11" ht="15">
      <c r="A2" s="62" t="s">
        <v>47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>
      <c r="A3" s="62" t="s">
        <v>48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>
      <c r="A4" s="62" t="s">
        <v>219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>
      <c r="A5" s="62" t="s">
        <v>49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>
      <c r="A6" s="62" t="s">
        <v>50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>
      <c r="A7" s="62" t="s">
        <v>51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>
      <c r="A8" s="369" t="s">
        <v>52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>
      <c r="A9" s="374" t="s">
        <v>53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>
      <c r="A10" s="374" t="s">
        <v>54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>
      <c r="A11" s="374" t="s">
        <v>55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>
      <c r="A12" s="374" t="s">
        <v>56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>
      <c r="A13" s="62" t="s">
        <v>57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>
      <c r="A14" s="62" t="s">
        <v>58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>
      <c r="A15" s="62" t="s">
        <v>220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>
      <c r="C16" s="342" t="s">
        <v>334</v>
      </c>
      <c r="D16" s="342"/>
      <c r="E16" s="342"/>
      <c r="F16" s="342"/>
      <c r="G16" s="342"/>
      <c r="H16" s="372"/>
      <c r="I16" s="342"/>
      <c r="J16" s="1"/>
      <c r="K16" s="1"/>
    </row>
    <row r="17" spans="1:19">
      <c r="A17" s="61"/>
      <c r="B17" s="61"/>
      <c r="C17" s="342" t="s">
        <v>335</v>
      </c>
      <c r="D17" s="342"/>
      <c r="E17" s="342"/>
      <c r="F17" s="342"/>
      <c r="G17" s="342"/>
      <c r="H17" s="342"/>
      <c r="I17" s="342"/>
    </row>
    <row r="18" spans="1:19">
      <c r="A18" s="61"/>
      <c r="B18" s="61"/>
      <c r="C18" s="342" t="s">
        <v>336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>
      <c r="A20" s="187" t="s">
        <v>221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60</v>
      </c>
      <c r="M20" s="74"/>
      <c r="N20" s="74"/>
      <c r="O20" s="74"/>
      <c r="P20" s="74"/>
      <c r="Q20" s="74"/>
      <c r="R20" s="74"/>
      <c r="S20" s="74"/>
    </row>
    <row r="21" spans="1:19">
      <c r="A21" s="70" t="s">
        <v>222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>
      <c r="A22" s="75" t="s">
        <v>62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>
      <c r="A23" s="79" t="s">
        <v>223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60</v>
      </c>
      <c r="Q25" s="74"/>
      <c r="R25" s="74"/>
      <c r="S25" s="74"/>
    </row>
    <row r="26" spans="1:19">
      <c r="A26" s="318" t="s">
        <v>224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>
      <c r="A27" s="318" t="s">
        <v>225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>
      <c r="M28" s="74"/>
      <c r="N28" s="74"/>
      <c r="O28" s="74"/>
      <c r="P28" s="74"/>
      <c r="Q28" s="74"/>
      <c r="R28" s="74"/>
      <c r="S28" s="74"/>
    </row>
    <row r="29" spans="1:19">
      <c r="M29" s="74"/>
      <c r="N29" s="74"/>
      <c r="O29" s="74"/>
      <c r="P29" s="74"/>
      <c r="Q29" s="74"/>
      <c r="R29" s="74"/>
      <c r="S29" s="74"/>
    </row>
    <row r="30" spans="1:19" ht="15">
      <c r="A30" s="239" t="s">
        <v>226</v>
      </c>
      <c r="M30" s="74"/>
      <c r="N30" s="74"/>
      <c r="O30" s="74"/>
      <c r="P30" s="74"/>
      <c r="Q30" s="74"/>
      <c r="R30" s="74"/>
      <c r="S30" s="74"/>
    </row>
    <row r="31" spans="1:19">
      <c r="J31" s="390"/>
      <c r="K31" s="390"/>
      <c r="L31" s="390"/>
    </row>
    <row r="32" spans="1:19">
      <c r="A32" s="386"/>
      <c r="B32" s="18">
        <v>2010</v>
      </c>
      <c r="C32" s="18">
        <v>2011</v>
      </c>
      <c r="D32" s="18">
        <v>2012</v>
      </c>
      <c r="E32" s="18">
        <v>2013</v>
      </c>
      <c r="F32" s="18">
        <v>2014</v>
      </c>
      <c r="G32" s="18">
        <v>2015</v>
      </c>
      <c r="H32" s="18">
        <v>2016</v>
      </c>
      <c r="I32" s="163" t="s">
        <v>6</v>
      </c>
      <c r="J32" s="390"/>
      <c r="K32" s="390"/>
      <c r="L32" s="390"/>
    </row>
    <row r="33" spans="1:12">
      <c r="A33" s="387" t="s">
        <v>349</v>
      </c>
      <c r="B33" s="305">
        <f>-B22/B14</f>
        <v>2.9524039221230695E-3</v>
      </c>
      <c r="C33" s="305">
        <f t="shared" ref="C33:G33" si="6">-C22/C14</f>
        <v>2.8185847318360643E-3</v>
      </c>
      <c r="D33" s="305">
        <f t="shared" si="6"/>
        <v>4.5891618397857097E-2</v>
      </c>
      <c r="E33" s="305">
        <f t="shared" si="6"/>
        <v>0.1139688752213214</v>
      </c>
      <c r="F33" s="305">
        <f t="shared" si="6"/>
        <v>0.33289664050307022</v>
      </c>
      <c r="G33" s="305">
        <f t="shared" si="6"/>
        <v>0.33071137072897494</v>
      </c>
      <c r="H33" s="305">
        <f>-H22/H14</f>
        <v>0.38872159611400547</v>
      </c>
      <c r="I33" s="306">
        <f>-I22*2/J14</f>
        <v>0.24537113250214437</v>
      </c>
      <c r="J33" s="391"/>
      <c r="K33" s="391"/>
      <c r="L33" s="391"/>
    </row>
    <row r="34" spans="1:12">
      <c r="J34" s="390"/>
      <c r="K34" s="390"/>
      <c r="L34" s="390"/>
    </row>
    <row r="35" spans="1:12">
      <c r="J35" s="390"/>
      <c r="K35" s="390"/>
      <c r="L35" s="390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workbookViewId="0">
      <pane xSplit="1" topLeftCell="C1" activePane="topRight" state="frozenSplit"/>
      <selection activeCell="L35" sqref="L35"/>
      <selection pane="topRight" activeCell="K17" sqref="K17"/>
    </sheetView>
  </sheetViews>
  <sheetFormatPr defaultColWidth="9.125" defaultRowHeight="12.75"/>
  <cols>
    <col min="1" max="1" width="17.25" style="59" customWidth="1"/>
    <col min="2" max="2" width="13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200"/>
    <col min="8" max="8" width="9.625" style="200" bestFit="1" customWidth="1"/>
    <col min="9" max="16384" width="9.125" style="200"/>
  </cols>
  <sheetData>
    <row r="1" spans="1:16">
      <c r="A1" s="59" t="str">
        <f>[1]!to_tradecode(A2)</f>
        <v>601988</v>
      </c>
      <c r="B1" s="166" t="s">
        <v>149</v>
      </c>
    </row>
    <row r="2" spans="1:16">
      <c r="A2" s="62" t="s">
        <v>142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>
      <c r="A3" s="167" t="s">
        <v>48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>
      <c r="A4" s="167" t="s">
        <v>143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>
      <c r="A5" s="167" t="s">
        <v>144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>
      <c r="A6" s="167" t="s">
        <v>51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>
      <c r="A7" s="167" t="s">
        <v>52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>
      <c r="A8" s="167" t="s">
        <v>53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>
      <c r="A9" s="167" t="s">
        <v>145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>
      <c r="A10" s="167" t="s">
        <v>146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>
      <c r="A11" s="62" t="s">
        <v>57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>
      <c r="A12" s="62" t="s">
        <v>58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>
      <c r="A13" s="62" t="s">
        <v>86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>
      <c r="A15" s="200"/>
      <c r="B15" s="342" t="s">
        <v>333</v>
      </c>
      <c r="C15" s="342"/>
      <c r="D15" s="342"/>
      <c r="E15" s="342"/>
      <c r="F15" s="342"/>
      <c r="G15" s="342"/>
      <c r="H15" s="342"/>
    </row>
    <row r="16" spans="1:16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>
      <c r="A17" s="200"/>
      <c r="B17" s="200"/>
      <c r="C17" s="200"/>
      <c r="D17" s="200"/>
      <c r="E17" s="200"/>
      <c r="F17" s="200"/>
    </row>
    <row r="18" spans="1:12">
      <c r="A18" s="200"/>
      <c r="B18" s="200"/>
      <c r="C18" s="200"/>
      <c r="D18" s="200"/>
      <c r="E18" s="200"/>
      <c r="F18" s="200"/>
    </row>
    <row r="20" spans="1:12">
      <c r="A20" s="170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</row>
    <row r="21" spans="1:12">
      <c r="A21" s="172" t="s">
        <v>61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>
      <c r="A22" s="174" t="s">
        <v>62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>
      <c r="A23" s="176" t="s">
        <v>63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227</v>
      </c>
    </row>
    <row r="26" spans="1:12">
      <c r="A26" s="179" t="s">
        <v>228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>
      <c r="A27" s="179" t="s">
        <v>229</v>
      </c>
      <c r="B27" s="85">
        <f>(C12-B12-B22)/B13</f>
        <v>-1.0773885745820209E-3</v>
      </c>
      <c r="C27" s="85">
        <f t="shared" ref="C27:F27" si="5">(D12-C12-C22)/C13</f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>
      <c r="G30" s="368"/>
      <c r="H30" s="368"/>
      <c r="I30" s="368"/>
      <c r="J30" s="368"/>
      <c r="K30" s="368"/>
      <c r="L30" s="368"/>
    </row>
    <row r="31" spans="1:12" ht="15">
      <c r="A31" s="239" t="s">
        <v>230</v>
      </c>
    </row>
    <row r="33" spans="1:12" s="13" customFormat="1" ht="12">
      <c r="B33" s="388"/>
      <c r="C33" s="388"/>
      <c r="D33" s="388"/>
      <c r="E33" s="388"/>
      <c r="F33" s="388"/>
      <c r="G33" s="388"/>
      <c r="H33" s="388"/>
      <c r="I33" s="388"/>
      <c r="J33" s="388"/>
      <c r="K33" s="388"/>
      <c r="L33" s="389"/>
    </row>
    <row r="34" spans="1:12" s="13" customFormat="1" ht="12">
      <c r="A34" s="392"/>
      <c r="B34" s="391"/>
      <c r="C34" s="391"/>
      <c r="D34" s="391"/>
      <c r="E34" s="391"/>
      <c r="F34" s="391"/>
      <c r="G34" s="391"/>
      <c r="H34" s="391"/>
      <c r="I34" s="391"/>
      <c r="J34" s="391"/>
      <c r="K34" s="391"/>
      <c r="L34" s="391"/>
    </row>
    <row r="35" spans="1:12">
      <c r="B35" s="204"/>
      <c r="C35" s="205"/>
      <c r="D35" s="205"/>
      <c r="E35" s="205"/>
      <c r="F35" s="205"/>
      <c r="G35" s="205"/>
      <c r="H35" s="206"/>
      <c r="I35" s="206"/>
    </row>
    <row r="36" spans="1:12">
      <c r="B36" s="207"/>
      <c r="C36" s="208"/>
      <c r="D36" s="208"/>
      <c r="E36" s="208"/>
      <c r="F36" s="208"/>
      <c r="G36" s="208"/>
      <c r="H36" s="206"/>
      <c r="I36" s="206"/>
    </row>
    <row r="37" spans="1:12">
      <c r="B37" s="204"/>
      <c r="C37" s="205"/>
      <c r="D37" s="205"/>
      <c r="E37" s="205"/>
      <c r="F37" s="205"/>
      <c r="G37" s="205"/>
      <c r="H37" s="206"/>
      <c r="I37" s="206"/>
    </row>
    <row r="38" spans="1:12">
      <c r="B38" s="204"/>
      <c r="C38" s="205"/>
      <c r="D38" s="205"/>
      <c r="E38" s="205"/>
      <c r="F38" s="205"/>
      <c r="G38" s="205"/>
      <c r="H38" s="206"/>
      <c r="I38" s="206"/>
    </row>
    <row r="39" spans="1:12">
      <c r="B39" s="204"/>
      <c r="C39" s="205"/>
      <c r="D39" s="205"/>
      <c r="E39" s="205"/>
      <c r="F39" s="205"/>
      <c r="G39" s="205"/>
      <c r="H39" s="206"/>
      <c r="I39" s="206"/>
    </row>
    <row r="40" spans="1:12">
      <c r="B40" s="204"/>
      <c r="C40" s="205"/>
      <c r="D40" s="205"/>
      <c r="E40" s="205"/>
      <c r="F40" s="205"/>
      <c r="G40" s="205"/>
      <c r="H40" s="206"/>
      <c r="I40" s="206"/>
    </row>
    <row r="41" spans="1:12">
      <c r="B41" s="204"/>
      <c r="C41" s="205"/>
      <c r="D41" s="205"/>
      <c r="E41" s="205"/>
      <c r="F41" s="205"/>
      <c r="G41" s="205"/>
      <c r="H41" s="206"/>
      <c r="I41" s="206"/>
    </row>
    <row r="42" spans="1:12">
      <c r="B42" s="204"/>
      <c r="C42" s="205"/>
      <c r="D42" s="205"/>
      <c r="E42" s="205"/>
      <c r="F42" s="205"/>
      <c r="G42" s="205"/>
      <c r="H42" s="206"/>
      <c r="I42" s="206"/>
    </row>
    <row r="43" spans="1:12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topLeftCell="A6" workbookViewId="0">
      <pane xSplit="1" topLeftCell="B1" activePane="topRight" state="frozenSplit"/>
      <selection activeCell="A33" sqref="A33:XFD34"/>
      <selection pane="topRight" activeCell="A33" sqref="A33:XFD34"/>
    </sheetView>
  </sheetViews>
  <sheetFormatPr defaultColWidth="9.125" defaultRowHeight="12"/>
  <cols>
    <col min="1" max="1" width="17.25" style="1" customWidth="1"/>
    <col min="2" max="2" width="11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9.5" style="1" bestFit="1" customWidth="1"/>
    <col min="10" max="16384" width="9.125" style="1"/>
  </cols>
  <sheetData>
    <row r="1" spans="1:14">
      <c r="A1" s="1" t="str">
        <f>[1]!to_tradecode(A2)</f>
        <v>601328</v>
      </c>
      <c r="B1" s="166" t="s">
        <v>231</v>
      </c>
    </row>
    <row r="2" spans="1:14">
      <c r="A2" s="2" t="s">
        <v>232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>
      <c r="A4" s="2" t="s">
        <v>121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>
      <c r="A5" s="2" t="s">
        <v>233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>
      <c r="A6" s="2" t="s">
        <v>234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>
      <c r="A7" s="2" t="s">
        <v>41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>
      <c r="A8" s="2" t="s">
        <v>42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>
      <c r="A9" s="2" t="s">
        <v>43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>
      <c r="A10" s="2" t="s">
        <v>235</v>
      </c>
      <c r="H10" s="2"/>
      <c r="I10" s="2"/>
      <c r="J10" s="2"/>
      <c r="K10" s="2"/>
      <c r="L10" s="2"/>
      <c r="M10" s="2">
        <v>1.2</v>
      </c>
    </row>
    <row r="11" spans="1:14">
      <c r="A11" s="2" t="s">
        <v>44</v>
      </c>
      <c r="H11" s="2"/>
      <c r="I11" s="2"/>
      <c r="J11" s="2"/>
      <c r="K11" s="2"/>
      <c r="L11" s="2"/>
      <c r="M11" s="2"/>
    </row>
    <row r="12" spans="1:14">
      <c r="A12" s="2" t="s">
        <v>45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>
      <c r="A14" s="2" t="s">
        <v>123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>
      <c r="A15" s="2" t="s">
        <v>106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2.75">
      <c r="A20" s="6" t="s">
        <v>46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126</v>
      </c>
      <c r="P20" s="11"/>
      <c r="Q20" s="11"/>
      <c r="R20" s="11"/>
      <c r="S20" s="11"/>
      <c r="T20" s="11"/>
      <c r="U20" s="11"/>
      <c r="V20" s="11"/>
    </row>
    <row r="21" spans="1:22" ht="12.75">
      <c r="A21" s="135" t="s">
        <v>236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2.75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2.75">
      <c r="A23" s="14" t="s">
        <v>237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>
      <c r="P24" s="11"/>
      <c r="Q24" s="11"/>
      <c r="R24" s="11"/>
      <c r="S24" s="11"/>
      <c r="T24" s="11"/>
      <c r="U24" s="11"/>
      <c r="V24" s="1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  <c r="P25" s="11"/>
      <c r="Q25" s="11"/>
      <c r="R25" s="11"/>
      <c r="S25" s="11"/>
      <c r="T25" s="11"/>
      <c r="U25" s="11"/>
      <c r="V25" s="11"/>
    </row>
    <row r="26" spans="1:22" ht="12.75">
      <c r="A26" s="16" t="s">
        <v>108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2.75">
      <c r="A27" s="16" t="s">
        <v>238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>
      <c r="P28" s="11"/>
      <c r="Q28" s="11"/>
      <c r="R28" s="11"/>
      <c r="S28" s="11"/>
      <c r="T28" s="11"/>
      <c r="U28" s="11"/>
      <c r="V28" s="11"/>
    </row>
    <row r="29" spans="1:22">
      <c r="P29" s="11"/>
      <c r="Q29" s="11"/>
      <c r="R29" s="11"/>
      <c r="S29" s="11"/>
      <c r="T29" s="11"/>
      <c r="U29" s="11"/>
      <c r="V29" s="11"/>
    </row>
    <row r="30" spans="1:22" ht="15">
      <c r="A30" s="239" t="s">
        <v>239</v>
      </c>
      <c r="P30" s="11"/>
      <c r="Q30" s="11"/>
      <c r="R30" s="11"/>
      <c r="S30" s="11"/>
      <c r="T30" s="11"/>
      <c r="U30" s="11"/>
      <c r="V30" s="11"/>
    </row>
    <row r="31" spans="1:22">
      <c r="P31" s="11"/>
    </row>
    <row r="32" spans="1:22">
      <c r="P32" s="11"/>
    </row>
    <row r="33" spans="1:12">
      <c r="A33" s="244"/>
      <c r="B33" s="7">
        <v>2007</v>
      </c>
      <c r="C33" s="7">
        <v>2008</v>
      </c>
      <c r="D33" s="7">
        <v>2009</v>
      </c>
      <c r="E33" s="7">
        <v>2010</v>
      </c>
      <c r="F33" s="7">
        <v>2011</v>
      </c>
      <c r="G33" s="7">
        <v>2012</v>
      </c>
      <c r="H33" s="7">
        <v>2013</v>
      </c>
      <c r="I33" s="7">
        <v>2014</v>
      </c>
      <c r="J33" s="7">
        <v>2015</v>
      </c>
      <c r="K33" s="7">
        <v>2016</v>
      </c>
      <c r="L33" s="8" t="s">
        <v>6</v>
      </c>
    </row>
    <row r="34" spans="1:12">
      <c r="A34" s="387" t="s">
        <v>349</v>
      </c>
      <c r="B34" s="305">
        <f>-B22/B14</f>
        <v>9.1660197404901861E-2</v>
      </c>
      <c r="C34" s="305">
        <f t="shared" ref="C34:K34" si="5">-C22/C14</f>
        <v>0.10829704660880518</v>
      </c>
      <c r="D34" s="305">
        <f t="shared" si="5"/>
        <v>0.13042492416772666</v>
      </c>
      <c r="E34" s="305">
        <f t="shared" si="5"/>
        <v>0.14114918629293455</v>
      </c>
      <c r="F34" s="305">
        <f t="shared" si="5"/>
        <v>9.7126620777973433E-2</v>
      </c>
      <c r="G34" s="305">
        <f t="shared" si="5"/>
        <v>0.14677522059492401</v>
      </c>
      <c r="H34" s="305">
        <f t="shared" si="5"/>
        <v>0.46630857566215966</v>
      </c>
      <c r="I34" s="305">
        <f t="shared" si="5"/>
        <v>0.49175167589624019</v>
      </c>
      <c r="J34" s="305">
        <f t="shared" si="5"/>
        <v>0.38912522956040635</v>
      </c>
      <c r="K34" s="305">
        <f t="shared" si="5"/>
        <v>0.39597196028893716</v>
      </c>
      <c r="L34" s="305">
        <f>-L22*2/M14</f>
        <v>0.28259615384615383</v>
      </c>
    </row>
    <row r="35" spans="1:12">
      <c r="F35" s="57"/>
      <c r="G35" s="23"/>
      <c r="H35" s="23"/>
      <c r="I35" s="23"/>
    </row>
    <row r="36" spans="1:12">
      <c r="F36" s="57"/>
    </row>
    <row r="37" spans="1:12">
      <c r="F37" s="57"/>
      <c r="G37" s="23"/>
      <c r="I37" s="23"/>
    </row>
    <row r="38" spans="1:12">
      <c r="F38" s="57"/>
      <c r="G38" s="23"/>
      <c r="H38" s="23"/>
    </row>
    <row r="39" spans="1:12">
      <c r="F39" s="57"/>
    </row>
    <row r="40" spans="1:12">
      <c r="F40" s="57"/>
    </row>
    <row r="41" spans="1:12">
      <c r="F41" s="58"/>
      <c r="G41" s="23"/>
      <c r="H41" s="23"/>
    </row>
    <row r="42" spans="1:12">
      <c r="F42" s="57"/>
    </row>
    <row r="43" spans="1:12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workbookViewId="0">
      <pane xSplit="1" topLeftCell="B1" activePane="topRight" state="frozenSplit"/>
      <selection pane="topRight" activeCell="L33" sqref="L33"/>
    </sheetView>
  </sheetViews>
  <sheetFormatPr defaultColWidth="9" defaultRowHeight="12.75"/>
  <cols>
    <col min="1" max="1" width="17.25" style="173" customWidth="1"/>
    <col min="2" max="2" width="13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25" style="173" bestFit="1" customWidth="1"/>
    <col min="10" max="16384" width="9" style="173"/>
  </cols>
  <sheetData>
    <row r="1" spans="1:14">
      <c r="A1" s="173" t="str">
        <f>[1]!to_tradecode(A2)</f>
        <v>600036</v>
      </c>
      <c r="B1" s="166" t="s">
        <v>149</v>
      </c>
    </row>
    <row r="2" spans="1:14">
      <c r="A2" s="64" t="s">
        <v>240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>
      <c r="A3" s="64" t="s">
        <v>181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>
      <c r="A4" s="64" t="s">
        <v>182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>
      <c r="A5" s="64" t="s">
        <v>183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>
      <c r="A6" s="64" t="s">
        <v>184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>
      <c r="A7" s="64" t="s">
        <v>185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>
      <c r="A8" s="64" t="s">
        <v>186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>
      <c r="A9" s="64" t="s">
        <v>187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>
      <c r="A10" s="64" t="s">
        <v>188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>
      <c r="A11" s="64" t="s">
        <v>189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>
      <c r="A12" s="64" t="s">
        <v>241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>
      <c r="A13" s="64" t="s">
        <v>242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>
      <c r="A14" s="64" t="s">
        <v>243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>
      <c r="J17" s="186"/>
      <c r="K17" s="186"/>
      <c r="L17" s="186"/>
      <c r="M17" s="186"/>
      <c r="N17" s="186"/>
      <c r="O17" s="186"/>
      <c r="P17" s="186"/>
      <c r="Q17" s="186"/>
    </row>
    <row r="20" spans="1:17">
      <c r="A20" s="187" t="s">
        <v>244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245</v>
      </c>
    </row>
    <row r="21" spans="1:17">
      <c r="A21" s="188" t="s">
        <v>246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>
      <c r="A22" s="175" t="s">
        <v>177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>
      <c r="A23" s="198" t="s">
        <v>247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7">
      <c r="A26" s="201" t="s">
        <v>248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>
      <c r="A27" s="195" t="s">
        <v>249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5">
      <c r="A29" s="239" t="s">
        <v>239</v>
      </c>
      <c r="F29" s="202"/>
      <c r="G29" s="202"/>
    </row>
    <row r="30" spans="1:17">
      <c r="F30" s="202"/>
      <c r="G30" s="202"/>
    </row>
    <row r="31" spans="1:17" s="1" customFormat="1" ht="12">
      <c r="A31" s="244"/>
      <c r="B31" s="7">
        <v>2007</v>
      </c>
      <c r="C31" s="7">
        <v>2008</v>
      </c>
      <c r="D31" s="7">
        <v>2009</v>
      </c>
      <c r="E31" s="7">
        <v>2010</v>
      </c>
      <c r="F31" s="7">
        <v>2011</v>
      </c>
      <c r="G31" s="7">
        <v>2012</v>
      </c>
      <c r="H31" s="7">
        <v>2013</v>
      </c>
      <c r="I31" s="7">
        <v>2014</v>
      </c>
      <c r="J31" s="7">
        <v>2015</v>
      </c>
      <c r="K31" s="7">
        <v>2016</v>
      </c>
      <c r="L31" s="8" t="s">
        <v>6</v>
      </c>
    </row>
    <row r="32" spans="1:17" s="1" customFormat="1" ht="12">
      <c r="A32" s="387" t="s">
        <v>349</v>
      </c>
      <c r="B32" s="305">
        <f>-B22/B13</f>
        <v>2.415458937198068E-2</v>
      </c>
      <c r="C32" s="305">
        <f t="shared" ref="C32:K32" si="7">-C22/C13</f>
        <v>7.2638060419472766E-2</v>
      </c>
      <c r="D32" s="305">
        <f t="shared" si="7"/>
        <v>7.5023251007543659E-2</v>
      </c>
      <c r="E32" s="305">
        <f t="shared" si="7"/>
        <v>1.2124948623099055E-2</v>
      </c>
      <c r="F32" s="305">
        <f t="shared" si="7"/>
        <v>6.0189964897790625E-2</v>
      </c>
      <c r="G32" s="305">
        <f t="shared" si="7"/>
        <v>9.5715687343290085E-2</v>
      </c>
      <c r="H32" s="305">
        <f t="shared" si="7"/>
        <v>0.1831708568496665</v>
      </c>
      <c r="I32" s="305">
        <f t="shared" si="7"/>
        <v>0.81371372463451885</v>
      </c>
      <c r="J32" s="305">
        <f t="shared" si="7"/>
        <v>1.3748970161550309</v>
      </c>
      <c r="K32" s="305">
        <f t="shared" si="7"/>
        <v>0.878337903395908</v>
      </c>
      <c r="L32" s="305">
        <f>-L22/L13</f>
        <v>0.17759157376574491</v>
      </c>
    </row>
    <row r="33" spans="6:7">
      <c r="G33" s="202"/>
    </row>
    <row r="34" spans="6:7">
      <c r="F34" s="202"/>
      <c r="G34" s="202"/>
    </row>
    <row r="35" spans="6:7">
      <c r="F35" s="202"/>
      <c r="G35" s="202"/>
    </row>
    <row r="37" spans="6:7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workbookViewId="0">
      <pane xSplit="1" topLeftCell="B1" activePane="topRight" state="frozenSplit"/>
      <selection pane="topRight" activeCell="A26" sqref="A26"/>
    </sheetView>
  </sheetViews>
  <sheetFormatPr defaultColWidth="9.125" defaultRowHeight="14.25"/>
  <cols>
    <col min="1" max="1" width="17.25" style="65" customWidth="1"/>
    <col min="2" max="2" width="11.87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5">
      <c r="A1" s="59" t="str">
        <f>[1]!to_tradecode(A2)</f>
        <v>601998</v>
      </c>
      <c r="B1" s="166" t="s">
        <v>149</v>
      </c>
    </row>
    <row r="2" spans="1:15">
      <c r="A2" s="88" t="s">
        <v>251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>
      <c r="A3" s="90" t="s">
        <v>48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>
      <c r="A4" s="90" t="s">
        <v>80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>
      <c r="A5" s="90" t="s">
        <v>52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>
      <c r="A6" s="90" t="s">
        <v>138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>
      <c r="A7" s="90" t="s">
        <v>139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>
      <c r="A8" s="90" t="s">
        <v>81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>
      <c r="A9" s="90" t="s">
        <v>140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>
      <c r="A10" s="90" t="s">
        <v>57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>
      <c r="A11" s="88" t="s">
        <v>252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>
      <c r="A12" s="88" t="s">
        <v>253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>
      <c r="A14" s="61"/>
      <c r="B14" s="61"/>
      <c r="C14" s="61"/>
      <c r="D14" s="61"/>
      <c r="E14" s="61"/>
      <c r="F14" s="61"/>
    </row>
    <row r="15" spans="1:15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141</v>
      </c>
    </row>
    <row r="21" spans="1:12">
      <c r="A21" s="70" t="s">
        <v>61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>
      <c r="A22" s="75" t="s">
        <v>62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>
      <c r="A23" s="79" t="s">
        <v>223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>
      <c r="A24" s="60"/>
      <c r="F24" s="61"/>
      <c r="G24" s="156"/>
    </row>
    <row r="25" spans="1:12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141</v>
      </c>
    </row>
    <row r="26" spans="1:12">
      <c r="A26" s="240" t="s">
        <v>224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>
      <c r="A27" s="240" t="s">
        <v>254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>
      <c r="A28" s="209"/>
    </row>
    <row r="30" spans="1:12" ht="15">
      <c r="A30" s="239" t="s">
        <v>239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workbookViewId="0">
      <pane xSplit="1" topLeftCell="B1" activePane="topRight" state="frozenSplit"/>
      <selection pane="topRight" activeCell="L27" sqref="L27"/>
    </sheetView>
  </sheetViews>
  <sheetFormatPr defaultColWidth="9.125" defaultRowHeight="14.25"/>
  <cols>
    <col min="1" max="1" width="17.25" style="65" customWidth="1"/>
    <col min="2" max="2" width="12.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6">
      <c r="A1" s="59" t="str">
        <f>[1]!to_tradecode(A2)</f>
        <v>600000</v>
      </c>
      <c r="B1" s="166" t="s">
        <v>149</v>
      </c>
    </row>
    <row r="2" spans="1:16">
      <c r="A2" s="88" t="s">
        <v>79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>
      <c r="A3" s="90" t="s">
        <v>48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>
      <c r="A4" s="90" t="s">
        <v>80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>
      <c r="A5" s="90" t="s">
        <v>81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>
      <c r="A6" s="90" t="s">
        <v>82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>
      <c r="A7" s="90" t="s">
        <v>83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>
      <c r="A8" s="90" t="s">
        <v>84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>
      <c r="A9" s="90" t="s">
        <v>85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>
      <c r="A10" s="90" t="s">
        <v>57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>
      <c r="A11" s="88" t="s">
        <v>58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>
      <c r="A12" s="88" t="s">
        <v>86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>
      <c r="A14" s="61"/>
      <c r="B14" s="61"/>
      <c r="C14" s="61"/>
      <c r="D14" s="61"/>
      <c r="E14" s="61"/>
      <c r="F14" s="61"/>
    </row>
    <row r="15" spans="1:16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8" spans="1:12">
      <c r="B18" s="61"/>
      <c r="C18" s="61"/>
      <c r="D18" s="61"/>
      <c r="E18" s="61"/>
      <c r="F18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59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250</v>
      </c>
    </row>
    <row r="21" spans="1:12">
      <c r="A21" s="70" t="s">
        <v>61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>
      <c r="A22" s="75" t="s">
        <v>62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>
      <c r="A23" s="79" t="s">
        <v>63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>
      <c r="A24" s="60"/>
      <c r="C24" s="94"/>
      <c r="H24" s="149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126</v>
      </c>
    </row>
    <row r="26" spans="1:12">
      <c r="A26" s="152" t="s">
        <v>87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>
      <c r="A27" s="152" t="s">
        <v>64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>
      <c r="A28" s="61"/>
      <c r="B28" s="61"/>
      <c r="C28" s="61"/>
      <c r="D28" s="61"/>
      <c r="E28" s="61"/>
      <c r="F28" s="61"/>
    </row>
    <row r="29" spans="1:12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5">
      <c r="A30" s="239" t="s">
        <v>239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>
      <c r="A31" s="61"/>
      <c r="B31" s="61"/>
      <c r="C31" s="61"/>
      <c r="D31" s="61"/>
      <c r="E31" s="61"/>
      <c r="F31" s="61"/>
    </row>
    <row r="32" spans="1:12">
      <c r="A32" s="61"/>
      <c r="B32" s="61"/>
      <c r="C32" s="61"/>
      <c r="D32" s="61"/>
      <c r="E32" s="61"/>
      <c r="F32" s="61"/>
    </row>
    <row r="33" spans="1:6">
      <c r="A33" s="61"/>
      <c r="B33" s="61"/>
      <c r="C33" s="61"/>
      <c r="D33" s="61"/>
      <c r="E33" s="61"/>
      <c r="F33" s="61"/>
    </row>
    <row r="34" spans="1:6">
      <c r="A34" s="61"/>
      <c r="B34" s="61"/>
      <c r="C34" s="61"/>
      <c r="D34" s="61"/>
      <c r="E34" s="61"/>
      <c r="F34" s="61"/>
    </row>
    <row r="35" spans="1:6">
      <c r="A35" s="61"/>
      <c r="B35" s="61"/>
      <c r="C35" s="61"/>
      <c r="D35" s="61"/>
      <c r="E35" s="61"/>
      <c r="F35" s="61"/>
    </row>
    <row r="36" spans="1:6">
      <c r="A36" s="61"/>
      <c r="B36" s="61"/>
      <c r="C36" s="61"/>
      <c r="D36" s="61"/>
      <c r="E36" s="61"/>
      <c r="F36" s="61"/>
    </row>
    <row r="37" spans="1:6">
      <c r="A37" s="61"/>
      <c r="B37" s="61"/>
      <c r="C37" s="61"/>
      <c r="D37" s="61"/>
      <c r="E37" s="61"/>
      <c r="F37" s="61"/>
    </row>
    <row r="38" spans="1:6">
      <c r="A38" s="61"/>
      <c r="B38" s="61"/>
      <c r="C38" s="61"/>
      <c r="D38" s="61"/>
      <c r="E38" s="61"/>
      <c r="F38" s="61"/>
    </row>
    <row r="39" spans="1:6">
      <c r="A39" s="61"/>
      <c r="B39" s="61"/>
      <c r="C39" s="61"/>
      <c r="D39" s="61"/>
      <c r="E39" s="61"/>
      <c r="F39" s="61"/>
    </row>
    <row r="40" spans="1:6">
      <c r="A40" s="61"/>
      <c r="B40" s="61"/>
      <c r="C40" s="61"/>
      <c r="D40" s="61"/>
      <c r="E40" s="61"/>
      <c r="F40" s="61"/>
    </row>
    <row r="41" spans="1:6">
      <c r="A41" s="61"/>
      <c r="B41" s="61"/>
      <c r="C41" s="61"/>
      <c r="D41" s="61"/>
      <c r="E41" s="61"/>
      <c r="F41" s="61"/>
    </row>
    <row r="42" spans="1:6">
      <c r="A42" s="61"/>
      <c r="B42" s="61"/>
      <c r="C42" s="61"/>
      <c r="D42" s="61"/>
      <c r="E42" s="61"/>
      <c r="F42" s="61"/>
    </row>
    <row r="43" spans="1:6">
      <c r="A43" s="61"/>
      <c r="B43" s="61"/>
      <c r="C43" s="61"/>
      <c r="D43" s="61"/>
      <c r="E43" s="61"/>
      <c r="F43" s="61"/>
    </row>
    <row r="44" spans="1:6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2"/>
  <cols>
    <col min="1" max="1" width="17.25" style="127" customWidth="1"/>
    <col min="2" max="2" width="11.25" style="91" customWidth="1"/>
    <col min="3" max="3" width="10.875" style="91" customWidth="1"/>
    <col min="4" max="4" width="11.25" style="91" customWidth="1"/>
    <col min="5" max="5" width="10.75" style="91" customWidth="1"/>
    <col min="6" max="6" width="10.875" style="91" customWidth="1"/>
    <col min="7" max="16384" width="9" style="128"/>
  </cols>
  <sheetData>
    <row r="1" spans="1:22">
      <c r="A1" s="127" t="str">
        <f>[1]!to_tradecode(A2)</f>
        <v>600016</v>
      </c>
      <c r="B1" s="166" t="s">
        <v>255</v>
      </c>
    </row>
    <row r="2" spans="1:22">
      <c r="A2" s="88" t="s">
        <v>256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>
      <c r="A3" s="88" t="s">
        <v>48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>
      <c r="A4" s="88" t="s">
        <v>257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>
      <c r="A5" s="88" t="s">
        <v>51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>
      <c r="A6" s="88" t="s">
        <v>52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>
      <c r="A7" s="88" t="s">
        <v>258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>
      <c r="A8" s="88" t="s">
        <v>124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>
      <c r="A9" s="88" t="s">
        <v>125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>
      <c r="A10" s="88" t="s">
        <v>57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>
      <c r="A11" s="88" t="s">
        <v>259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>
      <c r="A12" s="88" t="s">
        <v>260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2.75">
      <c r="A20" s="129" t="s">
        <v>261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262</v>
      </c>
      <c r="P20" s="131"/>
      <c r="Q20" s="131"/>
      <c r="R20" s="131"/>
      <c r="S20" s="131"/>
      <c r="T20" s="131"/>
      <c r="U20" s="131"/>
      <c r="V20" s="131"/>
    </row>
    <row r="21" spans="1:22" ht="12.75">
      <c r="A21" s="130" t="s">
        <v>263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2.75">
      <c r="A22" s="132" t="s">
        <v>62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2.75">
      <c r="A23" s="133" t="s">
        <v>63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264</v>
      </c>
      <c r="P25" s="131"/>
      <c r="Q25" s="131"/>
      <c r="R25" s="131"/>
      <c r="S25" s="131"/>
      <c r="T25" s="131"/>
      <c r="U25" s="131"/>
      <c r="V25" s="131"/>
    </row>
    <row r="26" spans="1:22" ht="12.75">
      <c r="A26" s="154" t="s">
        <v>87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2.75">
      <c r="A27" s="154" t="s">
        <v>265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>
      <c r="A28" s="153"/>
    </row>
    <row r="29" spans="1:22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>
      <c r="G30" s="363"/>
      <c r="H30" s="363"/>
      <c r="I30" s="363"/>
      <c r="J30" s="363"/>
      <c r="K30" s="363"/>
      <c r="L30" s="363"/>
    </row>
    <row r="32" spans="1:22" ht="15">
      <c r="A32" s="239" t="s">
        <v>239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4" workbookViewId="0">
      <pane xSplit="1" topLeftCell="B1" activePane="topRight" state="frozenSplit"/>
      <selection pane="topRight" activeCell="L30" sqref="L30"/>
    </sheetView>
  </sheetViews>
  <sheetFormatPr defaultColWidth="9" defaultRowHeight="12"/>
  <cols>
    <col min="1" max="1" width="17.25" style="1" customWidth="1"/>
    <col min="2" max="2" width="13.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0" width="9" style="1"/>
    <col min="11" max="11" width="10.5" style="1" customWidth="1"/>
    <col min="12" max="16384" width="9" style="1"/>
  </cols>
  <sheetData>
    <row r="1" spans="1:14">
      <c r="A1" s="1" t="str">
        <f>[1]!to_tradecode(A2)</f>
        <v>601166</v>
      </c>
      <c r="B1" s="166" t="s">
        <v>266</v>
      </c>
    </row>
    <row r="2" spans="1:14">
      <c r="A2" s="2" t="s">
        <v>88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>
      <c r="A3" s="2" t="s">
        <v>267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>
      <c r="A4" s="2" t="s">
        <v>121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>
      <c r="A5" s="2" t="s">
        <v>89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>
      <c r="A6" s="45" t="s">
        <v>268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128</v>
      </c>
      <c r="K6" s="358" t="s">
        <v>128</v>
      </c>
      <c r="L6" s="358" t="s">
        <v>269</v>
      </c>
      <c r="M6" s="358" t="s">
        <v>128</v>
      </c>
      <c r="N6" s="45" t="s">
        <v>269</v>
      </c>
    </row>
    <row r="7" spans="1:14">
      <c r="A7" s="45" t="s">
        <v>270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128</v>
      </c>
      <c r="K7" s="358" t="s">
        <v>269</v>
      </c>
      <c r="L7" s="358" t="s">
        <v>269</v>
      </c>
      <c r="M7" s="358" t="s">
        <v>128</v>
      </c>
      <c r="N7" s="45" t="s">
        <v>269</v>
      </c>
    </row>
    <row r="8" spans="1:14">
      <c r="A8" s="104" t="s">
        <v>271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272</v>
      </c>
      <c r="K8" s="358" t="s">
        <v>269</v>
      </c>
      <c r="L8" s="358" t="s">
        <v>269</v>
      </c>
      <c r="M8" s="358" t="s">
        <v>269</v>
      </c>
      <c r="N8" s="45" t="s">
        <v>128</v>
      </c>
    </row>
    <row r="9" spans="1:14">
      <c r="A9" s="105" t="s">
        <v>273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>
      <c r="A10" s="107" t="s">
        <v>274</v>
      </c>
      <c r="C10" s="280"/>
      <c r="D10" s="280"/>
      <c r="E10" s="280"/>
      <c r="G10" s="1"/>
      <c r="H10" s="358" t="s">
        <v>128</v>
      </c>
      <c r="I10" s="358" t="s">
        <v>128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>
      <c r="A11" s="281" t="s">
        <v>275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>
      <c r="A12" s="108" t="s">
        <v>276</v>
      </c>
      <c r="C12" s="280"/>
      <c r="D12" s="280"/>
      <c r="E12" s="280"/>
      <c r="G12" s="1"/>
      <c r="H12" s="45" t="s">
        <v>269</v>
      </c>
      <c r="I12" s="45" t="s">
        <v>272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>
      <c r="A13" s="2" t="s">
        <v>277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>
      <c r="A14" s="2" t="s">
        <v>122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>
      <c r="A15" s="2" t="s">
        <v>278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>
      <c r="A16" s="2" t="s">
        <v>106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2.75">
      <c r="A18" s="2"/>
      <c r="B18" s="5"/>
      <c r="C18" s="360" t="s">
        <v>332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>
      <c r="A20" s="2"/>
      <c r="C20" s="23"/>
    </row>
    <row r="21" spans="1:17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2.75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279</v>
      </c>
    </row>
    <row r="23" spans="1:17" ht="12.75">
      <c r="A23" s="135" t="s">
        <v>280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2.75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2.75">
      <c r="A25" s="282" t="s">
        <v>63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2.75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279</v>
      </c>
    </row>
    <row r="28" spans="1:17" ht="12.75">
      <c r="A28" s="154" t="s">
        <v>108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2.75">
      <c r="A29" s="154" t="s">
        <v>281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>
      <c r="G30" s="1"/>
    </row>
    <row r="32" spans="1:17" hidden="1">
      <c r="K32" s="1" t="s">
        <v>91</v>
      </c>
      <c r="L32" s="1" t="s">
        <v>92</v>
      </c>
    </row>
    <row r="33" spans="1:13" hidden="1">
      <c r="K33" s="1" t="s">
        <v>0</v>
      </c>
      <c r="L33" s="23">
        <v>72448</v>
      </c>
      <c r="M33" s="1">
        <f>L33/100</f>
        <v>724.48</v>
      </c>
    </row>
    <row r="34" spans="1:13" hidden="1">
      <c r="K34" s="1" t="s">
        <v>93</v>
      </c>
      <c r="L34" s="23">
        <v>11028</v>
      </c>
      <c r="M34" s="1">
        <f t="shared" ref="M34:M39" si="8">L34/100</f>
        <v>110.28</v>
      </c>
    </row>
    <row r="35" spans="1:13" hidden="1">
      <c r="K35" s="1" t="s">
        <v>94</v>
      </c>
      <c r="L35" s="23">
        <v>2237</v>
      </c>
      <c r="M35" s="1">
        <f t="shared" si="8"/>
        <v>22.37</v>
      </c>
    </row>
    <row r="36" spans="1:13" hidden="1">
      <c r="K36" s="1" t="s">
        <v>95</v>
      </c>
      <c r="L36" s="1">
        <v>899</v>
      </c>
      <c r="M36" s="1">
        <f t="shared" si="8"/>
        <v>8.99</v>
      </c>
    </row>
    <row r="37" spans="1:13" hidden="1">
      <c r="K37" s="1" t="s">
        <v>96</v>
      </c>
      <c r="L37" s="1">
        <v>637</v>
      </c>
      <c r="M37" s="1">
        <f t="shared" si="8"/>
        <v>6.37</v>
      </c>
    </row>
    <row r="38" spans="1:13" hidden="1">
      <c r="K38" s="1" t="s">
        <v>97</v>
      </c>
      <c r="L38" s="1">
        <v>-15</v>
      </c>
      <c r="M38" s="1">
        <f t="shared" si="8"/>
        <v>-0.15</v>
      </c>
    </row>
    <row r="39" spans="1:13" hidden="1">
      <c r="K39" s="1" t="s">
        <v>2</v>
      </c>
      <c r="L39" s="23">
        <v>81486</v>
      </c>
      <c r="M39" s="1">
        <f t="shared" si="8"/>
        <v>814.86</v>
      </c>
    </row>
    <row r="40" spans="1:13" hidden="1"/>
    <row r="41" spans="1:13" hidden="1"/>
    <row r="42" spans="1:13" hidden="1"/>
    <row r="43" spans="1:13" hidden="1"/>
    <row r="44" spans="1:13" hidden="1"/>
    <row r="45" spans="1:13" hidden="1"/>
    <row r="47" spans="1:13" ht="15">
      <c r="A47" s="239" t="s">
        <v>239</v>
      </c>
    </row>
    <row r="48" spans="1:13" ht="15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25" defaultRowHeight="12.75"/>
  <cols>
    <col min="1" max="1" width="17.25" style="173" customWidth="1"/>
    <col min="2" max="2" width="12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5" style="173" customWidth="1"/>
    <col min="10" max="13" width="9.125" style="173"/>
    <col min="14" max="14" width="9.75" style="173" bestFit="1" customWidth="1"/>
    <col min="15" max="16384" width="9.125" style="173"/>
  </cols>
  <sheetData>
    <row r="1" spans="1:20">
      <c r="A1" s="173" t="str">
        <f>[1]!to_tradecode(A2)</f>
        <v>601818</v>
      </c>
      <c r="B1" s="166" t="s">
        <v>149</v>
      </c>
    </row>
    <row r="2" spans="1:20">
      <c r="A2" s="64" t="s">
        <v>165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>
      <c r="A3" s="64" t="s">
        <v>166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>
      <c r="A4" s="64" t="s">
        <v>167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>
      <c r="A5" s="64" t="s">
        <v>168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>
      <c r="A6" s="64" t="s">
        <v>169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>
      <c r="A7" s="62" t="s">
        <v>190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>
      <c r="A8" s="64" t="s">
        <v>170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>
      <c r="A9" s="64" t="s">
        <v>171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>
      <c r="A10" s="64" t="s">
        <v>172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>
      <c r="A11" s="64" t="s">
        <v>173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>
      <c r="A12" s="64" t="s">
        <v>174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>
      <c r="N16" s="186"/>
      <c r="O16" s="186"/>
      <c r="P16" s="186"/>
      <c r="Q16" s="186"/>
      <c r="R16" s="186"/>
      <c r="S16" s="186"/>
      <c r="T16" s="186"/>
    </row>
    <row r="17" spans="1:20">
      <c r="N17" s="186"/>
      <c r="O17" s="186"/>
      <c r="P17" s="186"/>
      <c r="Q17" s="186"/>
      <c r="R17" s="186"/>
      <c r="S17" s="186"/>
      <c r="T17" s="186"/>
    </row>
    <row r="18" spans="1:20">
      <c r="N18" s="186"/>
      <c r="O18" s="186"/>
      <c r="P18" s="186"/>
      <c r="Q18" s="186"/>
      <c r="R18" s="186"/>
      <c r="S18" s="186"/>
      <c r="T18" s="186"/>
    </row>
    <row r="19" spans="1:20">
      <c r="N19" s="186"/>
      <c r="O19" s="186"/>
      <c r="P19" s="186"/>
      <c r="Q19" s="186"/>
      <c r="R19" s="186"/>
      <c r="S19" s="186"/>
      <c r="T19" s="186"/>
    </row>
    <row r="20" spans="1:20">
      <c r="A20" s="187" t="s">
        <v>175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>
      <c r="A21" s="188" t="s">
        <v>176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>
      <c r="A22" s="175" t="s">
        <v>177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>
      <c r="A23" s="198" t="s">
        <v>178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>
      <c r="J24" s="178"/>
      <c r="N24" s="186"/>
      <c r="O24" s="186"/>
      <c r="P24" s="186"/>
      <c r="Q24" s="186"/>
      <c r="R24" s="186"/>
      <c r="S24" s="186"/>
      <c r="T24" s="186"/>
    </row>
    <row r="25" spans="1:20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>
      <c r="A26" s="293" t="s">
        <v>179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>
      <c r="A27" s="293" t="s">
        <v>180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>
      <c r="B28" s="137"/>
      <c r="C28" s="64"/>
      <c r="D28" s="64"/>
      <c r="E28" s="64"/>
      <c r="F28" s="64"/>
      <c r="G28" s="64"/>
      <c r="H28" s="64"/>
    </row>
    <row r="29" spans="1:20">
      <c r="B29" s="197"/>
      <c r="C29" s="64"/>
      <c r="D29" s="64"/>
      <c r="E29" s="64"/>
      <c r="F29" s="64"/>
      <c r="G29" s="64"/>
      <c r="H29" s="64"/>
    </row>
    <row r="30" spans="1:20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5">
      <c r="A31" s="239" t="s">
        <v>191</v>
      </c>
    </row>
    <row r="32" spans="1:20">
      <c r="C32" s="64"/>
      <c r="D32" s="64"/>
      <c r="E32" s="64"/>
      <c r="F32" s="64"/>
      <c r="G32" s="64"/>
      <c r="H32" s="64"/>
    </row>
    <row r="36" spans="1:3">
      <c r="A36" s="64"/>
      <c r="C36" s="64"/>
    </row>
    <row r="37" spans="1:3">
      <c r="A37" s="64"/>
      <c r="B37" s="137"/>
      <c r="C37" s="64"/>
    </row>
    <row r="38" spans="1:3">
      <c r="A38" s="64"/>
      <c r="B38" s="197"/>
      <c r="C38" s="64"/>
    </row>
    <row r="39" spans="1:3">
      <c r="A39" s="64"/>
      <c r="B39" s="137"/>
      <c r="C39" s="64"/>
    </row>
    <row r="40" spans="1:3">
      <c r="A40" s="64"/>
      <c r="B40" s="137"/>
      <c r="C40" s="64"/>
    </row>
    <row r="41" spans="1:3">
      <c r="A41" s="64"/>
      <c r="B41" s="137"/>
      <c r="C41" s="64"/>
    </row>
    <row r="42" spans="1:3">
      <c r="A42" s="64"/>
      <c r="B42" s="137"/>
      <c r="C42" s="64"/>
    </row>
    <row r="43" spans="1:3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2.75"/>
  <cols>
    <col min="1" max="1" width="17.25" style="173" customWidth="1"/>
    <col min="2" max="2" width="13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625" style="180" bestFit="1" customWidth="1"/>
    <col min="8" max="8" width="9.625" style="173" bestFit="1" customWidth="1"/>
    <col min="9" max="16384" width="9" style="173"/>
  </cols>
  <sheetData>
    <row r="1" spans="1:22">
      <c r="A1" s="173" t="str">
        <f>[1]!to_tradecode(A2)</f>
        <v>600015</v>
      </c>
      <c r="B1" s="166" t="s">
        <v>149</v>
      </c>
    </row>
    <row r="2" spans="1:22">
      <c r="A2" s="181" t="s">
        <v>127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>
      <c r="A3" s="64" t="s">
        <v>150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>
      <c r="A4" s="64" t="s">
        <v>151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>
      <c r="A5" s="64" t="s">
        <v>152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>
      <c r="A6" s="184" t="s">
        <v>153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>
      <c r="A7" s="184" t="s">
        <v>154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>
      <c r="A8" s="185" t="s">
        <v>155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129</v>
      </c>
      <c r="J8" s="184" t="s">
        <v>128</v>
      </c>
      <c r="K8" s="184" t="s">
        <v>130</v>
      </c>
      <c r="L8" s="184" t="s">
        <v>131</v>
      </c>
      <c r="M8" s="184" t="s">
        <v>132</v>
      </c>
      <c r="N8" s="267" t="s">
        <v>133</v>
      </c>
      <c r="P8" s="183"/>
      <c r="Q8" s="353"/>
      <c r="R8" s="354"/>
      <c r="S8" s="354"/>
      <c r="T8" s="354"/>
      <c r="U8" s="354"/>
      <c r="V8" s="183"/>
    </row>
    <row r="9" spans="1:22">
      <c r="A9" s="183" t="s">
        <v>156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>
      <c r="A10" s="183" t="s">
        <v>157</v>
      </c>
      <c r="B10" s="267"/>
      <c r="C10" s="184"/>
      <c r="D10" s="267"/>
      <c r="E10" s="267"/>
      <c r="F10" s="267"/>
      <c r="G10" s="267"/>
      <c r="H10" s="184" t="s">
        <v>134</v>
      </c>
      <c r="I10" s="267">
        <v>-0.03</v>
      </c>
      <c r="J10" s="267" t="s">
        <v>133</v>
      </c>
      <c r="K10" s="267" t="s">
        <v>128</v>
      </c>
      <c r="L10" s="267" t="s">
        <v>135</v>
      </c>
      <c r="M10" s="267" t="s">
        <v>136</v>
      </c>
      <c r="N10" s="267"/>
      <c r="P10" s="354"/>
      <c r="Q10" s="183"/>
      <c r="R10" s="183"/>
      <c r="S10" s="183"/>
      <c r="T10" s="183"/>
      <c r="U10" s="183"/>
      <c r="V10" s="183"/>
    </row>
    <row r="11" spans="1:22">
      <c r="A11" s="297" t="s">
        <v>282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>
      <c r="A12" s="64" t="s">
        <v>158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>
      <c r="A13" s="64" t="s">
        <v>159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>
      <c r="A14" s="64" t="s">
        <v>160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>
      <c r="A16" s="64"/>
      <c r="B16" s="64"/>
      <c r="G16" s="173"/>
    </row>
    <row r="17" spans="1:18">
      <c r="G17" s="173"/>
      <c r="K17" s="186"/>
      <c r="L17" s="186"/>
      <c r="M17" s="186"/>
      <c r="N17" s="186"/>
      <c r="O17" s="186"/>
    </row>
    <row r="18" spans="1:18">
      <c r="G18" s="173"/>
    </row>
    <row r="19" spans="1:18" ht="14.25">
      <c r="G19" s="173"/>
      <c r="H19" s="180"/>
      <c r="O19" s="265"/>
    </row>
    <row r="20" spans="1:18" ht="14.25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137</v>
      </c>
      <c r="O20" s="265"/>
    </row>
    <row r="21" spans="1:18" ht="14.25">
      <c r="A21" s="188" t="s">
        <v>161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25">
      <c r="A22" s="177" t="s">
        <v>162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ht="14.25">
      <c r="G23" s="173"/>
      <c r="O23" s="265"/>
    </row>
    <row r="24" spans="1:18" ht="14.25">
      <c r="G24" s="173"/>
      <c r="L24" s="180"/>
      <c r="O24" s="265"/>
      <c r="Q24" s="76"/>
      <c r="R24" s="76"/>
    </row>
    <row r="25" spans="1:18" ht="14.25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>
      <c r="A26" s="192" t="s">
        <v>163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>
      <c r="A27" s="195" t="s">
        <v>164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>
      <c r="G29" s="357"/>
      <c r="H29" s="337"/>
      <c r="I29" s="337"/>
      <c r="J29" s="337"/>
      <c r="K29" s="337"/>
      <c r="L29" s="337"/>
    </row>
    <row r="30" spans="1:18" ht="15">
      <c r="A30" s="239" t="s">
        <v>191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25" defaultRowHeight="12"/>
  <cols>
    <col min="1" max="1" width="17.25" style="1" customWidth="1"/>
    <col min="2" max="2" width="13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12.25" style="1" bestFit="1" customWidth="1"/>
    <col min="10" max="16384" width="9.125" style="1"/>
  </cols>
  <sheetData>
    <row r="1" spans="1:23">
      <c r="A1" s="1" t="str">
        <f>[1]!to_tradecode(A2)</f>
        <v>000001</v>
      </c>
      <c r="B1" s="136" t="s">
        <v>291</v>
      </c>
    </row>
    <row r="2" spans="1:23">
      <c r="A2" s="2" t="s">
        <v>292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>
      <c r="A4" s="36" t="s">
        <v>99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>
      <c r="A5" s="36" t="s">
        <v>100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>
      <c r="A6" s="36" t="s">
        <v>101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>
      <c r="A7" s="36" t="s">
        <v>102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>
      <c r="A8" s="347" t="s">
        <v>286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>
      <c r="A9" s="347" t="s">
        <v>103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>
      <c r="A10" s="350" t="s">
        <v>329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>
      <c r="A11" s="347" t="s">
        <v>104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>
      <c r="A12" s="36" t="s">
        <v>105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>
      <c r="A13" s="2" t="s">
        <v>289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>
      <c r="A14" s="2" t="s">
        <v>288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>
      <c r="B16" s="346" t="s">
        <v>330</v>
      </c>
      <c r="C16" s="343"/>
      <c r="D16" s="343"/>
      <c r="E16" s="343"/>
      <c r="F16" s="343"/>
      <c r="G16" s="343"/>
      <c r="H16" s="343"/>
      <c r="I16" s="343"/>
    </row>
    <row r="17" spans="1:23">
      <c r="B17" s="342" t="s">
        <v>331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>
      <c r="A20" s="6" t="s">
        <v>283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107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>
      <c r="A23" s="14" t="s">
        <v>285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>
      <c r="A26" s="245" t="s">
        <v>290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>
      <c r="A27" s="245" t="s">
        <v>287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>
      <c r="D30" s="23"/>
      <c r="G30" s="333"/>
      <c r="H30" s="333"/>
      <c r="I30" s="333"/>
      <c r="J30" s="333"/>
      <c r="K30" s="333"/>
      <c r="L30" s="333"/>
    </row>
    <row r="31" spans="1:23">
      <c r="D31" s="23"/>
    </row>
    <row r="32" spans="1:23">
      <c r="D32" s="23"/>
    </row>
    <row r="33" spans="1:4">
      <c r="A33" s="300" t="s">
        <v>293</v>
      </c>
      <c r="D33" s="23"/>
    </row>
    <row r="37" spans="1: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2"/>
  <cols>
    <col min="1" max="1" width="17.25" style="1" customWidth="1"/>
    <col min="2" max="2" width="14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11" width="9.625" style="1" bestFit="1" customWidth="1"/>
    <col min="12" max="12" width="9" style="1"/>
    <col min="13" max="13" width="9.625" style="1" bestFit="1" customWidth="1"/>
    <col min="14" max="16384" width="9" style="1"/>
  </cols>
  <sheetData>
    <row r="1" spans="1:23">
      <c r="A1" s="1" t="str">
        <f>[1]!to_tradecode(A2)</f>
        <v>601169</v>
      </c>
      <c r="B1" s="1" t="s">
        <v>302</v>
      </c>
    </row>
    <row r="2" spans="1:23">
      <c r="A2" s="2" t="s">
        <v>303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98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>
      <c r="A4" s="36" t="s">
        <v>304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>
      <c r="A5" s="36" t="s">
        <v>294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>
      <c r="A6" s="36" t="s">
        <v>305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>
      <c r="A7" s="36" t="s">
        <v>306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>
      <c r="A8" s="36" t="s">
        <v>307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>
      <c r="A9" s="36" t="s">
        <v>105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>
      <c r="A10" s="2" t="s">
        <v>295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>
      <c r="A11" s="2" t="s">
        <v>296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>
      <c r="H15" s="303"/>
      <c r="Q15" s="11"/>
      <c r="R15" s="11"/>
      <c r="S15" s="11"/>
      <c r="T15" s="11"/>
      <c r="U15" s="11"/>
      <c r="V15" s="11"/>
      <c r="W15" s="11"/>
    </row>
    <row r="16" spans="1:23">
      <c r="Q16" s="11"/>
      <c r="R16" s="11"/>
      <c r="S16" s="11"/>
      <c r="T16" s="11"/>
      <c r="U16" s="11"/>
      <c r="V16" s="11"/>
      <c r="W16" s="11"/>
    </row>
    <row r="17" spans="1:23">
      <c r="Q17" s="11"/>
      <c r="R17" s="11"/>
      <c r="S17" s="11"/>
      <c r="T17" s="11"/>
      <c r="U17" s="11"/>
      <c r="V17" s="11"/>
      <c r="W17" s="11"/>
    </row>
    <row r="18" spans="1:23">
      <c r="Q18" s="11"/>
      <c r="R18" s="11"/>
      <c r="S18" s="11"/>
      <c r="T18" s="11"/>
      <c r="U18" s="11"/>
      <c r="V18" s="11"/>
      <c r="W18" s="11"/>
    </row>
    <row r="19" spans="1:23">
      <c r="Q19" s="11"/>
      <c r="R19" s="11"/>
      <c r="S19" s="11"/>
      <c r="T19" s="11"/>
      <c r="U19" s="11"/>
      <c r="V19" s="11"/>
      <c r="W19" s="11"/>
    </row>
    <row r="20" spans="1:23">
      <c r="A20" s="6" t="s">
        <v>284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90</v>
      </c>
      <c r="Q20" s="11"/>
      <c r="R20" s="11"/>
      <c r="S20" s="11"/>
      <c r="T20" s="11"/>
      <c r="U20" s="11"/>
      <c r="V20" s="11"/>
      <c r="W20" s="11"/>
    </row>
    <row r="21" spans="1:23">
      <c r="A21" s="9" t="s">
        <v>297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>
      <c r="A23" s="14" t="s">
        <v>298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>
      <c r="L24" s="136"/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>
      <c r="A26" s="245" t="s">
        <v>299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>
      <c r="A27" s="245" t="s">
        <v>300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>
      <c r="G29" s="283"/>
      <c r="H29" s="283"/>
      <c r="I29" s="283"/>
      <c r="J29" s="283"/>
      <c r="K29" s="283"/>
      <c r="L29" s="283"/>
    </row>
    <row r="30" spans="1:23">
      <c r="G30" s="333"/>
      <c r="H30" s="333"/>
      <c r="I30" s="333"/>
      <c r="J30" s="333"/>
      <c r="K30" s="333"/>
      <c r="L30" s="333"/>
    </row>
    <row r="32" spans="1:23">
      <c r="A32" s="300" t="s">
        <v>301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workbookViewId="0">
      <pane xSplit="1" topLeftCell="B1" activePane="topRight" state="frozenSplit"/>
      <selection pane="topRight" activeCell="G16" sqref="G16:L18"/>
    </sheetView>
  </sheetViews>
  <sheetFormatPr defaultColWidth="9" defaultRowHeight="14.25"/>
  <cols>
    <col min="1" max="1" width="17.25" style="59" customWidth="1"/>
    <col min="2" max="2" width="14.125" style="116" customWidth="1"/>
    <col min="3" max="3" width="10.875" style="116" customWidth="1"/>
    <col min="4" max="4" width="11.25" style="116" customWidth="1"/>
    <col min="5" max="5" width="10.75" style="116" customWidth="1"/>
    <col min="6" max="6" width="10.875" style="116" customWidth="1"/>
    <col min="7" max="7" width="9.625" style="61" bestFit="1" customWidth="1"/>
    <col min="8" max="8" width="9.625" style="61" customWidth="1"/>
    <col min="9" max="14" width="9" style="61"/>
    <col min="15" max="15" width="9.5" style="61" bestFit="1" customWidth="1"/>
    <col min="16" max="16384" width="9" style="61"/>
  </cols>
  <sheetData>
    <row r="1" spans="1:17">
      <c r="A1" s="59" t="str">
        <f>[1]!to_tradecode(A2)</f>
        <v>601009</v>
      </c>
      <c r="B1" s="166" t="s">
        <v>149</v>
      </c>
    </row>
    <row r="2" spans="1:17">
      <c r="A2" s="62" t="s">
        <v>77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>
      <c r="A3" s="167" t="s">
        <v>109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>
      <c r="A4" s="338" t="s">
        <v>322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>
      <c r="A5" s="167" t="s">
        <v>51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>
      <c r="A6" s="167" t="s">
        <v>110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>
      <c r="A7" s="167" t="s">
        <v>111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>
      <c r="A8" s="167" t="s">
        <v>112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>
      <c r="A9" s="167" t="s">
        <v>113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>
      <c r="A10" s="62" t="s">
        <v>114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>
      <c r="A11" s="62" t="s">
        <v>115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>
      <c r="B13" s="61"/>
      <c r="C13" s="61"/>
      <c r="D13" s="61"/>
      <c r="E13" s="61"/>
      <c r="F13" s="61"/>
    </row>
    <row r="14" spans="1:17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>
      <c r="B15" s="61"/>
      <c r="C15" s="61"/>
      <c r="D15" s="61"/>
      <c r="E15" s="61"/>
      <c r="F15" s="61"/>
    </row>
    <row r="16" spans="1:17" ht="15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ht="15">
      <c r="B17" s="65"/>
      <c r="G17" s="337"/>
      <c r="H17" s="337"/>
      <c r="I17" s="336"/>
      <c r="J17" s="336"/>
      <c r="K17" s="336"/>
      <c r="L17" s="336"/>
    </row>
    <row r="18" spans="1:12" ht="15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>
      <c r="B19" s="61"/>
      <c r="C19" s="61"/>
      <c r="D19" s="61"/>
      <c r="E19" s="61"/>
      <c r="F19" s="61"/>
    </row>
    <row r="20" spans="1:12">
      <c r="A20" s="170" t="s">
        <v>116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60</v>
      </c>
    </row>
    <row r="21" spans="1:12">
      <c r="A21" s="172" t="s">
        <v>117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>
      <c r="A22" s="174" t="s">
        <v>62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>
      <c r="A23" s="176" t="s">
        <v>118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>
      <c r="G24" s="116"/>
      <c r="H24" s="116"/>
      <c r="I24" s="116"/>
      <c r="J24" s="116"/>
    </row>
    <row r="25" spans="1:12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60</v>
      </c>
    </row>
    <row r="26" spans="1:12">
      <c r="A26" s="339" t="s">
        <v>119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>
      <c r="A27" s="340" t="s">
        <v>120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>
      <c r="A30" s="341" t="s">
        <v>323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workbookViewId="0">
      <pane xSplit="1" topLeftCell="C1" activePane="topRight" state="frozenSplit"/>
      <selection pane="topRight" activeCell="M12" sqref="M12"/>
    </sheetView>
  </sheetViews>
  <sheetFormatPr defaultColWidth="9" defaultRowHeight="12"/>
  <cols>
    <col min="1" max="1" width="17.25" style="1" customWidth="1"/>
    <col min="2" max="2" width="13.62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6384" width="9" style="1"/>
  </cols>
  <sheetData>
    <row r="1" spans="1:14" ht="12.75">
      <c r="A1" s="1" t="str">
        <f>[1]!to_tradecode(A2)</f>
        <v>002142</v>
      </c>
      <c r="B1" s="178" t="s">
        <v>309</v>
      </c>
    </row>
    <row r="2" spans="1:14">
      <c r="A2" s="2" t="s">
        <v>310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2" t="s">
        <v>311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>
      <c r="A4" s="2" t="s">
        <v>321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>
      <c r="A5" s="2" t="s">
        <v>319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>
      <c r="A6" s="309" t="s">
        <v>312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>
      <c r="A7" s="309" t="s">
        <v>308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>
      <c r="A8" s="104" t="s">
        <v>320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>
      <c r="A9" s="104" t="s">
        <v>317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>
      <c r="A10" s="2" t="s">
        <v>315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>
      <c r="A11" s="2" t="s">
        <v>122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>
      <c r="A12" s="2" t="s">
        <v>313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>
      <c r="A13" s="2" t="s">
        <v>316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5">
      <c r="A15" s="2"/>
      <c r="B15" s="344" t="s">
        <v>325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5">
      <c r="B16" s="344" t="s">
        <v>326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5">
      <c r="B17" s="344" t="s">
        <v>327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5">
      <c r="B18" s="344" t="s">
        <v>328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>
      <c r="G19" s="1"/>
    </row>
    <row r="20" spans="1:12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>
      <c r="A21" s="135" t="s">
        <v>318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>
      <c r="A22" s="325" t="s">
        <v>324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>
      <c r="G23" s="1"/>
    </row>
    <row r="24" spans="1:12">
      <c r="G24" s="1"/>
      <c r="L24" s="41"/>
    </row>
    <row r="25" spans="1:12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>
      <c r="A26" s="50" t="s">
        <v>314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>
      <c r="A27" s="19" t="s">
        <v>11</v>
      </c>
      <c r="B27" s="21">
        <f>(C12-B12-B22)/B13</f>
        <v>1.4460332699257246E-3</v>
      </c>
      <c r="C27" s="21">
        <f t="shared" ref="C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>
      <c r="G28" s="331"/>
      <c r="H28" s="283"/>
      <c r="I28" s="283"/>
      <c r="J28" s="283"/>
      <c r="K28" s="283"/>
      <c r="L28" s="283"/>
    </row>
    <row r="29" spans="1:12">
      <c r="G29" s="332"/>
      <c r="H29" s="333"/>
      <c r="I29" s="333"/>
      <c r="J29" s="333"/>
      <c r="K29" s="333"/>
      <c r="L29" s="333"/>
    </row>
    <row r="31" spans="1:12" ht="15">
      <c r="A31" s="239" t="s">
        <v>191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jjsy</cp:lastModifiedBy>
  <dcterms:created xsi:type="dcterms:W3CDTF">2015-06-05T18:19:34Z</dcterms:created>
  <dcterms:modified xsi:type="dcterms:W3CDTF">2017-09-22T05:14:37Z</dcterms:modified>
</cp:coreProperties>
</file>