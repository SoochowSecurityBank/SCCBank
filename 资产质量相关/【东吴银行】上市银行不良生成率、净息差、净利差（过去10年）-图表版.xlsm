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jsy19920302\Desktop\东吴银行工作组\trunk\资产质量相关\"/>
    </mc:Choice>
  </mc:AlternateContent>
  <bookViews>
    <workbookView xWindow="0" yWindow="0" windowWidth="22500" windowHeight="10455"/>
  </bookViews>
  <sheets>
    <sheet name="不良生成率" sheetId="2" r:id="rId1"/>
    <sheet name="净息差与净利差" sheetId="18" r:id="rId2"/>
    <sheet name="工商银行" sheetId="3" r:id="rId3"/>
    <sheet name="建设银行" sheetId="4" r:id="rId4"/>
    <sheet name="农业银行" sheetId="6" r:id="rId5"/>
    <sheet name="中国银行" sheetId="7" r:id="rId6"/>
    <sheet name="交通银行" sheetId="5" r:id="rId7"/>
    <sheet name="招商银行" sheetId="1" r:id="rId8"/>
    <sheet name="中信银行" sheetId="8" r:id="rId9"/>
    <sheet name="浦发银行" sheetId="9" r:id="rId10"/>
    <sheet name="民生银行" sheetId="10" r:id="rId11"/>
    <sheet name="兴业银行" sheetId="11" r:id="rId12"/>
    <sheet name="光大银行" sheetId="12" r:id="rId13"/>
    <sheet name="华夏银行" sheetId="13" r:id="rId14"/>
    <sheet name="平安银行" sheetId="14" r:id="rId15"/>
    <sheet name="北京银行" sheetId="15" r:id="rId16"/>
    <sheet name="南京银行" sheetId="16" r:id="rId17"/>
    <sheet name="宁波银行" sheetId="17" r:id="rId18"/>
  </sheets>
  <externalReferences>
    <externalReference r:id="rId19"/>
  </externalReferenc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1" i="2" l="1"/>
  <c r="D161" i="2"/>
  <c r="E161" i="2"/>
  <c r="F161" i="2"/>
  <c r="G161" i="2"/>
  <c r="H161" i="2"/>
  <c r="I161" i="2"/>
  <c r="J161" i="2"/>
  <c r="K161" i="2"/>
  <c r="L161" i="2"/>
  <c r="C162" i="2"/>
  <c r="D162" i="2"/>
  <c r="E162" i="2"/>
  <c r="F162" i="2"/>
  <c r="G162" i="2"/>
  <c r="H162" i="2"/>
  <c r="I162" i="2"/>
  <c r="J162" i="2"/>
  <c r="K162" i="2"/>
  <c r="L162" i="2"/>
  <c r="C163" i="2"/>
  <c r="D163" i="2"/>
  <c r="E163" i="2"/>
  <c r="F163" i="2"/>
  <c r="G163" i="2"/>
  <c r="H163" i="2"/>
  <c r="I163" i="2"/>
  <c r="J163" i="2"/>
  <c r="K163" i="2"/>
  <c r="L163" i="2"/>
  <c r="C164" i="2"/>
  <c r="D164" i="2"/>
  <c r="E164" i="2"/>
  <c r="F164" i="2"/>
  <c r="G164" i="2"/>
  <c r="H164" i="2"/>
  <c r="I164" i="2"/>
  <c r="J164" i="2"/>
  <c r="K164" i="2"/>
  <c r="L164" i="2"/>
  <c r="C165" i="2"/>
  <c r="D165" i="2"/>
  <c r="E165" i="2"/>
  <c r="F165" i="2"/>
  <c r="G165" i="2"/>
  <c r="H165" i="2"/>
  <c r="I165" i="2"/>
  <c r="J165" i="2"/>
  <c r="K165" i="2"/>
  <c r="L165" i="2"/>
  <c r="C166" i="2"/>
  <c r="D166" i="2"/>
  <c r="E166" i="2"/>
  <c r="F166" i="2"/>
  <c r="G166" i="2"/>
  <c r="H166" i="2"/>
  <c r="I166" i="2"/>
  <c r="J166" i="2"/>
  <c r="K166" i="2"/>
  <c r="L166" i="2"/>
  <c r="C167" i="2"/>
  <c r="D167" i="2"/>
  <c r="E167" i="2"/>
  <c r="F167" i="2"/>
  <c r="G167" i="2"/>
  <c r="H167" i="2"/>
  <c r="I167" i="2"/>
  <c r="J167" i="2"/>
  <c r="K167" i="2"/>
  <c r="L167" i="2"/>
  <c r="C168" i="2"/>
  <c r="D168" i="2"/>
  <c r="E168" i="2"/>
  <c r="F168" i="2"/>
  <c r="G168" i="2"/>
  <c r="H168" i="2"/>
  <c r="I168" i="2"/>
  <c r="J168" i="2"/>
  <c r="K168" i="2"/>
  <c r="L168" i="2"/>
  <c r="C169" i="2"/>
  <c r="D169" i="2"/>
  <c r="E169" i="2"/>
  <c r="F169" i="2"/>
  <c r="G169" i="2"/>
  <c r="H169" i="2"/>
  <c r="I169" i="2"/>
  <c r="J169" i="2"/>
  <c r="K169" i="2"/>
  <c r="L169" i="2"/>
  <c r="C170" i="2"/>
  <c r="D170" i="2"/>
  <c r="E170" i="2"/>
  <c r="F170" i="2"/>
  <c r="G170" i="2"/>
  <c r="H170" i="2"/>
  <c r="I170" i="2"/>
  <c r="J170" i="2"/>
  <c r="K170" i="2"/>
  <c r="L170" i="2"/>
  <c r="C171" i="2"/>
  <c r="D171" i="2"/>
  <c r="E171" i="2"/>
  <c r="F171" i="2"/>
  <c r="G171" i="2"/>
  <c r="H171" i="2"/>
  <c r="I171" i="2"/>
  <c r="J171" i="2"/>
  <c r="K171" i="2"/>
  <c r="L171" i="2"/>
  <c r="C172" i="2"/>
  <c r="D172" i="2"/>
  <c r="E172" i="2"/>
  <c r="F172" i="2"/>
  <c r="G172" i="2"/>
  <c r="H172" i="2"/>
  <c r="I172" i="2"/>
  <c r="J172" i="2"/>
  <c r="K172" i="2"/>
  <c r="L172" i="2"/>
  <c r="C173" i="2"/>
  <c r="D173" i="2"/>
  <c r="E173" i="2"/>
  <c r="F173" i="2"/>
  <c r="G173" i="2"/>
  <c r="H173" i="2"/>
  <c r="I173" i="2"/>
  <c r="J173" i="2"/>
  <c r="K173" i="2"/>
  <c r="L173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L160" i="2"/>
  <c r="F160" i="2"/>
  <c r="G160" i="2"/>
  <c r="H160" i="2"/>
  <c r="I160" i="2"/>
  <c r="J160" i="2"/>
  <c r="K160" i="2"/>
  <c r="E160" i="2"/>
  <c r="L159" i="2"/>
  <c r="K159" i="2"/>
  <c r="C159" i="2"/>
  <c r="D159" i="2"/>
  <c r="E159" i="2"/>
  <c r="F159" i="2"/>
  <c r="G159" i="2"/>
  <c r="H159" i="2"/>
  <c r="I159" i="2"/>
  <c r="J159" i="2"/>
  <c r="B159" i="2"/>
  <c r="K158" i="2"/>
  <c r="L158" i="2"/>
  <c r="C158" i="2"/>
  <c r="D158" i="2"/>
  <c r="E158" i="2"/>
  <c r="F158" i="2"/>
  <c r="G158" i="2"/>
  <c r="H158" i="2"/>
  <c r="I158" i="2"/>
  <c r="J158" i="2"/>
  <c r="B158" i="2"/>
  <c r="B194" i="2"/>
  <c r="B198" i="2"/>
  <c r="B202" i="2"/>
  <c r="B206" i="2"/>
  <c r="B205" i="2"/>
  <c r="B195" i="2"/>
  <c r="B199" i="2"/>
  <c r="B203" i="2"/>
  <c r="B207" i="2"/>
  <c r="B201" i="2"/>
  <c r="B196" i="2"/>
  <c r="B200" i="2"/>
  <c r="B204" i="2"/>
  <c r="B208" i="2"/>
  <c r="B197" i="2"/>
  <c r="B193" i="2"/>
  <c r="I194" i="2"/>
  <c r="E194" i="2"/>
  <c r="F194" i="2"/>
  <c r="L194" i="2"/>
  <c r="H194" i="2"/>
  <c r="D194" i="2"/>
  <c r="J194" i="2"/>
  <c r="K194" i="2"/>
  <c r="G194" i="2"/>
  <c r="M194" i="2"/>
  <c r="C194" i="2"/>
  <c r="F198" i="2"/>
  <c r="I198" i="2"/>
  <c r="E198" i="2"/>
  <c r="L198" i="2"/>
  <c r="H198" i="2"/>
  <c r="D198" i="2"/>
  <c r="J198" i="2"/>
  <c r="K198" i="2"/>
  <c r="G198" i="2"/>
  <c r="M198" i="2"/>
  <c r="C198" i="2"/>
  <c r="J202" i="2"/>
  <c r="I202" i="2"/>
  <c r="E202" i="2"/>
  <c r="L202" i="2"/>
  <c r="H202" i="2"/>
  <c r="D202" i="2"/>
  <c r="F202" i="2"/>
  <c r="K202" i="2"/>
  <c r="G202" i="2"/>
  <c r="M202" i="2"/>
  <c r="C202" i="2"/>
  <c r="J206" i="2"/>
  <c r="I206" i="2"/>
  <c r="E206" i="2"/>
  <c r="L206" i="2"/>
  <c r="H206" i="2"/>
  <c r="D206" i="2"/>
  <c r="F206" i="2"/>
  <c r="K206" i="2"/>
  <c r="G206" i="2"/>
  <c r="M206" i="2"/>
  <c r="C206" i="2"/>
  <c r="J205" i="2"/>
  <c r="F205" i="2"/>
  <c r="K205" i="2"/>
  <c r="I205" i="2"/>
  <c r="E205" i="2"/>
  <c r="G205" i="2"/>
  <c r="L205" i="2"/>
  <c r="H205" i="2"/>
  <c r="D205" i="2"/>
  <c r="M205" i="2"/>
  <c r="C205" i="2"/>
  <c r="I195" i="2"/>
  <c r="E195" i="2"/>
  <c r="L195" i="2"/>
  <c r="H195" i="2"/>
  <c r="D195" i="2"/>
  <c r="K195" i="2"/>
  <c r="G195" i="2"/>
  <c r="J195" i="2"/>
  <c r="F195" i="2"/>
  <c r="M195" i="2"/>
  <c r="C195" i="2"/>
  <c r="I199" i="2"/>
  <c r="L199" i="2"/>
  <c r="H199" i="2"/>
  <c r="D199" i="2"/>
  <c r="E199" i="2"/>
  <c r="K199" i="2"/>
  <c r="G199" i="2"/>
  <c r="J199" i="2"/>
  <c r="F199" i="2"/>
  <c r="M199" i="2"/>
  <c r="C199" i="2"/>
  <c r="L203" i="2"/>
  <c r="H203" i="2"/>
  <c r="D203" i="2"/>
  <c r="E203" i="2"/>
  <c r="K203" i="2"/>
  <c r="G203" i="2"/>
  <c r="I203" i="2"/>
  <c r="J203" i="2"/>
  <c r="F203" i="2"/>
  <c r="M203" i="2"/>
  <c r="C203" i="2"/>
  <c r="L207" i="2"/>
  <c r="H207" i="2"/>
  <c r="D207" i="2"/>
  <c r="E207" i="2"/>
  <c r="K207" i="2"/>
  <c r="G207" i="2"/>
  <c r="I207" i="2"/>
  <c r="J207" i="2"/>
  <c r="F207" i="2"/>
  <c r="M207" i="2"/>
  <c r="C207" i="2"/>
  <c r="J201" i="2"/>
  <c r="F201" i="2"/>
  <c r="K201" i="2"/>
  <c r="I201" i="2"/>
  <c r="E201" i="2"/>
  <c r="G201" i="2"/>
  <c r="L201" i="2"/>
  <c r="H201" i="2"/>
  <c r="D201" i="2"/>
  <c r="M201" i="2"/>
  <c r="C201" i="2"/>
  <c r="L196" i="2"/>
  <c r="K196" i="2"/>
  <c r="G196" i="2"/>
  <c r="H196" i="2"/>
  <c r="J196" i="2"/>
  <c r="F196" i="2"/>
  <c r="D196" i="2"/>
  <c r="I196" i="2"/>
  <c r="E196" i="2"/>
  <c r="M196" i="2"/>
  <c r="C196" i="2"/>
  <c r="L200" i="2"/>
  <c r="K200" i="2"/>
  <c r="G200" i="2"/>
  <c r="H200" i="2"/>
  <c r="J200" i="2"/>
  <c r="F200" i="2"/>
  <c r="D200" i="2"/>
  <c r="I200" i="2"/>
  <c r="E200" i="2"/>
  <c r="M200" i="2"/>
  <c r="C200" i="2"/>
  <c r="L204" i="2"/>
  <c r="D204" i="2"/>
  <c r="K204" i="2"/>
  <c r="G204" i="2"/>
  <c r="H204" i="2"/>
  <c r="J204" i="2"/>
  <c r="F204" i="2"/>
  <c r="I204" i="2"/>
  <c r="E204" i="2"/>
  <c r="M204" i="2"/>
  <c r="C204" i="2"/>
  <c r="L208" i="2"/>
  <c r="D208" i="2"/>
  <c r="K208" i="2"/>
  <c r="G208" i="2"/>
  <c r="H208" i="2"/>
  <c r="J208" i="2"/>
  <c r="F208" i="2"/>
  <c r="I208" i="2"/>
  <c r="E208" i="2"/>
  <c r="M208" i="2"/>
  <c r="C208" i="2"/>
  <c r="J197" i="2"/>
  <c r="F197" i="2"/>
  <c r="K197" i="2"/>
  <c r="I197" i="2"/>
  <c r="E197" i="2"/>
  <c r="G197" i="2"/>
  <c r="L197" i="2"/>
  <c r="H197" i="2"/>
  <c r="D197" i="2"/>
  <c r="M197" i="2"/>
  <c r="C197" i="2"/>
  <c r="G193" i="2"/>
  <c r="J193" i="2"/>
  <c r="F193" i="2"/>
  <c r="I193" i="2"/>
  <c r="E193" i="2"/>
  <c r="K193" i="2"/>
  <c r="L193" i="2"/>
  <c r="H193" i="2"/>
  <c r="D193" i="2"/>
  <c r="M193" i="2"/>
  <c r="C193" i="2"/>
  <c r="A1" i="17" l="1"/>
  <c r="A1" i="16"/>
  <c r="A1" i="15"/>
  <c r="A1" i="14"/>
  <c r="A1" i="13"/>
  <c r="A1" i="12"/>
  <c r="A1" i="11"/>
  <c r="A1" i="10"/>
  <c r="A1" i="9"/>
  <c r="A1" i="8"/>
  <c r="A1" i="1"/>
  <c r="A1" i="5"/>
  <c r="A1" i="7"/>
  <c r="A1" i="6"/>
  <c r="A1" i="4"/>
  <c r="A1" i="3"/>
  <c r="B124" i="2"/>
  <c r="B120" i="2"/>
  <c r="B118" i="2"/>
  <c r="B114" i="2"/>
  <c r="B111" i="2"/>
  <c r="D124" i="2"/>
  <c r="B122" i="2"/>
  <c r="L120" i="2"/>
  <c r="D120" i="2"/>
  <c r="H118" i="2"/>
  <c r="B116" i="2"/>
  <c r="L114" i="2"/>
  <c r="H114" i="2"/>
  <c r="B112" i="2"/>
  <c r="G111" i="2"/>
  <c r="B109" i="2"/>
  <c r="G124" i="2"/>
  <c r="M122" i="2"/>
  <c r="E122" i="2"/>
  <c r="K120" i="2"/>
  <c r="C120" i="2"/>
  <c r="B119" i="2"/>
  <c r="G118" i="2"/>
  <c r="M116" i="2"/>
  <c r="E116" i="2"/>
  <c r="B115" i="2"/>
  <c r="G114" i="2"/>
  <c r="I112" i="2"/>
  <c r="N111" i="2"/>
  <c r="F111" i="2"/>
  <c r="M109" i="2"/>
  <c r="I109" i="2"/>
  <c r="M124" i="2"/>
  <c r="I124" i="2"/>
  <c r="E124" i="2"/>
  <c r="B123" i="2"/>
  <c r="K122" i="2"/>
  <c r="G122" i="2"/>
  <c r="C122" i="2"/>
  <c r="M120" i="2"/>
  <c r="I120" i="2"/>
  <c r="E120" i="2"/>
  <c r="N119" i="2"/>
  <c r="J119" i="2"/>
  <c r="F119" i="2"/>
  <c r="M118" i="2"/>
  <c r="I118" i="2"/>
  <c r="E118" i="2"/>
  <c r="B117" i="2"/>
  <c r="K116" i="2"/>
  <c r="G116" i="2"/>
  <c r="C116" i="2"/>
  <c r="L115" i="2"/>
  <c r="H115" i="2"/>
  <c r="D115" i="2"/>
  <c r="M114" i="2"/>
  <c r="I114" i="2"/>
  <c r="E114" i="2"/>
  <c r="B113" i="2"/>
  <c r="K112" i="2"/>
  <c r="G112" i="2"/>
  <c r="C112" i="2"/>
  <c r="L111" i="2"/>
  <c r="H111" i="2"/>
  <c r="B110" i="2"/>
  <c r="K109" i="2"/>
  <c r="G109" i="2"/>
  <c r="L124" i="2"/>
  <c r="H124" i="2"/>
  <c r="M123" i="2"/>
  <c r="E123" i="2"/>
  <c r="J122" i="2"/>
  <c r="H120" i="2"/>
  <c r="I119" i="2"/>
  <c r="L118" i="2"/>
  <c r="D118" i="2"/>
  <c r="I117" i="2"/>
  <c r="J116" i="2"/>
  <c r="K115" i="2"/>
  <c r="C115" i="2"/>
  <c r="D114" i="2"/>
  <c r="I113" i="2"/>
  <c r="N112" i="2"/>
  <c r="F112" i="2"/>
  <c r="K111" i="2"/>
  <c r="M110" i="2"/>
  <c r="N109" i="2"/>
  <c r="F109" i="2"/>
  <c r="K124" i="2"/>
  <c r="C124" i="2"/>
  <c r="H123" i="2"/>
  <c r="I122" i="2"/>
  <c r="B121" i="2"/>
  <c r="G120" i="2"/>
  <c r="H119" i="2"/>
  <c r="K118" i="2"/>
  <c r="C118" i="2"/>
  <c r="D117" i="2"/>
  <c r="I116" i="2"/>
  <c r="N115" i="2"/>
  <c r="F115" i="2"/>
  <c r="K114" i="2"/>
  <c r="C114" i="2"/>
  <c r="H113" i="2"/>
  <c r="M112" i="2"/>
  <c r="E112" i="2"/>
  <c r="J111" i="2"/>
  <c r="L110" i="2"/>
  <c r="D110" i="2"/>
  <c r="E109" i="2"/>
  <c r="F124" i="2"/>
  <c r="J124" i="2"/>
  <c r="N124" i="2"/>
  <c r="F120" i="2"/>
  <c r="J120" i="2"/>
  <c r="N120" i="2"/>
  <c r="F118" i="2"/>
  <c r="J118" i="2"/>
  <c r="N118" i="2"/>
  <c r="F114" i="2"/>
  <c r="J114" i="2"/>
  <c r="N114" i="2"/>
  <c r="I111" i="2"/>
  <c r="M111" i="2"/>
  <c r="F122" i="2"/>
  <c r="N122" i="2"/>
  <c r="D122" i="2"/>
  <c r="H122" i="2"/>
  <c r="L122" i="2"/>
  <c r="F116" i="2"/>
  <c r="N116" i="2"/>
  <c r="D116" i="2"/>
  <c r="H116" i="2"/>
  <c r="L116" i="2"/>
  <c r="J112" i="2"/>
  <c r="D112" i="2"/>
  <c r="H112" i="2"/>
  <c r="L112" i="2"/>
  <c r="J109" i="2"/>
  <c r="C109" i="2"/>
  <c r="D109" i="2"/>
  <c r="H109" i="2"/>
  <c r="L109" i="2"/>
  <c r="L119" i="2"/>
  <c r="E119" i="2"/>
  <c r="M119" i="2"/>
  <c r="G119" i="2"/>
  <c r="K119" i="2"/>
  <c r="J115" i="2"/>
  <c r="G115" i="2"/>
  <c r="E115" i="2"/>
  <c r="I115" i="2"/>
  <c r="M115" i="2"/>
  <c r="F123" i="2"/>
  <c r="J123" i="2"/>
  <c r="N123" i="2"/>
  <c r="D123" i="2"/>
  <c r="L123" i="2"/>
  <c r="I123" i="2"/>
  <c r="C123" i="2"/>
  <c r="G123" i="2"/>
  <c r="K123" i="2"/>
  <c r="F117" i="2"/>
  <c r="J117" i="2"/>
  <c r="N117" i="2"/>
  <c r="H117" i="2"/>
  <c r="L117" i="2"/>
  <c r="E117" i="2"/>
  <c r="M117" i="2"/>
  <c r="C117" i="2"/>
  <c r="G117" i="2"/>
  <c r="K117" i="2"/>
  <c r="F113" i="2"/>
  <c r="J113" i="2"/>
  <c r="N113" i="2"/>
  <c r="D113" i="2"/>
  <c r="L113" i="2"/>
  <c r="E113" i="2"/>
  <c r="M113" i="2"/>
  <c r="C113" i="2"/>
  <c r="G113" i="2"/>
  <c r="K113" i="2"/>
  <c r="F110" i="2"/>
  <c r="J110" i="2"/>
  <c r="N110" i="2"/>
  <c r="H110" i="2"/>
  <c r="E110" i="2"/>
  <c r="I110" i="2"/>
  <c r="C110" i="2"/>
  <c r="G110" i="2"/>
  <c r="K110" i="2"/>
  <c r="N121" i="2"/>
  <c r="C121" i="2"/>
  <c r="K121" i="2"/>
  <c r="D121" i="2"/>
  <c r="H121" i="2"/>
  <c r="L121" i="2"/>
  <c r="F121" i="2"/>
  <c r="J121" i="2"/>
  <c r="G121" i="2"/>
  <c r="E121" i="2"/>
  <c r="I121" i="2"/>
  <c r="M121" i="2"/>
  <c r="C130" i="2" l="1"/>
  <c r="D130" i="2"/>
  <c r="E130" i="2"/>
  <c r="F130" i="2"/>
  <c r="G130" i="2"/>
  <c r="H130" i="2"/>
  <c r="I130" i="2"/>
  <c r="J130" i="2"/>
  <c r="K130" i="2"/>
  <c r="L130" i="2"/>
  <c r="M130" i="2"/>
  <c r="B130" i="2"/>
  <c r="C129" i="2"/>
  <c r="D129" i="2"/>
  <c r="E129" i="2"/>
  <c r="F129" i="2"/>
  <c r="G129" i="2"/>
  <c r="H129" i="2"/>
  <c r="I129" i="2"/>
  <c r="J129" i="2"/>
  <c r="K129" i="2"/>
  <c r="L129" i="2"/>
  <c r="M129" i="2"/>
  <c r="B129" i="2"/>
  <c r="C128" i="2"/>
  <c r="D128" i="2"/>
  <c r="E128" i="2"/>
  <c r="F128" i="2"/>
  <c r="G128" i="2"/>
  <c r="H128" i="2"/>
  <c r="I128" i="2"/>
  <c r="J128" i="2"/>
  <c r="K128" i="2"/>
  <c r="L128" i="2"/>
  <c r="M128" i="2"/>
  <c r="B128" i="2"/>
  <c r="C127" i="2"/>
  <c r="D127" i="2"/>
  <c r="E127" i="2"/>
  <c r="F127" i="2"/>
  <c r="G127" i="2"/>
  <c r="H127" i="2"/>
  <c r="I127" i="2"/>
  <c r="J127" i="2"/>
  <c r="K127" i="2"/>
  <c r="L127" i="2"/>
  <c r="M127" i="2"/>
  <c r="B127" i="2"/>
  <c r="M30" i="2" l="1"/>
  <c r="L30" i="2"/>
  <c r="K30" i="2"/>
  <c r="J30" i="2"/>
  <c r="I30" i="2"/>
  <c r="H30" i="2"/>
  <c r="G30" i="2"/>
  <c r="F30" i="2"/>
  <c r="E30" i="2"/>
  <c r="D30" i="2"/>
  <c r="C30" i="2"/>
  <c r="B30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N27" i="2"/>
  <c r="M27" i="2"/>
  <c r="A27" i="2"/>
  <c r="N26" i="2"/>
  <c r="M26" i="2"/>
  <c r="A26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23" i="2"/>
  <c r="N22" i="2"/>
  <c r="M22" i="2"/>
  <c r="A22" i="2"/>
  <c r="N21" i="2"/>
  <c r="M21" i="2"/>
  <c r="A21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19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18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17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16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15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14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13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12" i="2"/>
  <c r="B11" i="2"/>
  <c r="A11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10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N8" i="2"/>
  <c r="M8" i="2"/>
  <c r="L8" i="2"/>
  <c r="K8" i="2"/>
  <c r="J8" i="2"/>
  <c r="I8" i="2"/>
  <c r="H8" i="2"/>
  <c r="G8" i="2"/>
  <c r="F8" i="2"/>
  <c r="E8" i="2"/>
  <c r="D8" i="2"/>
  <c r="C8" i="2"/>
  <c r="B8" i="2"/>
  <c r="A8" i="2"/>
  <c r="N7" i="2"/>
  <c r="M7" i="2"/>
  <c r="L7" i="2"/>
  <c r="K7" i="2"/>
  <c r="J7" i="2"/>
  <c r="I7" i="2"/>
  <c r="H7" i="2"/>
  <c r="G7" i="2"/>
  <c r="F7" i="2"/>
  <c r="E7" i="2"/>
  <c r="D7" i="2"/>
  <c r="C7" i="2"/>
  <c r="B7" i="2"/>
  <c r="A7" i="2"/>
  <c r="N6" i="2"/>
  <c r="M6" i="2"/>
  <c r="L6" i="2"/>
  <c r="K6" i="2"/>
  <c r="J6" i="2"/>
  <c r="I6" i="2"/>
  <c r="H6" i="2"/>
  <c r="G6" i="2"/>
  <c r="F6" i="2"/>
  <c r="E6" i="2"/>
  <c r="D6" i="2"/>
  <c r="C6" i="2"/>
  <c r="B6" i="2"/>
  <c r="A6" i="2"/>
  <c r="N5" i="2"/>
  <c r="M5" i="2"/>
  <c r="L5" i="2"/>
  <c r="K5" i="2"/>
  <c r="J5" i="2"/>
  <c r="I5" i="2"/>
  <c r="H5" i="2"/>
  <c r="G5" i="2"/>
  <c r="F5" i="2"/>
  <c r="E5" i="2"/>
  <c r="D5" i="2"/>
  <c r="C5" i="2"/>
  <c r="B5" i="2"/>
  <c r="A5" i="2"/>
  <c r="N4" i="2"/>
  <c r="M4" i="2"/>
  <c r="L4" i="2"/>
  <c r="K4" i="2"/>
  <c r="J4" i="2"/>
  <c r="I4" i="2"/>
  <c r="H4" i="2"/>
  <c r="G4" i="2"/>
  <c r="F4" i="2"/>
  <c r="E4" i="2"/>
  <c r="D4" i="2"/>
  <c r="C4" i="2"/>
  <c r="B4" i="2"/>
  <c r="A4" i="2"/>
  <c r="M3" i="2"/>
  <c r="L3" i="2"/>
  <c r="K3" i="2"/>
  <c r="J3" i="2"/>
  <c r="I3" i="2"/>
  <c r="H3" i="2"/>
  <c r="G3" i="2"/>
  <c r="F3" i="2"/>
  <c r="E3" i="2"/>
  <c r="D3" i="2"/>
  <c r="C3" i="2"/>
  <c r="B3" i="2"/>
  <c r="A3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M1" i="2"/>
  <c r="L1" i="2"/>
  <c r="K1" i="2"/>
  <c r="J1" i="2"/>
  <c r="I1" i="2"/>
  <c r="H1" i="2"/>
  <c r="G1" i="2"/>
  <c r="F1" i="2"/>
  <c r="E1" i="2"/>
  <c r="D1" i="2"/>
  <c r="C1" i="2"/>
  <c r="B1" i="2"/>
  <c r="K22" i="3"/>
  <c r="K33" i="3" s="1"/>
  <c r="J22" i="3"/>
  <c r="J33" i="3" s="1"/>
  <c r="H22" i="3"/>
  <c r="I22" i="3"/>
  <c r="G22" i="3"/>
  <c r="B22" i="3"/>
  <c r="H8" i="6"/>
  <c r="E8" i="6"/>
  <c r="N7" i="7"/>
  <c r="K23" i="5"/>
  <c r="K22" i="5"/>
  <c r="K34" i="5" s="1"/>
  <c r="H21" i="5"/>
  <c r="E22" i="1"/>
  <c r="L23" i="8"/>
  <c r="K23" i="8"/>
  <c r="J23" i="8"/>
  <c r="C23" i="8"/>
  <c r="D23" i="8"/>
  <c r="E23" i="8"/>
  <c r="F23" i="8"/>
  <c r="G23" i="8"/>
  <c r="H23" i="8"/>
  <c r="I23" i="8"/>
  <c r="B23" i="8"/>
  <c r="L23" i="10"/>
  <c r="L22" i="10"/>
  <c r="L21" i="10"/>
  <c r="L24" i="11"/>
  <c r="L149" i="2" s="1"/>
  <c r="L25" i="11"/>
  <c r="K25" i="11"/>
  <c r="H23" i="12"/>
  <c r="H22" i="12"/>
  <c r="I22" i="12"/>
  <c r="J22" i="12"/>
  <c r="K5" i="13"/>
  <c r="L5" i="13"/>
  <c r="C5" i="13"/>
  <c r="H21" i="13"/>
  <c r="J22" i="14"/>
  <c r="J152" i="2" s="1"/>
  <c r="G21" i="14"/>
  <c r="R25" i="14"/>
  <c r="S25" i="14"/>
  <c r="T25" i="14"/>
  <c r="U25" i="14"/>
  <c r="V25" i="14"/>
  <c r="W25" i="14"/>
  <c r="R26" i="14"/>
  <c r="S26" i="14"/>
  <c r="T26" i="14"/>
  <c r="U26" i="14"/>
  <c r="V26" i="14"/>
  <c r="W26" i="14"/>
  <c r="R27" i="14"/>
  <c r="S27" i="14"/>
  <c r="T27" i="14"/>
  <c r="U27" i="14"/>
  <c r="V27" i="14"/>
  <c r="W27" i="14"/>
  <c r="R28" i="14"/>
  <c r="S28" i="14"/>
  <c r="T28" i="14"/>
  <c r="U28" i="14"/>
  <c r="V28" i="14"/>
  <c r="W28" i="14"/>
  <c r="Q27" i="14"/>
  <c r="Q28" i="14"/>
  <c r="Q26" i="14"/>
  <c r="Q25" i="14"/>
  <c r="Q20" i="14"/>
  <c r="R20" i="14"/>
  <c r="S20" i="14"/>
  <c r="T20" i="14"/>
  <c r="U20" i="14"/>
  <c r="V20" i="14"/>
  <c r="W20" i="14"/>
  <c r="Q21" i="14"/>
  <c r="R21" i="14"/>
  <c r="S21" i="14"/>
  <c r="T21" i="14"/>
  <c r="U21" i="14"/>
  <c r="V21" i="14"/>
  <c r="W21" i="14"/>
  <c r="Q22" i="14"/>
  <c r="R22" i="14"/>
  <c r="S22" i="14"/>
  <c r="T22" i="14"/>
  <c r="U22" i="14"/>
  <c r="V22" i="14"/>
  <c r="W22" i="14"/>
  <c r="Q23" i="14"/>
  <c r="R23" i="14"/>
  <c r="S23" i="14"/>
  <c r="T23" i="14"/>
  <c r="U23" i="14"/>
  <c r="V23" i="14"/>
  <c r="W23" i="14"/>
  <c r="Q24" i="14"/>
  <c r="R24" i="14"/>
  <c r="S24" i="14"/>
  <c r="T24" i="14"/>
  <c r="U24" i="14"/>
  <c r="V24" i="14"/>
  <c r="W24" i="14"/>
  <c r="L23" i="16"/>
  <c r="L22" i="17"/>
  <c r="K22" i="17"/>
  <c r="J22" i="17"/>
  <c r="C22" i="17"/>
  <c r="D22" i="17"/>
  <c r="E22" i="17"/>
  <c r="F22" i="17"/>
  <c r="G22" i="17"/>
  <c r="H22" i="17"/>
  <c r="I22" i="17"/>
  <c r="B22" i="17"/>
  <c r="B155" i="2" s="1"/>
  <c r="L22" i="16"/>
  <c r="L21" i="16"/>
  <c r="K21" i="17"/>
  <c r="K21" i="2" s="1"/>
  <c r="J22" i="16"/>
  <c r="E145" i="2" l="1"/>
  <c r="E32" i="1"/>
  <c r="B140" i="2"/>
  <c r="B33" i="3"/>
  <c r="H140" i="2"/>
  <c r="H33" i="3"/>
  <c r="G140" i="2"/>
  <c r="G33" i="3"/>
  <c r="I140" i="2"/>
  <c r="I33" i="3"/>
  <c r="F22" i="2"/>
  <c r="F155" i="2"/>
  <c r="I22" i="2"/>
  <c r="I155" i="2"/>
  <c r="E22" i="2"/>
  <c r="E155" i="2"/>
  <c r="K22" i="2"/>
  <c r="K155" i="2"/>
  <c r="J26" i="12"/>
  <c r="J27" i="12" s="1"/>
  <c r="L150" i="2"/>
  <c r="L26" i="10"/>
  <c r="L27" i="10" s="1"/>
  <c r="L148" i="2"/>
  <c r="J27" i="3"/>
  <c r="J140" i="2"/>
  <c r="J27" i="16"/>
  <c r="J154" i="2"/>
  <c r="K26" i="5"/>
  <c r="K144" i="2"/>
  <c r="H22" i="2"/>
  <c r="H155" i="2"/>
  <c r="D22" i="2"/>
  <c r="D155" i="2"/>
  <c r="L26" i="17"/>
  <c r="L26" i="2" s="1"/>
  <c r="L155" i="2"/>
  <c r="I26" i="12"/>
  <c r="I27" i="12" s="1"/>
  <c r="K150" i="2"/>
  <c r="K26" i="3"/>
  <c r="K140" i="2"/>
  <c r="J22" i="2"/>
  <c r="J155" i="2"/>
  <c r="L26" i="16"/>
  <c r="L27" i="16" s="1"/>
  <c r="L154" i="2"/>
  <c r="G22" i="2"/>
  <c r="G155" i="2"/>
  <c r="C22" i="2"/>
  <c r="C155" i="2"/>
  <c r="H27" i="12"/>
  <c r="J150" i="2"/>
  <c r="B22" i="2"/>
  <c r="B27" i="17"/>
  <c r="C26" i="17"/>
  <c r="C26" i="2" s="1"/>
  <c r="L22" i="2"/>
  <c r="H26" i="12"/>
  <c r="K27" i="3"/>
  <c r="L27" i="17"/>
  <c r="L27" i="2" s="1"/>
  <c r="J26" i="3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P6" i="2"/>
  <c r="O6" i="2"/>
  <c r="P5" i="2"/>
  <c r="O5" i="2"/>
  <c r="P4" i="2"/>
  <c r="O4" i="2"/>
  <c r="P3" i="2"/>
  <c r="O3" i="2"/>
  <c r="P2" i="2"/>
  <c r="O2" i="2"/>
  <c r="A1" i="2" l="1"/>
  <c r="J5" i="13"/>
  <c r="K8" i="6"/>
  <c r="F8" i="6"/>
  <c r="G8" i="6"/>
  <c r="I8" i="6"/>
  <c r="J8" i="6"/>
  <c r="D8" i="6"/>
  <c r="M39" i="11" l="1"/>
  <c r="M38" i="11"/>
  <c r="M37" i="11"/>
  <c r="M36" i="11"/>
  <c r="M35" i="11"/>
  <c r="M34" i="11"/>
  <c r="M33" i="11"/>
  <c r="J25" i="11"/>
  <c r="I25" i="11"/>
  <c r="H25" i="11"/>
  <c r="G25" i="11"/>
  <c r="F25" i="11"/>
  <c r="E25" i="11"/>
  <c r="D25" i="11"/>
  <c r="C25" i="11"/>
  <c r="B25" i="11"/>
  <c r="K24" i="11"/>
  <c r="K149" i="2" s="1"/>
  <c r="J24" i="11"/>
  <c r="J149" i="2" s="1"/>
  <c r="I24" i="11"/>
  <c r="I149" i="2" s="1"/>
  <c r="L23" i="11"/>
  <c r="K23" i="11"/>
  <c r="J23" i="11"/>
  <c r="I23" i="11"/>
  <c r="H23" i="11"/>
  <c r="G23" i="11"/>
  <c r="F23" i="11"/>
  <c r="E23" i="11"/>
  <c r="D23" i="11"/>
  <c r="C23" i="11"/>
  <c r="B23" i="11"/>
  <c r="N14" i="11"/>
  <c r="M14" i="11"/>
  <c r="L14" i="11"/>
  <c r="K14" i="11"/>
  <c r="J14" i="11"/>
  <c r="I5" i="11"/>
  <c r="H24" i="11" s="1"/>
  <c r="H149" i="2" s="1"/>
  <c r="H5" i="11"/>
  <c r="H14" i="11" s="1"/>
  <c r="G5" i="11"/>
  <c r="G14" i="11" s="1"/>
  <c r="F5" i="11"/>
  <c r="F14" i="11" s="1"/>
  <c r="E5" i="11"/>
  <c r="D24" i="11" s="1"/>
  <c r="D149" i="2" s="1"/>
  <c r="D5" i="11"/>
  <c r="D14" i="11" s="1"/>
  <c r="C5" i="11"/>
  <c r="C14" i="11" s="1"/>
  <c r="K23" i="10"/>
  <c r="J23" i="10"/>
  <c r="I23" i="10"/>
  <c r="H23" i="10"/>
  <c r="G23" i="10"/>
  <c r="F23" i="10"/>
  <c r="E23" i="10"/>
  <c r="D23" i="10"/>
  <c r="C23" i="10"/>
  <c r="B23" i="10"/>
  <c r="K22" i="10"/>
  <c r="J22" i="10"/>
  <c r="J148" i="2" s="1"/>
  <c r="I22" i="10"/>
  <c r="I148" i="2" s="1"/>
  <c r="H22" i="10"/>
  <c r="H148" i="2" s="1"/>
  <c r="G22" i="10"/>
  <c r="G148" i="2" s="1"/>
  <c r="E22" i="10"/>
  <c r="E148" i="2" s="1"/>
  <c r="C22" i="10"/>
  <c r="C148" i="2" s="1"/>
  <c r="K21" i="10"/>
  <c r="J21" i="10"/>
  <c r="I21" i="10"/>
  <c r="H21" i="10"/>
  <c r="G21" i="10"/>
  <c r="F21" i="10"/>
  <c r="E21" i="10"/>
  <c r="D21" i="10"/>
  <c r="C21" i="10"/>
  <c r="B21" i="10"/>
  <c r="G5" i="10"/>
  <c r="F22" i="10" s="1"/>
  <c r="F148" i="2" s="1"/>
  <c r="E5" i="10"/>
  <c r="D22" i="10" s="1"/>
  <c r="D148" i="2" s="1"/>
  <c r="C5" i="10"/>
  <c r="B22" i="10" s="1"/>
  <c r="B148" i="2" s="1"/>
  <c r="L22" i="8"/>
  <c r="K22" i="8"/>
  <c r="J22" i="8"/>
  <c r="J146" i="2" s="1"/>
  <c r="I22" i="8"/>
  <c r="I146" i="2" s="1"/>
  <c r="H22" i="8"/>
  <c r="H146" i="2" s="1"/>
  <c r="G22" i="8"/>
  <c r="G146" i="2" s="1"/>
  <c r="F22" i="8"/>
  <c r="F146" i="2" s="1"/>
  <c r="E22" i="8"/>
  <c r="E146" i="2" s="1"/>
  <c r="D22" i="8"/>
  <c r="D146" i="2" s="1"/>
  <c r="C22" i="8"/>
  <c r="C146" i="2" s="1"/>
  <c r="B22" i="8"/>
  <c r="B146" i="2" s="1"/>
  <c r="L21" i="8"/>
  <c r="K21" i="8"/>
  <c r="J21" i="8"/>
  <c r="I21" i="8"/>
  <c r="H21" i="8"/>
  <c r="G21" i="8"/>
  <c r="F21" i="8"/>
  <c r="E21" i="8"/>
  <c r="D21" i="8"/>
  <c r="C21" i="8"/>
  <c r="B21" i="8"/>
  <c r="L23" i="9"/>
  <c r="K23" i="9"/>
  <c r="J23" i="9"/>
  <c r="I23" i="9"/>
  <c r="H23" i="9"/>
  <c r="G23" i="9"/>
  <c r="F23" i="9"/>
  <c r="E23" i="9"/>
  <c r="D23" i="9"/>
  <c r="C23" i="9"/>
  <c r="B23" i="9"/>
  <c r="L22" i="9"/>
  <c r="L147" i="2" s="1"/>
  <c r="K22" i="9"/>
  <c r="J22" i="9"/>
  <c r="I22" i="9"/>
  <c r="I147" i="2" s="1"/>
  <c r="H22" i="9"/>
  <c r="H147" i="2" s="1"/>
  <c r="G22" i="9"/>
  <c r="G147" i="2" s="1"/>
  <c r="F22" i="9"/>
  <c r="F147" i="2" s="1"/>
  <c r="E22" i="9"/>
  <c r="E147" i="2" s="1"/>
  <c r="D22" i="9"/>
  <c r="D147" i="2" s="1"/>
  <c r="C22" i="9"/>
  <c r="C147" i="2" s="1"/>
  <c r="B22" i="9"/>
  <c r="B147" i="2" s="1"/>
  <c r="L21" i="9"/>
  <c r="K21" i="9"/>
  <c r="J21" i="9"/>
  <c r="I21" i="9"/>
  <c r="H21" i="9"/>
  <c r="G21" i="9"/>
  <c r="F21" i="9"/>
  <c r="E21" i="9"/>
  <c r="D21" i="9"/>
  <c r="C21" i="9"/>
  <c r="B21" i="9"/>
  <c r="L23" i="1"/>
  <c r="K23" i="1"/>
  <c r="J23" i="1"/>
  <c r="I23" i="1"/>
  <c r="H23" i="1"/>
  <c r="G23" i="1"/>
  <c r="F23" i="1"/>
  <c r="E23" i="1"/>
  <c r="D23" i="1"/>
  <c r="C23" i="1"/>
  <c r="B23" i="1"/>
  <c r="L22" i="1"/>
  <c r="K22" i="1"/>
  <c r="J22" i="1"/>
  <c r="J32" i="1" s="1"/>
  <c r="I22" i="1"/>
  <c r="H22" i="1"/>
  <c r="G22" i="1"/>
  <c r="F22" i="1"/>
  <c r="D22" i="1"/>
  <c r="C22" i="1"/>
  <c r="B22" i="1"/>
  <c r="L21" i="1"/>
  <c r="K21" i="1"/>
  <c r="J21" i="1"/>
  <c r="I21" i="1"/>
  <c r="H21" i="1"/>
  <c r="G21" i="1"/>
  <c r="F21" i="1"/>
  <c r="E21" i="1"/>
  <c r="D21" i="1"/>
  <c r="C21" i="1"/>
  <c r="B21" i="1"/>
  <c r="N12" i="1"/>
  <c r="M12" i="1"/>
  <c r="L12" i="1"/>
  <c r="K12" i="1"/>
  <c r="J12" i="1"/>
  <c r="I12" i="1"/>
  <c r="H12" i="1"/>
  <c r="G12" i="1"/>
  <c r="F12" i="1"/>
  <c r="E12" i="1"/>
  <c r="D12" i="1"/>
  <c r="C12" i="1"/>
  <c r="L23" i="5"/>
  <c r="J23" i="5"/>
  <c r="I23" i="5"/>
  <c r="H23" i="5"/>
  <c r="G23" i="5"/>
  <c r="F23" i="5"/>
  <c r="E23" i="5"/>
  <c r="D23" i="5"/>
  <c r="C23" i="5"/>
  <c r="B23" i="5"/>
  <c r="L22" i="5"/>
  <c r="J22" i="5"/>
  <c r="I22" i="5"/>
  <c r="H22" i="5"/>
  <c r="G22" i="5"/>
  <c r="F22" i="5"/>
  <c r="E22" i="5"/>
  <c r="D22" i="5"/>
  <c r="C22" i="5"/>
  <c r="B22" i="5"/>
  <c r="L21" i="5"/>
  <c r="K21" i="5"/>
  <c r="J21" i="5"/>
  <c r="I21" i="5"/>
  <c r="G21" i="5"/>
  <c r="F21" i="5"/>
  <c r="E21" i="5"/>
  <c r="D21" i="5"/>
  <c r="C21" i="5"/>
  <c r="B21" i="5"/>
  <c r="L23" i="7"/>
  <c r="K23" i="7"/>
  <c r="J23" i="7"/>
  <c r="I23" i="7"/>
  <c r="H23" i="7"/>
  <c r="G23" i="7"/>
  <c r="F23" i="7"/>
  <c r="E23" i="7"/>
  <c r="D23" i="7"/>
  <c r="C23" i="7"/>
  <c r="B23" i="7"/>
  <c r="L22" i="7"/>
  <c r="L143" i="2" s="1"/>
  <c r="K22" i="7"/>
  <c r="K143" i="2" s="1"/>
  <c r="J22" i="7"/>
  <c r="J143" i="2" s="1"/>
  <c r="I22" i="7"/>
  <c r="I143" i="2" s="1"/>
  <c r="H22" i="7"/>
  <c r="H143" i="2" s="1"/>
  <c r="G22" i="7"/>
  <c r="G143" i="2" s="1"/>
  <c r="F22" i="7"/>
  <c r="F143" i="2" s="1"/>
  <c r="E22" i="7"/>
  <c r="E143" i="2" s="1"/>
  <c r="D22" i="7"/>
  <c r="D143" i="2" s="1"/>
  <c r="C22" i="7"/>
  <c r="C143" i="2" s="1"/>
  <c r="B22" i="7"/>
  <c r="L21" i="7"/>
  <c r="K21" i="7"/>
  <c r="J21" i="7"/>
  <c r="I21" i="7"/>
  <c r="H21" i="7"/>
  <c r="G21" i="7"/>
  <c r="F21" i="7"/>
  <c r="E21" i="7"/>
  <c r="D21" i="7"/>
  <c r="C21" i="7"/>
  <c r="B21" i="7"/>
  <c r="G7" i="7"/>
  <c r="F7" i="7"/>
  <c r="E7" i="7"/>
  <c r="D7" i="7"/>
  <c r="C7" i="7"/>
  <c r="I23" i="6"/>
  <c r="H23" i="6"/>
  <c r="G23" i="6"/>
  <c r="F23" i="6"/>
  <c r="E23" i="6"/>
  <c r="D23" i="6"/>
  <c r="C23" i="6"/>
  <c r="B23" i="6"/>
  <c r="I22" i="6"/>
  <c r="I33" i="6" s="1"/>
  <c r="H22" i="6"/>
  <c r="H33" i="6" s="1"/>
  <c r="G22" i="6"/>
  <c r="F22" i="6"/>
  <c r="E22" i="6"/>
  <c r="D22" i="6"/>
  <c r="C22" i="6"/>
  <c r="B22" i="6"/>
  <c r="I21" i="6"/>
  <c r="H21" i="6"/>
  <c r="G21" i="6"/>
  <c r="F21" i="6"/>
  <c r="E21" i="6"/>
  <c r="D21" i="6"/>
  <c r="C21" i="6"/>
  <c r="B21" i="6"/>
  <c r="D144" i="2" l="1"/>
  <c r="D34" i="5"/>
  <c r="E144" i="2"/>
  <c r="E34" i="5"/>
  <c r="I144" i="2"/>
  <c r="I34" i="5"/>
  <c r="B145" i="2"/>
  <c r="B32" i="1"/>
  <c r="G145" i="2"/>
  <c r="G32" i="1"/>
  <c r="K145" i="2"/>
  <c r="K32" i="1"/>
  <c r="B144" i="2"/>
  <c r="B34" i="5"/>
  <c r="C145" i="2"/>
  <c r="C32" i="1"/>
  <c r="H145" i="2"/>
  <c r="H32" i="1"/>
  <c r="L145" i="2"/>
  <c r="L32" i="1"/>
  <c r="B143" i="2"/>
  <c r="B27" i="7"/>
  <c r="F144" i="2"/>
  <c r="F34" i="5"/>
  <c r="J144" i="2"/>
  <c r="J34" i="5"/>
  <c r="C144" i="2"/>
  <c r="C34" i="5"/>
  <c r="G144" i="2"/>
  <c r="G34" i="5"/>
  <c r="L144" i="2"/>
  <c r="L34" i="5"/>
  <c r="D145" i="2"/>
  <c r="D32" i="1"/>
  <c r="I145" i="2"/>
  <c r="I32" i="1"/>
  <c r="H144" i="2"/>
  <c r="H34" i="5"/>
  <c r="F145" i="2"/>
  <c r="F32" i="1"/>
  <c r="H142" i="2"/>
  <c r="E33" i="6"/>
  <c r="E142" i="2"/>
  <c r="B33" i="6"/>
  <c r="I142" i="2"/>
  <c r="F33" i="6"/>
  <c r="F142" i="2"/>
  <c r="C33" i="6"/>
  <c r="J142" i="2"/>
  <c r="G33" i="6"/>
  <c r="L142" i="2"/>
  <c r="G142" i="2"/>
  <c r="D33" i="6"/>
  <c r="K142" i="2"/>
  <c r="J27" i="9"/>
  <c r="J147" i="2"/>
  <c r="K26" i="9"/>
  <c r="K147" i="2"/>
  <c r="K26" i="8"/>
  <c r="K146" i="2"/>
  <c r="J26" i="1"/>
  <c r="J145" i="2"/>
  <c r="L26" i="8"/>
  <c r="L27" i="8" s="1"/>
  <c r="L146" i="2"/>
  <c r="K27" i="10"/>
  <c r="K148" i="2"/>
  <c r="L27" i="9"/>
  <c r="L26" i="9"/>
  <c r="J26" i="8"/>
  <c r="J27" i="8"/>
  <c r="K27" i="1"/>
  <c r="K26" i="1"/>
  <c r="E24" i="11"/>
  <c r="E14" i="11"/>
  <c r="I14" i="11"/>
  <c r="J28" i="11"/>
  <c r="K82" i="2" s="1"/>
  <c r="J29" i="11"/>
  <c r="K83" i="2" s="1"/>
  <c r="I28" i="11"/>
  <c r="J82" i="2" s="1"/>
  <c r="I29" i="11"/>
  <c r="J83" i="2" s="1"/>
  <c r="D28" i="11"/>
  <c r="E82" i="2" s="1"/>
  <c r="D29" i="11"/>
  <c r="E83" i="2" s="1"/>
  <c r="H29" i="11"/>
  <c r="I83" i="2" s="1"/>
  <c r="H28" i="11"/>
  <c r="I82" i="2" s="1"/>
  <c r="K29" i="11"/>
  <c r="L83" i="2" s="1"/>
  <c r="K28" i="11"/>
  <c r="L82" i="2" s="1"/>
  <c r="L28" i="11"/>
  <c r="L29" i="11" s="1"/>
  <c r="B24" i="11"/>
  <c r="F24" i="11"/>
  <c r="C24" i="11"/>
  <c r="G24" i="11"/>
  <c r="I26" i="10"/>
  <c r="I27" i="10"/>
  <c r="E27" i="10"/>
  <c r="E26" i="10"/>
  <c r="B26" i="10"/>
  <c r="B27" i="10"/>
  <c r="J26" i="10"/>
  <c r="J27" i="10"/>
  <c r="C26" i="10"/>
  <c r="C27" i="10"/>
  <c r="D27" i="10"/>
  <c r="D26" i="10"/>
  <c r="H27" i="10"/>
  <c r="H26" i="10"/>
  <c r="K26" i="10"/>
  <c r="F27" i="10"/>
  <c r="F26" i="10"/>
  <c r="G26" i="10"/>
  <c r="G27" i="10"/>
  <c r="E26" i="8"/>
  <c r="E27" i="8"/>
  <c r="K27" i="8"/>
  <c r="H27" i="8"/>
  <c r="H26" i="8"/>
  <c r="D27" i="8"/>
  <c r="D26" i="8"/>
  <c r="I26" i="8"/>
  <c r="I27" i="8"/>
  <c r="B26" i="8"/>
  <c r="B27" i="8"/>
  <c r="F26" i="8"/>
  <c r="F27" i="8"/>
  <c r="C26" i="8"/>
  <c r="C27" i="8"/>
  <c r="G26" i="8"/>
  <c r="G27" i="8"/>
  <c r="G26" i="9"/>
  <c r="G27" i="9"/>
  <c r="C26" i="9"/>
  <c r="C27" i="9"/>
  <c r="H27" i="9"/>
  <c r="H26" i="9"/>
  <c r="J26" i="9"/>
  <c r="F26" i="9"/>
  <c r="F27" i="9"/>
  <c r="B26" i="9"/>
  <c r="B27" i="9"/>
  <c r="K27" i="9"/>
  <c r="D27" i="9"/>
  <c r="D26" i="9"/>
  <c r="E27" i="9"/>
  <c r="E26" i="9"/>
  <c r="I26" i="9"/>
  <c r="I27" i="9"/>
  <c r="G26" i="1"/>
  <c r="G27" i="1"/>
  <c r="C26" i="1"/>
  <c r="C27" i="1"/>
  <c r="D27" i="1"/>
  <c r="D26" i="1"/>
  <c r="J27" i="1"/>
  <c r="F26" i="1"/>
  <c r="F27" i="1"/>
  <c r="B26" i="1"/>
  <c r="B27" i="1"/>
  <c r="L26" i="1"/>
  <c r="L27" i="1" s="1"/>
  <c r="H27" i="1"/>
  <c r="H26" i="1"/>
  <c r="E27" i="1"/>
  <c r="E26" i="1"/>
  <c r="I26" i="1"/>
  <c r="I27" i="1"/>
  <c r="G26" i="5"/>
  <c r="G27" i="5"/>
  <c r="C26" i="5"/>
  <c r="C27" i="5"/>
  <c r="L26" i="5"/>
  <c r="L27" i="5" s="1"/>
  <c r="K27" i="5"/>
  <c r="D27" i="5"/>
  <c r="D26" i="5"/>
  <c r="E27" i="5"/>
  <c r="E26" i="5"/>
  <c r="I26" i="5"/>
  <c r="I27" i="5"/>
  <c r="H27" i="5"/>
  <c r="H26" i="5"/>
  <c r="B26" i="5"/>
  <c r="B27" i="5"/>
  <c r="F26" i="5"/>
  <c r="F27" i="5"/>
  <c r="J26" i="5"/>
  <c r="J27" i="5"/>
  <c r="L26" i="7"/>
  <c r="L27" i="7" s="1"/>
  <c r="I26" i="7"/>
  <c r="I27" i="7"/>
  <c r="E27" i="7"/>
  <c r="E26" i="7"/>
  <c r="G26" i="7"/>
  <c r="G27" i="7"/>
  <c r="J26" i="7"/>
  <c r="J27" i="7"/>
  <c r="B26" i="7"/>
  <c r="K26" i="7"/>
  <c r="K27" i="7"/>
  <c r="H27" i="7"/>
  <c r="H26" i="7"/>
  <c r="D27" i="7"/>
  <c r="D26" i="7"/>
  <c r="C26" i="7"/>
  <c r="C27" i="7"/>
  <c r="F27" i="7"/>
  <c r="F26" i="7"/>
  <c r="D26" i="6"/>
  <c r="D27" i="6"/>
  <c r="E27" i="6"/>
  <c r="E26" i="6"/>
  <c r="B26" i="6"/>
  <c r="B27" i="6"/>
  <c r="F27" i="6"/>
  <c r="F26" i="6"/>
  <c r="C26" i="6"/>
  <c r="C27" i="6"/>
  <c r="G26" i="6"/>
  <c r="G27" i="6"/>
  <c r="I27" i="6"/>
  <c r="H26" i="6"/>
  <c r="H27" i="6"/>
  <c r="I26" i="6"/>
  <c r="G29" i="11" l="1"/>
  <c r="H83" i="2" s="1"/>
  <c r="G149" i="2"/>
  <c r="C29" i="11"/>
  <c r="D83" i="2" s="1"/>
  <c r="C149" i="2"/>
  <c r="E29" i="11"/>
  <c r="F83" i="2" s="1"/>
  <c r="E149" i="2"/>
  <c r="F28" i="11"/>
  <c r="G82" i="2" s="1"/>
  <c r="F149" i="2"/>
  <c r="B28" i="11"/>
  <c r="C82" i="2" s="1"/>
  <c r="B149" i="2"/>
  <c r="E28" i="11"/>
  <c r="F82" i="2" s="1"/>
  <c r="G28" i="11"/>
  <c r="H82" i="2" s="1"/>
  <c r="M83" i="2"/>
  <c r="M82" i="2"/>
  <c r="F29" i="11"/>
  <c r="G83" i="2" s="1"/>
  <c r="C28" i="11"/>
  <c r="D82" i="2" s="1"/>
  <c r="B29" i="11"/>
  <c r="C83" i="2" s="1"/>
  <c r="I68" i="2" l="1"/>
  <c r="J68" i="2"/>
  <c r="K68" i="2"/>
  <c r="L68" i="2"/>
  <c r="I69" i="2"/>
  <c r="J69" i="2"/>
  <c r="K69" i="2"/>
  <c r="L69" i="2"/>
  <c r="I70" i="2"/>
  <c r="J70" i="2"/>
  <c r="K70" i="2"/>
  <c r="L70" i="2"/>
  <c r="I71" i="2"/>
  <c r="J71" i="2"/>
  <c r="K71" i="2"/>
  <c r="L71" i="2"/>
  <c r="I72" i="2"/>
  <c r="J72" i="2"/>
  <c r="K72" i="2"/>
  <c r="L72" i="2"/>
  <c r="I73" i="2"/>
  <c r="J73" i="2"/>
  <c r="K73" i="2"/>
  <c r="L73" i="2"/>
  <c r="I74" i="2"/>
  <c r="J74" i="2"/>
  <c r="K74" i="2"/>
  <c r="L74" i="2"/>
  <c r="I75" i="2"/>
  <c r="J75" i="2"/>
  <c r="K75" i="2"/>
  <c r="L75" i="2"/>
  <c r="I76" i="2"/>
  <c r="J76" i="2"/>
  <c r="K76" i="2"/>
  <c r="L76" i="2"/>
  <c r="I77" i="2"/>
  <c r="J77" i="2"/>
  <c r="K77" i="2"/>
  <c r="L77" i="2"/>
  <c r="I78" i="2"/>
  <c r="J78" i="2"/>
  <c r="K78" i="2"/>
  <c r="L78" i="2"/>
  <c r="I79" i="2"/>
  <c r="J79" i="2"/>
  <c r="K79" i="2"/>
  <c r="L79" i="2"/>
  <c r="I80" i="2"/>
  <c r="J80" i="2"/>
  <c r="K80" i="2"/>
  <c r="L80" i="2"/>
  <c r="I81" i="2"/>
  <c r="J81" i="2"/>
  <c r="K81" i="2"/>
  <c r="L81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B21" i="12"/>
  <c r="C21" i="12"/>
  <c r="D21" i="12"/>
  <c r="B22" i="12"/>
  <c r="D150" i="2" s="1"/>
  <c r="C22" i="12"/>
  <c r="E150" i="2" s="1"/>
  <c r="D22" i="12"/>
  <c r="F150" i="2" s="1"/>
  <c r="B23" i="12"/>
  <c r="C23" i="12"/>
  <c r="D23" i="12"/>
  <c r="E23" i="12"/>
  <c r="E22" i="12"/>
  <c r="G150" i="2" s="1"/>
  <c r="B21" i="13"/>
  <c r="C21" i="13"/>
  <c r="D21" i="13"/>
  <c r="E21" i="13"/>
  <c r="F21" i="13"/>
  <c r="D5" i="13"/>
  <c r="E5" i="13"/>
  <c r="F5" i="13"/>
  <c r="G5" i="13"/>
  <c r="K21" i="14"/>
  <c r="B21" i="14"/>
  <c r="C21" i="14"/>
  <c r="D21" i="14"/>
  <c r="E21" i="14"/>
  <c r="F21" i="14"/>
  <c r="B22" i="14"/>
  <c r="B152" i="2" s="1"/>
  <c r="C22" i="14"/>
  <c r="C152" i="2" s="1"/>
  <c r="D22" i="14"/>
  <c r="D152" i="2" s="1"/>
  <c r="E22" i="14"/>
  <c r="E152" i="2" s="1"/>
  <c r="F22" i="14"/>
  <c r="F152" i="2" s="1"/>
  <c r="B23" i="14"/>
  <c r="C23" i="14"/>
  <c r="D23" i="14"/>
  <c r="E23" i="14"/>
  <c r="F23" i="14"/>
  <c r="H22" i="14"/>
  <c r="H152" i="2" s="1"/>
  <c r="L22" i="15"/>
  <c r="L153" i="2" s="1"/>
  <c r="L179" i="2" s="1"/>
  <c r="B21" i="15"/>
  <c r="C21" i="15"/>
  <c r="D21" i="15"/>
  <c r="E21" i="15"/>
  <c r="F21" i="15"/>
  <c r="B22" i="15"/>
  <c r="B153" i="2" s="1"/>
  <c r="C22" i="15"/>
  <c r="C153" i="2" s="1"/>
  <c r="D22" i="15"/>
  <c r="D153" i="2" s="1"/>
  <c r="E22" i="15"/>
  <c r="E153" i="2" s="1"/>
  <c r="F22" i="15"/>
  <c r="F153" i="2" s="1"/>
  <c r="B23" i="15"/>
  <c r="C23" i="15"/>
  <c r="D23" i="15"/>
  <c r="E23" i="15"/>
  <c r="F23" i="15"/>
  <c r="B21" i="16"/>
  <c r="B22" i="16"/>
  <c r="B154" i="2" s="1"/>
  <c r="B23" i="16"/>
  <c r="C21" i="16"/>
  <c r="D21" i="16"/>
  <c r="E21" i="16"/>
  <c r="F21" i="16"/>
  <c r="C22" i="16"/>
  <c r="C154" i="2" s="1"/>
  <c r="D22" i="16"/>
  <c r="D154" i="2" s="1"/>
  <c r="E22" i="16"/>
  <c r="E154" i="2" s="1"/>
  <c r="F22" i="16"/>
  <c r="F154" i="2" s="1"/>
  <c r="C23" i="16"/>
  <c r="D23" i="16"/>
  <c r="E23" i="16"/>
  <c r="F23" i="16"/>
  <c r="G23" i="16"/>
  <c r="G22" i="16"/>
  <c r="G154" i="2" s="1"/>
  <c r="G21" i="16"/>
  <c r="L21" i="17"/>
  <c r="L21" i="2" s="1"/>
  <c r="J21" i="17"/>
  <c r="J21" i="2" s="1"/>
  <c r="I21" i="17"/>
  <c r="I21" i="2" s="1"/>
  <c r="H21" i="17"/>
  <c r="H21" i="2" s="1"/>
  <c r="G21" i="17"/>
  <c r="G21" i="2" s="1"/>
  <c r="F21" i="17"/>
  <c r="F21" i="2" s="1"/>
  <c r="E21" i="17"/>
  <c r="E21" i="2" s="1"/>
  <c r="D21" i="17"/>
  <c r="D21" i="2" s="1"/>
  <c r="C21" i="17"/>
  <c r="C21" i="2" s="1"/>
  <c r="B21" i="17"/>
  <c r="B21" i="2" s="1"/>
  <c r="G11" i="17"/>
  <c r="G11" i="2" s="1"/>
  <c r="C11" i="17"/>
  <c r="C11" i="2" s="1"/>
  <c r="D11" i="17"/>
  <c r="D11" i="2" s="1"/>
  <c r="E11" i="17"/>
  <c r="E11" i="2" s="1"/>
  <c r="F11" i="17"/>
  <c r="F11" i="2" s="1"/>
  <c r="H11" i="17"/>
  <c r="H11" i="2" s="1"/>
  <c r="I11" i="17"/>
  <c r="I11" i="2" s="1"/>
  <c r="J11" i="17"/>
  <c r="J11" i="2" s="1"/>
  <c r="K11" i="17"/>
  <c r="K11" i="2" s="1"/>
  <c r="L11" i="17"/>
  <c r="L11" i="2" s="1"/>
  <c r="M11" i="17"/>
  <c r="M11" i="2" s="1"/>
  <c r="F179" i="2" l="1"/>
  <c r="B179" i="2"/>
  <c r="C179" i="2"/>
  <c r="E179" i="2"/>
  <c r="D179" i="2"/>
  <c r="L27" i="15"/>
  <c r="M91" i="2" s="1"/>
  <c r="L26" i="15"/>
  <c r="C27" i="12"/>
  <c r="C26" i="12"/>
  <c r="B27" i="12"/>
  <c r="B26" i="12"/>
  <c r="D26" i="12"/>
  <c r="D27" i="12"/>
  <c r="F22" i="13"/>
  <c r="F151" i="2" s="1"/>
  <c r="F178" i="2" s="1"/>
  <c r="B22" i="13"/>
  <c r="E22" i="13"/>
  <c r="E151" i="2" s="1"/>
  <c r="E178" i="2" s="1"/>
  <c r="D22" i="13"/>
  <c r="D151" i="2" s="1"/>
  <c r="D178" i="2" s="1"/>
  <c r="C22" i="13"/>
  <c r="C151" i="2" s="1"/>
  <c r="C178" i="2" s="1"/>
  <c r="B26" i="14"/>
  <c r="C88" i="2" s="1"/>
  <c r="B27" i="14"/>
  <c r="C89" i="2" s="1"/>
  <c r="C26" i="14"/>
  <c r="D88" i="2" s="1"/>
  <c r="C27" i="14"/>
  <c r="D89" i="2" s="1"/>
  <c r="E27" i="14"/>
  <c r="F89" i="2" s="1"/>
  <c r="D27" i="14"/>
  <c r="E89" i="2" s="1"/>
  <c r="E26" i="14"/>
  <c r="F88" i="2" s="1"/>
  <c r="D26" i="14"/>
  <c r="E88" i="2" s="1"/>
  <c r="F26" i="14"/>
  <c r="G88" i="2" s="1"/>
  <c r="F27" i="14"/>
  <c r="G89" i="2" s="1"/>
  <c r="B26" i="15"/>
  <c r="C90" i="2" s="1"/>
  <c r="F26" i="15"/>
  <c r="G90" i="2" s="1"/>
  <c r="F27" i="15"/>
  <c r="G91" i="2" s="1"/>
  <c r="D27" i="15"/>
  <c r="E91" i="2" s="1"/>
  <c r="E26" i="15"/>
  <c r="F90" i="2" s="1"/>
  <c r="C26" i="15"/>
  <c r="D90" i="2" s="1"/>
  <c r="B27" i="15"/>
  <c r="C91" i="2" s="1"/>
  <c r="E27" i="15"/>
  <c r="F91" i="2" s="1"/>
  <c r="C27" i="15"/>
  <c r="D91" i="2" s="1"/>
  <c r="D26" i="15"/>
  <c r="E90" i="2" s="1"/>
  <c r="B27" i="16"/>
  <c r="C93" i="2" s="1"/>
  <c r="B26" i="16"/>
  <c r="C92" i="2" s="1"/>
  <c r="C27" i="16"/>
  <c r="D93" i="2" s="1"/>
  <c r="C26" i="16"/>
  <c r="D92" i="2" s="1"/>
  <c r="D26" i="16"/>
  <c r="E92" i="2" s="1"/>
  <c r="E26" i="16"/>
  <c r="F92" i="2" s="1"/>
  <c r="D27" i="16"/>
  <c r="E93" i="2" s="1"/>
  <c r="E27" i="16"/>
  <c r="F93" i="2" s="1"/>
  <c r="F26" i="16"/>
  <c r="G92" i="2" s="1"/>
  <c r="F27" i="16"/>
  <c r="G93" i="2" s="1"/>
  <c r="G26" i="16"/>
  <c r="H92" i="2" s="1"/>
  <c r="C27" i="17"/>
  <c r="D94" i="2"/>
  <c r="E27" i="17"/>
  <c r="E26" i="17"/>
  <c r="D27" i="17"/>
  <c r="D26" i="17"/>
  <c r="B26" i="17"/>
  <c r="G27" i="17"/>
  <c r="G26" i="17"/>
  <c r="J27" i="17"/>
  <c r="J26" i="17"/>
  <c r="F27" i="17"/>
  <c r="F26" i="17"/>
  <c r="I27" i="17"/>
  <c r="I26" i="17"/>
  <c r="H27" i="17"/>
  <c r="H26" i="17"/>
  <c r="M95" i="2"/>
  <c r="M94" i="2"/>
  <c r="K27" i="17"/>
  <c r="B21" i="4"/>
  <c r="C21" i="4"/>
  <c r="D21" i="4"/>
  <c r="E21" i="4"/>
  <c r="F21" i="4"/>
  <c r="C5" i="4"/>
  <c r="D5" i="4"/>
  <c r="E5" i="4"/>
  <c r="F5" i="4"/>
  <c r="G5" i="4"/>
  <c r="B26" i="13" l="1"/>
  <c r="C86" i="2" s="1"/>
  <c r="B151" i="2"/>
  <c r="B178" i="2" s="1"/>
  <c r="C105" i="2"/>
  <c r="C135" i="2" s="1"/>
  <c r="F94" i="2"/>
  <c r="E105" i="2" s="1"/>
  <c r="E135" i="2" s="1"/>
  <c r="E26" i="2"/>
  <c r="J95" i="2"/>
  <c r="I27" i="2"/>
  <c r="K95" i="2"/>
  <c r="J27" i="2"/>
  <c r="C95" i="2"/>
  <c r="B27" i="2"/>
  <c r="F95" i="2"/>
  <c r="E27" i="2"/>
  <c r="J94" i="2"/>
  <c r="I26" i="2"/>
  <c r="C94" i="2"/>
  <c r="B105" i="2" s="1"/>
  <c r="B135" i="2" s="1"/>
  <c r="B26" i="2"/>
  <c r="I94" i="2"/>
  <c r="H26" i="2"/>
  <c r="G94" i="2"/>
  <c r="F105" i="2" s="1"/>
  <c r="F135" i="2" s="1"/>
  <c r="F26" i="2"/>
  <c r="H94" i="2"/>
  <c r="G26" i="2"/>
  <c r="E94" i="2"/>
  <c r="D105" i="2" s="1"/>
  <c r="D135" i="2" s="1"/>
  <c r="D26" i="2"/>
  <c r="K94" i="2"/>
  <c r="J26" i="2"/>
  <c r="L95" i="2"/>
  <c r="K27" i="2"/>
  <c r="I95" i="2"/>
  <c r="H27" i="2"/>
  <c r="G95" i="2"/>
  <c r="F27" i="2"/>
  <c r="H95" i="2"/>
  <c r="G27" i="2"/>
  <c r="E95" i="2"/>
  <c r="D27" i="2"/>
  <c r="D95" i="2"/>
  <c r="C27" i="2"/>
  <c r="D22" i="4"/>
  <c r="C22" i="4"/>
  <c r="B27" i="13"/>
  <c r="C87" i="2" s="1"/>
  <c r="F27" i="13"/>
  <c r="G87" i="2" s="1"/>
  <c r="F26" i="13"/>
  <c r="G86" i="2" s="1"/>
  <c r="G84" i="2"/>
  <c r="F85" i="2"/>
  <c r="E85" i="2"/>
  <c r="G85" i="2"/>
  <c r="F84" i="2"/>
  <c r="E84" i="2"/>
  <c r="C26" i="13"/>
  <c r="D86" i="2" s="1"/>
  <c r="C27" i="13"/>
  <c r="D87" i="2" s="1"/>
  <c r="D27" i="13"/>
  <c r="E87" i="2" s="1"/>
  <c r="D26" i="13"/>
  <c r="E86" i="2" s="1"/>
  <c r="E27" i="13"/>
  <c r="F87" i="2" s="1"/>
  <c r="E26" i="13"/>
  <c r="F86" i="2" s="1"/>
  <c r="F22" i="4"/>
  <c r="E22" i="4"/>
  <c r="B22" i="4"/>
  <c r="B23" i="3"/>
  <c r="C23" i="3"/>
  <c r="D23" i="3"/>
  <c r="E23" i="3"/>
  <c r="F23" i="3"/>
  <c r="G23" i="3"/>
  <c r="C22" i="3"/>
  <c r="D22" i="3"/>
  <c r="E22" i="3"/>
  <c r="F22" i="3"/>
  <c r="B21" i="3"/>
  <c r="C21" i="3"/>
  <c r="D21" i="3"/>
  <c r="E21" i="3"/>
  <c r="F21" i="3"/>
  <c r="G21" i="3"/>
  <c r="C141" i="2" l="1"/>
  <c r="C33" i="4"/>
  <c r="D141" i="2"/>
  <c r="D33" i="4"/>
  <c r="B141" i="2"/>
  <c r="B177" i="2" s="1"/>
  <c r="B33" i="4"/>
  <c r="E141" i="2"/>
  <c r="E33" i="4"/>
  <c r="F141" i="2"/>
  <c r="F33" i="4"/>
  <c r="E140" i="2"/>
  <c r="E33" i="3"/>
  <c r="C140" i="2"/>
  <c r="C33" i="3"/>
  <c r="D140" i="2"/>
  <c r="D33" i="3"/>
  <c r="F140" i="2"/>
  <c r="F33" i="3"/>
  <c r="D26" i="3"/>
  <c r="E27" i="4"/>
  <c r="E26" i="4"/>
  <c r="C26" i="4"/>
  <c r="C27" i="4"/>
  <c r="D26" i="4"/>
  <c r="D27" i="4"/>
  <c r="F26" i="4"/>
  <c r="F27" i="4"/>
  <c r="B26" i="4"/>
  <c r="B27" i="4"/>
  <c r="G27" i="3"/>
  <c r="E26" i="3"/>
  <c r="E27" i="3"/>
  <c r="C27" i="3"/>
  <c r="C26" i="3"/>
  <c r="F27" i="3"/>
  <c r="F26" i="3"/>
  <c r="B27" i="3"/>
  <c r="B26" i="3"/>
  <c r="D27" i="3"/>
  <c r="G26" i="3"/>
  <c r="D69" i="18"/>
  <c r="C69" i="18"/>
  <c r="D68" i="18"/>
  <c r="C68" i="18"/>
  <c r="D67" i="18"/>
  <c r="C67" i="18"/>
  <c r="D66" i="18"/>
  <c r="C66" i="18"/>
  <c r="D65" i="18"/>
  <c r="C65" i="18"/>
  <c r="D64" i="18"/>
  <c r="C64" i="18"/>
  <c r="D63" i="18"/>
  <c r="C63" i="18"/>
  <c r="D62" i="18"/>
  <c r="C62" i="18"/>
  <c r="D61" i="18"/>
  <c r="C61" i="18"/>
  <c r="D60" i="18"/>
  <c r="C60" i="18"/>
  <c r="D59" i="18"/>
  <c r="C59" i="18"/>
  <c r="D58" i="18"/>
  <c r="C58" i="18"/>
  <c r="D57" i="18"/>
  <c r="C57" i="18"/>
  <c r="D56" i="18"/>
  <c r="C56" i="18"/>
  <c r="D55" i="18"/>
  <c r="C55" i="18"/>
  <c r="D54" i="18"/>
  <c r="C54" i="18"/>
  <c r="D53" i="18"/>
  <c r="C53" i="18"/>
  <c r="D52" i="18"/>
  <c r="C52" i="18"/>
  <c r="D51" i="18"/>
  <c r="C51" i="18"/>
  <c r="D50" i="18"/>
  <c r="C50" i="18"/>
  <c r="D49" i="18"/>
  <c r="C49" i="18"/>
  <c r="D48" i="18"/>
  <c r="C48" i="18"/>
  <c r="B180" i="2" l="1"/>
  <c r="C180" i="2"/>
  <c r="C177" i="2"/>
  <c r="D180" i="2"/>
  <c r="D177" i="2"/>
  <c r="E177" i="2"/>
  <c r="E180" i="2"/>
  <c r="F180" i="2"/>
  <c r="F177" i="2"/>
  <c r="G66" i="2"/>
  <c r="D66" i="2"/>
  <c r="C67" i="2"/>
  <c r="E67" i="2"/>
  <c r="F66" i="2"/>
  <c r="C66" i="2"/>
  <c r="E66" i="2"/>
  <c r="F67" i="2"/>
  <c r="G67" i="2"/>
  <c r="D67" i="2"/>
  <c r="C64" i="2"/>
  <c r="D64" i="2"/>
  <c r="H65" i="2"/>
  <c r="E64" i="2"/>
  <c r="G65" i="2"/>
  <c r="F64" i="2"/>
  <c r="H64" i="2"/>
  <c r="C65" i="2"/>
  <c r="D65" i="2"/>
  <c r="E65" i="2"/>
  <c r="G64" i="2"/>
  <c r="F65" i="2"/>
  <c r="G22" i="14"/>
  <c r="G152" i="2" s="1"/>
  <c r="G22" i="15"/>
  <c r="G153" i="2" s="1"/>
  <c r="G179" i="2" s="1"/>
  <c r="L22" i="14"/>
  <c r="L152" i="2" s="1"/>
  <c r="L26" i="14" l="1"/>
  <c r="M88" i="2" s="1"/>
  <c r="L27" i="14"/>
  <c r="M89" i="2" s="1"/>
  <c r="H68" i="2"/>
  <c r="H74" i="2"/>
  <c r="H76" i="2"/>
  <c r="H70" i="2"/>
  <c r="H72" i="2"/>
  <c r="H69" i="2"/>
  <c r="H73" i="2" l="1"/>
  <c r="H77" i="2"/>
  <c r="H75" i="2"/>
  <c r="H71" i="2"/>
  <c r="G71" i="2"/>
  <c r="G70" i="2"/>
  <c r="F71" i="2"/>
  <c r="F70" i="2"/>
  <c r="E71" i="2"/>
  <c r="E70" i="2"/>
  <c r="C70" i="2"/>
  <c r="C71" i="2"/>
  <c r="D71" i="2"/>
  <c r="D70" i="2"/>
  <c r="G76" i="2" l="1"/>
  <c r="F76" i="2"/>
  <c r="F77" i="2"/>
  <c r="G77" i="2"/>
  <c r="D77" i="2"/>
  <c r="D76" i="2"/>
  <c r="C77" i="2"/>
  <c r="C76" i="2"/>
  <c r="E76" i="2"/>
  <c r="E77" i="2"/>
  <c r="N5" i="13" l="1"/>
  <c r="L22" i="13" s="1"/>
  <c r="L26" i="13" l="1"/>
  <c r="L27" i="13" s="1"/>
  <c r="L151" i="2"/>
  <c r="L178" i="2" s="1"/>
  <c r="H80" i="2"/>
  <c r="L23" i="15"/>
  <c r="K23" i="15"/>
  <c r="J23" i="15"/>
  <c r="I23" i="15"/>
  <c r="H23" i="15"/>
  <c r="G23" i="15"/>
  <c r="M90" i="2"/>
  <c r="K22" i="15"/>
  <c r="K153" i="2" s="1"/>
  <c r="J22" i="15"/>
  <c r="J153" i="2" s="1"/>
  <c r="J179" i="2" s="1"/>
  <c r="I22" i="15"/>
  <c r="I153" i="2" s="1"/>
  <c r="H22" i="15"/>
  <c r="H153" i="2" s="1"/>
  <c r="L21" i="15"/>
  <c r="K21" i="15"/>
  <c r="J21" i="15"/>
  <c r="I21" i="15"/>
  <c r="H21" i="15"/>
  <c r="G21" i="15"/>
  <c r="K27" i="15" l="1"/>
  <c r="L91" i="2" s="1"/>
  <c r="K26" i="15"/>
  <c r="L90" i="2" s="1"/>
  <c r="J27" i="15"/>
  <c r="K91" i="2" s="1"/>
  <c r="I27" i="15"/>
  <c r="J91" i="2" s="1"/>
  <c r="H81" i="2"/>
  <c r="M86" i="2"/>
  <c r="J26" i="15"/>
  <c r="K90" i="2" s="1"/>
  <c r="H26" i="15"/>
  <c r="I90" i="2" s="1"/>
  <c r="H27" i="15"/>
  <c r="I91" i="2" s="1"/>
  <c r="G26" i="15"/>
  <c r="H90" i="2" s="1"/>
  <c r="G105" i="2" s="1"/>
  <c r="G135" i="2" s="1"/>
  <c r="G27" i="15"/>
  <c r="H91" i="2" s="1"/>
  <c r="I26" i="15"/>
  <c r="J90" i="2" s="1"/>
  <c r="M87" i="2" l="1"/>
  <c r="L21" i="13"/>
  <c r="K21" i="13"/>
  <c r="J21" i="13"/>
  <c r="I21" i="13"/>
  <c r="G21" i="13"/>
  <c r="M5" i="13"/>
  <c r="K22" i="13" s="1"/>
  <c r="K151" i="2" s="1"/>
  <c r="I5" i="13"/>
  <c r="H5" i="13"/>
  <c r="K27" i="13" l="1"/>
  <c r="K26" i="13"/>
  <c r="L86" i="2" s="1"/>
  <c r="I22" i="13"/>
  <c r="G22" i="13"/>
  <c r="H22" i="13"/>
  <c r="J22" i="13"/>
  <c r="J151" i="2" s="1"/>
  <c r="J178" i="2" s="1"/>
  <c r="I27" i="13" l="1"/>
  <c r="J87" i="2" s="1"/>
  <c r="I151" i="2"/>
  <c r="G27" i="13"/>
  <c r="H87" i="2" s="1"/>
  <c r="G151" i="2"/>
  <c r="G178" i="2" s="1"/>
  <c r="H26" i="13"/>
  <c r="I86" i="2" s="1"/>
  <c r="H151" i="2"/>
  <c r="L87" i="2"/>
  <c r="G26" i="13"/>
  <c r="H86" i="2" s="1"/>
  <c r="I26" i="13"/>
  <c r="J86" i="2" s="1"/>
  <c r="J26" i="13"/>
  <c r="K86" i="2" s="1"/>
  <c r="H27" i="13"/>
  <c r="I87" i="2" s="1"/>
  <c r="J27" i="13"/>
  <c r="K87" i="2" s="1"/>
  <c r="G80" i="2" l="1"/>
  <c r="G81" i="2"/>
  <c r="C80" i="2"/>
  <c r="C81" i="2"/>
  <c r="D80" i="2"/>
  <c r="D81" i="2"/>
  <c r="F80" i="2"/>
  <c r="F81" i="2"/>
  <c r="E81" i="2"/>
  <c r="E80" i="2"/>
  <c r="N3" i="17" l="1"/>
  <c r="N11" i="17" l="1"/>
  <c r="N11" i="2" s="1"/>
  <c r="N3" i="2"/>
  <c r="K26" i="17"/>
  <c r="K23" i="16"/>
  <c r="J23" i="16"/>
  <c r="I23" i="16"/>
  <c r="H23" i="16"/>
  <c r="K22" i="16"/>
  <c r="I22" i="16"/>
  <c r="I154" i="2" s="1"/>
  <c r="I179" i="2" s="1"/>
  <c r="H22" i="16"/>
  <c r="H154" i="2" s="1"/>
  <c r="H179" i="2" s="1"/>
  <c r="K21" i="16"/>
  <c r="J21" i="16"/>
  <c r="I21" i="16"/>
  <c r="H21" i="16"/>
  <c r="K27" i="16" l="1"/>
  <c r="K154" i="2"/>
  <c r="K179" i="2" s="1"/>
  <c r="L94" i="2"/>
  <c r="K26" i="2"/>
  <c r="L93" i="2"/>
  <c r="K26" i="16"/>
  <c r="L92" i="2" s="1"/>
  <c r="I26" i="16"/>
  <c r="J92" i="2" s="1"/>
  <c r="I105" i="2" s="1"/>
  <c r="I135" i="2" s="1"/>
  <c r="I27" i="16"/>
  <c r="J93" i="2" s="1"/>
  <c r="J26" i="16"/>
  <c r="K92" i="2" s="1"/>
  <c r="J105" i="2" s="1"/>
  <c r="J135" i="2" s="1"/>
  <c r="K93" i="2"/>
  <c r="G27" i="16"/>
  <c r="H93" i="2" s="1"/>
  <c r="H27" i="16"/>
  <c r="I93" i="2" s="1"/>
  <c r="H26" i="16"/>
  <c r="I92" i="2" s="1"/>
  <c r="H105" i="2" s="1"/>
  <c r="H135" i="2" s="1"/>
  <c r="K105" i="2" l="1"/>
  <c r="K135" i="2" s="1"/>
  <c r="M93" i="2"/>
  <c r="M92" i="2"/>
  <c r="L105" i="2" s="1"/>
  <c r="L135" i="2" s="1"/>
  <c r="L23" i="14"/>
  <c r="K23" i="14"/>
  <c r="J23" i="14"/>
  <c r="I23" i="14"/>
  <c r="H23" i="14"/>
  <c r="G23" i="14"/>
  <c r="K22" i="14"/>
  <c r="K152" i="2" s="1"/>
  <c r="K178" i="2" s="1"/>
  <c r="I22" i="14"/>
  <c r="I152" i="2" s="1"/>
  <c r="L21" i="14"/>
  <c r="J21" i="14"/>
  <c r="I21" i="14"/>
  <c r="H21" i="14"/>
  <c r="K26" i="14" l="1"/>
  <c r="L88" i="2" s="1"/>
  <c r="K27" i="14"/>
  <c r="L89" i="2" s="1"/>
  <c r="J26" i="14"/>
  <c r="K88" i="2" s="1"/>
  <c r="G26" i="14"/>
  <c r="H88" i="2" s="1"/>
  <c r="G27" i="14"/>
  <c r="H89" i="2" s="1"/>
  <c r="J27" i="14"/>
  <c r="K89" i="2" s="1"/>
  <c r="H26" i="14"/>
  <c r="I88" i="2" s="1"/>
  <c r="H27" i="14"/>
  <c r="I89" i="2" s="1"/>
  <c r="I27" i="14"/>
  <c r="J89" i="2" s="1"/>
  <c r="I26" i="14"/>
  <c r="J88" i="2" s="1"/>
  <c r="J23" i="12" l="1"/>
  <c r="I23" i="12"/>
  <c r="G23" i="12"/>
  <c r="F23" i="12"/>
  <c r="G22" i="12"/>
  <c r="I150" i="2" s="1"/>
  <c r="I178" i="2" s="1"/>
  <c r="F22" i="12"/>
  <c r="H150" i="2" s="1"/>
  <c r="H178" i="2" s="1"/>
  <c r="J21" i="12"/>
  <c r="I21" i="12"/>
  <c r="H21" i="12"/>
  <c r="G21" i="12"/>
  <c r="F21" i="12"/>
  <c r="E21" i="12"/>
  <c r="M84" i="2" l="1"/>
  <c r="L104" i="2" s="1"/>
  <c r="L134" i="2" s="1"/>
  <c r="F26" i="12"/>
  <c r="F27" i="12"/>
  <c r="G26" i="12"/>
  <c r="G27" i="12"/>
  <c r="E27" i="12"/>
  <c r="E26" i="12"/>
  <c r="H84" i="2" l="1"/>
  <c r="J84" i="2"/>
  <c r="I104" i="2" s="1"/>
  <c r="I134" i="2" s="1"/>
  <c r="I84" i="2"/>
  <c r="H104" i="2" s="1"/>
  <c r="H134" i="2" s="1"/>
  <c r="L84" i="2"/>
  <c r="K104" i="2" s="1"/>
  <c r="K134" i="2" s="1"/>
  <c r="H85" i="2"/>
  <c r="K85" i="2"/>
  <c r="K84" i="2"/>
  <c r="J104" i="2" s="1"/>
  <c r="J134" i="2" s="1"/>
  <c r="J85" i="2"/>
  <c r="I85" i="2"/>
  <c r="H78" i="2"/>
  <c r="G104" i="2" l="1"/>
  <c r="G134" i="2" s="1"/>
  <c r="L85" i="2"/>
  <c r="M85" i="2"/>
  <c r="H79" i="2"/>
  <c r="G78" i="2"/>
  <c r="F78" i="2"/>
  <c r="G79" i="2"/>
  <c r="F79" i="2"/>
  <c r="E79" i="2"/>
  <c r="E78" i="2"/>
  <c r="D78" i="2"/>
  <c r="D79" i="2"/>
  <c r="C78" i="2"/>
  <c r="C79" i="2"/>
  <c r="G68" i="2" l="1"/>
  <c r="G69" i="2"/>
  <c r="F68" i="2"/>
  <c r="F69" i="2"/>
  <c r="G73" i="2" l="1"/>
  <c r="G72" i="2"/>
  <c r="F103" i="2" s="1"/>
  <c r="D72" i="2"/>
  <c r="C103" i="2" s="1"/>
  <c r="D73" i="2"/>
  <c r="E72" i="2"/>
  <c r="D103" i="2" s="1"/>
  <c r="E73" i="2"/>
  <c r="F72" i="2"/>
  <c r="E103" i="2" s="1"/>
  <c r="F73" i="2"/>
  <c r="C73" i="2"/>
  <c r="C72" i="2"/>
  <c r="B103" i="2" s="1"/>
  <c r="E133" i="2" l="1"/>
  <c r="C133" i="2"/>
  <c r="F133" i="2"/>
  <c r="B133" i="2"/>
  <c r="D133" i="2"/>
  <c r="L22" i="4"/>
  <c r="L21" i="4"/>
  <c r="K21" i="4"/>
  <c r="J21" i="4"/>
  <c r="I21" i="4"/>
  <c r="H21" i="4"/>
  <c r="G21" i="4"/>
  <c r="M5" i="4"/>
  <c r="L5" i="4"/>
  <c r="K5" i="4"/>
  <c r="J5" i="4"/>
  <c r="I5" i="4"/>
  <c r="H5" i="4"/>
  <c r="N3" i="4"/>
  <c r="L141" i="2" l="1"/>
  <c r="L33" i="4"/>
  <c r="G22" i="4"/>
  <c r="G33" i="4" s="1"/>
  <c r="H22" i="4"/>
  <c r="K22" i="4"/>
  <c r="K33" i="4" s="1"/>
  <c r="I22" i="4"/>
  <c r="J22" i="4"/>
  <c r="J33" i="4" s="1"/>
  <c r="L26" i="4"/>
  <c r="L27" i="4" s="1"/>
  <c r="I141" i="2" l="1"/>
  <c r="I180" i="2" s="1"/>
  <c r="I33" i="4"/>
  <c r="H141" i="2"/>
  <c r="H180" i="2" s="1"/>
  <c r="H33" i="4"/>
  <c r="K27" i="4"/>
  <c r="L67" i="2" s="1"/>
  <c r="K141" i="2"/>
  <c r="J27" i="4"/>
  <c r="K67" i="2" s="1"/>
  <c r="J141" i="2"/>
  <c r="G27" i="4"/>
  <c r="H67" i="2" s="1"/>
  <c r="G141" i="2"/>
  <c r="K26" i="4"/>
  <c r="L66" i="2" s="1"/>
  <c r="G26" i="4"/>
  <c r="H66" i="2" s="1"/>
  <c r="G103" i="2" s="1"/>
  <c r="J26" i="4"/>
  <c r="K66" i="2" s="1"/>
  <c r="H26" i="4"/>
  <c r="I66" i="2" s="1"/>
  <c r="H27" i="4"/>
  <c r="I67" i="2" s="1"/>
  <c r="I27" i="4"/>
  <c r="J67" i="2" s="1"/>
  <c r="I26" i="4"/>
  <c r="M66" i="2"/>
  <c r="K23" i="3"/>
  <c r="J23" i="3"/>
  <c r="I23" i="3"/>
  <c r="H23" i="3"/>
  <c r="K21" i="3"/>
  <c r="J21" i="3"/>
  <c r="I21" i="3"/>
  <c r="H21" i="3"/>
  <c r="L23" i="3"/>
  <c r="L22" i="3"/>
  <c r="I177" i="2" l="1"/>
  <c r="H177" i="2"/>
  <c r="L140" i="2"/>
  <c r="L33" i="3"/>
  <c r="J180" i="2"/>
  <c r="J177" i="2"/>
  <c r="G180" i="2"/>
  <c r="G177" i="2"/>
  <c r="K180" i="2"/>
  <c r="K177" i="2"/>
  <c r="L26" i="3"/>
  <c r="L27" i="3" s="1"/>
  <c r="G133" i="2"/>
  <c r="G106" i="2"/>
  <c r="G136" i="2" s="1"/>
  <c r="J66" i="2"/>
  <c r="M67" i="2"/>
  <c r="L21" i="3"/>
  <c r="I26" i="3"/>
  <c r="I27" i="3"/>
  <c r="H26" i="3"/>
  <c r="H27" i="3"/>
  <c r="L180" i="2" l="1"/>
  <c r="L177" i="2"/>
  <c r="K65" i="2"/>
  <c r="I65" i="2"/>
  <c r="K64" i="2"/>
  <c r="J103" i="2" s="1"/>
  <c r="J64" i="2"/>
  <c r="I103" i="2" s="1"/>
  <c r="L65" i="2"/>
  <c r="I64" i="2"/>
  <c r="H103" i="2" s="1"/>
  <c r="J65" i="2"/>
  <c r="L64" i="2"/>
  <c r="K103" i="2" s="1"/>
  <c r="A32" i="2"/>
  <c r="I133" i="2" l="1"/>
  <c r="I106" i="2"/>
  <c r="I136" i="2" s="1"/>
  <c r="J133" i="2"/>
  <c r="J106" i="2"/>
  <c r="J136" i="2" s="1"/>
  <c r="K133" i="2"/>
  <c r="K106" i="2"/>
  <c r="K136" i="2" s="1"/>
  <c r="H133" i="2"/>
  <c r="H106" i="2"/>
  <c r="H136" i="2" s="1"/>
  <c r="M64" i="2"/>
  <c r="L103" i="2" s="1"/>
  <c r="G75" i="2"/>
  <c r="G74" i="2"/>
  <c r="F104" i="2" s="1"/>
  <c r="D74" i="2"/>
  <c r="C104" i="2" s="1"/>
  <c r="D75" i="2"/>
  <c r="F75" i="2"/>
  <c r="F74" i="2"/>
  <c r="E104" i="2" s="1"/>
  <c r="C75" i="2"/>
  <c r="C74" i="2"/>
  <c r="B104" i="2" s="1"/>
  <c r="E74" i="2"/>
  <c r="D104" i="2" s="1"/>
  <c r="E75" i="2"/>
  <c r="E134" i="2" l="1"/>
  <c r="E106" i="2"/>
  <c r="E136" i="2" s="1"/>
  <c r="F134" i="2"/>
  <c r="F106" i="2"/>
  <c r="F136" i="2" s="1"/>
  <c r="C134" i="2"/>
  <c r="C106" i="2"/>
  <c r="C136" i="2" s="1"/>
  <c r="D134" i="2"/>
  <c r="D106" i="2"/>
  <c r="D136" i="2" s="1"/>
  <c r="B134" i="2"/>
  <c r="B106" i="2"/>
  <c r="B136" i="2" s="1"/>
  <c r="L133" i="2"/>
  <c r="L106" i="2"/>
  <c r="L136" i="2" s="1"/>
  <c r="M65" i="2"/>
</calcChain>
</file>

<file path=xl/sharedStrings.xml><?xml version="1.0" encoding="utf-8"?>
<sst xmlns="http://schemas.openxmlformats.org/spreadsheetml/2006/main" count="615" uniqueCount="356">
  <si>
    <r>
      <rPr>
        <sz val="9"/>
        <color theme="1"/>
        <rFont val="楷体"/>
        <family val="3"/>
        <charset val="134"/>
      </rPr>
      <t>期初余额</t>
    </r>
  </si>
  <si>
    <r>
      <rPr>
        <sz val="9"/>
        <color theme="1"/>
        <rFont val="楷体"/>
        <family val="3"/>
        <charset val="134"/>
      </rPr>
      <t>本年计提</t>
    </r>
  </si>
  <si>
    <r>
      <rPr>
        <sz val="9"/>
        <color theme="1"/>
        <rFont val="楷体"/>
        <family val="3"/>
        <charset val="134"/>
      </rPr>
      <t>期末余额</t>
    </r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</si>
  <si>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</si>
  <si>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</si>
  <si>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</si>
  <si>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t>2017H</t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</si>
  <si>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</si>
  <si>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核销及转出</t>
    </r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</si>
  <si>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</si>
  <si>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</si>
  <si>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</si>
  <si>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t>工商银行</t>
  </si>
  <si>
    <t>招商银行</t>
  </si>
  <si>
    <r>
      <rPr>
        <sz val="9"/>
        <color theme="1"/>
        <rFont val="楷体"/>
        <family val="3"/>
        <charset val="134"/>
      </rPr>
      <t>工商银行</t>
    </r>
    <phoneticPr fontId="3" type="noConversion"/>
  </si>
  <si>
    <r>
      <rPr>
        <sz val="9"/>
        <color theme="1"/>
        <rFont val="楷体"/>
        <family val="3"/>
        <charset val="134"/>
      </rPr>
      <t>年初余额</t>
    </r>
  </si>
  <si>
    <r>
      <rPr>
        <sz val="9"/>
        <color theme="1"/>
        <rFont val="楷体"/>
        <family val="3"/>
        <charset val="134"/>
      </rPr>
      <t>其中：本年新增</t>
    </r>
  </si>
  <si>
    <r>
      <t xml:space="preserve">              </t>
    </r>
    <r>
      <rPr>
        <sz val="9"/>
        <color theme="1"/>
        <rFont val="楷体"/>
        <family val="3"/>
        <charset val="134"/>
      </rPr>
      <t>本年划转</t>
    </r>
  </si>
  <si>
    <r>
      <t xml:space="preserve">              </t>
    </r>
    <r>
      <rPr>
        <sz val="9"/>
        <color theme="1"/>
        <rFont val="楷体"/>
        <family val="3"/>
        <charset val="134"/>
      </rPr>
      <t>本年回拨</t>
    </r>
  </si>
  <si>
    <r>
      <rPr>
        <sz val="9"/>
        <color theme="1"/>
        <rFont val="楷体"/>
        <family val="3"/>
        <charset val="134"/>
      </rPr>
      <t>已减值贷款利息收入</t>
    </r>
  </si>
  <si>
    <r>
      <rPr>
        <sz val="9"/>
        <color theme="1"/>
        <rFont val="楷体"/>
        <family val="3"/>
        <charset val="134"/>
      </rPr>
      <t>收购子公司</t>
    </r>
  </si>
  <si>
    <r>
      <rPr>
        <sz val="9"/>
        <color theme="1"/>
        <rFont val="楷体"/>
        <family val="3"/>
        <charset val="134"/>
      </rPr>
      <t>本年核销</t>
    </r>
  </si>
  <si>
    <r>
      <rPr>
        <sz val="9"/>
        <color theme="1"/>
        <rFont val="楷体"/>
        <family val="3"/>
        <charset val="134"/>
      </rPr>
      <t>收回以前年度核销</t>
    </r>
  </si>
  <si>
    <r>
      <rPr>
        <sz val="9"/>
        <color theme="1"/>
        <rFont val="楷体"/>
        <family val="3"/>
        <charset val="134"/>
      </rPr>
      <t>年末余额</t>
    </r>
  </si>
  <si>
    <r>
      <rPr>
        <sz val="9"/>
        <color theme="1"/>
        <rFont val="华文楷体"/>
        <family val="3"/>
        <charset val="134"/>
      </rPr>
      <t>建设银行</t>
    </r>
    <phoneticPr fontId="3" type="noConversion"/>
  </si>
  <si>
    <t>年初余额</t>
    <phoneticPr fontId="5" type="noConversion"/>
  </si>
  <si>
    <r>
      <rPr>
        <sz val="9"/>
        <color theme="1"/>
        <rFont val="华文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</si>
  <si>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r>
      <rPr>
        <sz val="9"/>
        <color theme="1"/>
        <rFont val="华文楷体"/>
        <family val="3"/>
        <charset val="134"/>
      </rPr>
      <t>本年核销及转出</t>
    </r>
  </si>
  <si>
    <r>
      <t>——</t>
    </r>
    <r>
      <rPr>
        <sz val="9"/>
        <color theme="1"/>
        <rFont val="华文楷体"/>
        <family val="3"/>
        <charset val="134"/>
      </rPr>
      <t>本年转出</t>
    </r>
    <phoneticPr fontId="5" type="noConversion"/>
  </si>
  <si>
    <r>
      <t>——</t>
    </r>
    <r>
      <rPr>
        <sz val="9"/>
        <color theme="1"/>
        <rFont val="华文楷体"/>
        <family val="3"/>
        <charset val="134"/>
      </rPr>
      <t>本年核销</t>
    </r>
    <phoneticPr fontId="5" type="noConversion"/>
  </si>
  <si>
    <r>
      <rPr>
        <sz val="9"/>
        <color theme="1"/>
        <rFont val="华文楷体"/>
        <family val="3"/>
        <charset val="134"/>
      </rPr>
      <t>本年转回</t>
    </r>
  </si>
  <si>
    <r>
      <rPr>
        <sz val="9"/>
        <color theme="1"/>
        <rFont val="华文楷体"/>
        <family val="3"/>
        <charset val="134"/>
      </rPr>
      <t>本年收回</t>
    </r>
    <phoneticPr fontId="5" type="noConversion"/>
  </si>
  <si>
    <r>
      <rPr>
        <sz val="9"/>
        <color theme="1"/>
        <rFont val="华文楷体"/>
        <family val="3"/>
        <charset val="134"/>
      </rPr>
      <t>折现回拨</t>
    </r>
  </si>
  <si>
    <r>
      <rPr>
        <sz val="9"/>
        <color theme="1"/>
        <rFont val="华文楷体"/>
        <family val="3"/>
        <charset val="134"/>
      </rPr>
      <t>因收购增加</t>
    </r>
  </si>
  <si>
    <r>
      <rPr>
        <sz val="9"/>
        <color theme="1"/>
        <rFont val="华文楷体"/>
        <family val="3"/>
        <charset val="134"/>
      </rPr>
      <t>年末余额</t>
    </r>
  </si>
  <si>
    <r>
      <rPr>
        <sz val="9"/>
        <color theme="1"/>
        <rFont val="华文楷体"/>
        <family val="3"/>
        <charset val="134"/>
      </rPr>
      <t>不良余额</t>
    </r>
    <phoneticPr fontId="5" type="noConversion"/>
  </si>
  <si>
    <r>
      <rPr>
        <sz val="9"/>
        <color theme="1"/>
        <rFont val="华文楷体"/>
        <family val="3"/>
        <charset val="134"/>
      </rPr>
      <t>贷款总额</t>
    </r>
    <phoneticPr fontId="5" type="noConversion"/>
  </si>
  <si>
    <r>
      <rPr>
        <sz val="9"/>
        <color theme="1"/>
        <rFont val="华文楷体"/>
        <family val="3"/>
        <charset val="134"/>
      </rPr>
      <t>计提</t>
    </r>
    <phoneticPr fontId="5" type="noConversion"/>
  </si>
  <si>
    <r>
      <rPr>
        <sz val="9"/>
        <color theme="1"/>
        <rFont val="华文楷体"/>
        <family val="3"/>
        <charset val="134"/>
      </rPr>
      <t>核销及转出</t>
    </r>
  </si>
  <si>
    <r>
      <rPr>
        <sz val="9"/>
        <color theme="1"/>
        <rFont val="华文楷体"/>
        <family val="3"/>
        <charset val="134"/>
      </rPr>
      <t>不良生成额</t>
    </r>
    <phoneticPr fontId="5" type="noConversion"/>
  </si>
  <si>
    <r>
      <rPr>
        <sz val="9"/>
        <color theme="1"/>
        <rFont val="华文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</si>
  <si>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</si>
  <si>
    <r>
      <t xml:space="preserve">  </t>
    </r>
    <r>
      <rPr>
        <sz val="9"/>
        <color theme="1"/>
        <rFont val="楷体"/>
        <family val="3"/>
        <charset val="134"/>
      </rPr>
      <t>收回原转销贷款和垫款转入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</si>
  <si>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贷款价值因折现价值上升转出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</si>
  <si>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其他转入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  <phoneticPr fontId="5" type="noConversion"/>
  </si>
  <si>
    <r>
      <rPr>
        <sz val="9"/>
        <color theme="1"/>
        <rFont val="楷体"/>
        <family val="3"/>
        <charset val="134"/>
      </rPr>
      <t>汇率影响</t>
    </r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</si>
  <si>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</si>
  <si>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t>农业银行</t>
    <phoneticPr fontId="3" type="noConversion"/>
  </si>
  <si>
    <t>年初余额</t>
  </si>
  <si>
    <t>——新增</t>
  </si>
  <si>
    <t>——回拨</t>
  </si>
  <si>
    <t>本年核销及转出</t>
  </si>
  <si>
    <t>本年转回</t>
  </si>
  <si>
    <t>——收回原转销贷款和垫款导致的转回</t>
  </si>
  <si>
    <t>——贷款和垫款因折现价值上升导致转回</t>
  </si>
  <si>
    <t>——汇率变动</t>
  </si>
  <si>
    <t>其他因素导致的转入</t>
  </si>
  <si>
    <t>年末余额</t>
  </si>
  <si>
    <t>不良余额</t>
    <phoneticPr fontId="5" type="noConversion"/>
  </si>
  <si>
    <t>核销汇总</t>
    <phoneticPr fontId="5" type="noConversion"/>
  </si>
  <si>
    <t>2017H</t>
  </si>
  <si>
    <t>计提</t>
    <phoneticPr fontId="5" type="noConversion"/>
  </si>
  <si>
    <t>核销及转出</t>
  </si>
  <si>
    <t>收回以前年度核销</t>
    <phoneticPr fontId="5" type="noConversion"/>
  </si>
  <si>
    <t>不良生成率</t>
    <phoneticPr fontId="5" type="noConversion"/>
  </si>
  <si>
    <t>建设银行</t>
  </si>
  <si>
    <t>农业银行</t>
  </si>
  <si>
    <t>中国银行</t>
  </si>
  <si>
    <t>交通银行</t>
  </si>
  <si>
    <t>中信银行</t>
  </si>
  <si>
    <t>浦发银行</t>
  </si>
  <si>
    <t>民生银行</t>
  </si>
  <si>
    <t>兴业银行</t>
  </si>
  <si>
    <t>光大银行</t>
  </si>
  <si>
    <t>华夏银行</t>
  </si>
  <si>
    <t>平安银行</t>
  </si>
  <si>
    <t>北京银行</t>
  </si>
  <si>
    <t>南京银行</t>
  </si>
  <si>
    <t>宁波银行</t>
  </si>
  <si>
    <t>浦发银行</t>
    <phoneticPr fontId="3" type="noConversion"/>
  </si>
  <si>
    <t>本年计提</t>
  </si>
  <si>
    <t>本年核销</t>
  </si>
  <si>
    <t>本年转出</t>
  </si>
  <si>
    <t>收回已核销贷款</t>
  </si>
  <si>
    <t>因折现价值上升转回</t>
  </si>
  <si>
    <t>汇率变动</t>
  </si>
  <si>
    <t>贷款总额</t>
    <phoneticPr fontId="5" type="noConversion"/>
  </si>
  <si>
    <t>不良生成额</t>
    <phoneticPr fontId="5" type="noConversion"/>
  </si>
  <si>
    <r>
      <rPr>
        <sz val="9"/>
        <color theme="1"/>
        <rFont val="楷体"/>
        <family val="3"/>
        <charset val="134"/>
      </rPr>
      <t>兴业银行</t>
    </r>
    <phoneticPr fontId="3" type="noConversion"/>
  </si>
  <si>
    <r>
      <rPr>
        <sz val="9"/>
        <color theme="1"/>
        <rFont val="楷体"/>
        <family val="3"/>
        <charset val="134"/>
      </rPr>
      <t>本年核销及转出</t>
    </r>
  </si>
  <si>
    <t>2017H</t>
    <phoneticPr fontId="5" type="noConversion"/>
  </si>
  <si>
    <r>
      <rPr>
        <sz val="9"/>
        <color theme="1"/>
        <rFont val="楷体"/>
        <family val="3"/>
        <charset val="134"/>
      </rPr>
      <t>项目</t>
    </r>
  </si>
  <si>
    <r>
      <rPr>
        <sz val="9"/>
        <color theme="1"/>
        <rFont val="楷体"/>
        <family val="3"/>
        <charset val="134"/>
      </rPr>
      <t>金额</t>
    </r>
  </si>
  <si>
    <r>
      <rPr>
        <sz val="9"/>
        <color theme="1"/>
        <rFont val="楷体"/>
        <family val="3"/>
        <charset val="134"/>
      </rPr>
      <t>报告期计提（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</si>
  <si>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报告期核销及转出（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</si>
  <si>
    <r>
      <rPr>
        <sz val="9"/>
        <color theme="1"/>
        <rFont val="楷体"/>
        <family val="3"/>
        <charset val="134"/>
      </rPr>
      <t>报告期收回以前年度己核销（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</si>
  <si>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贷款价值因折现价值上升转出（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</si>
  <si>
    <r>
      <rPr>
        <sz val="9"/>
        <color theme="1"/>
        <rFont val="楷体"/>
        <family val="3"/>
        <charset val="134"/>
      </rPr>
      <t>汇率变动（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</si>
  <si>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年初数</t>
    </r>
  </si>
  <si>
    <r>
      <rPr>
        <sz val="9"/>
        <color theme="1"/>
        <rFont val="楷体"/>
        <family val="3"/>
        <charset val="134"/>
      </rPr>
      <t>加：本年计提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转回</t>
    </r>
  </si>
  <si>
    <r>
      <rPr>
        <sz val="9"/>
        <color theme="1"/>
        <rFont val="楷体"/>
        <family val="3"/>
        <charset val="134"/>
      </rPr>
      <t>减：本年核销</t>
    </r>
  </si>
  <si>
    <r>
      <rPr>
        <sz val="9"/>
        <color theme="1"/>
        <rFont val="楷体"/>
        <family val="3"/>
        <charset val="134"/>
      </rPr>
      <t>加：本年收回的已核销贷款</t>
    </r>
  </si>
  <si>
    <r>
      <rPr>
        <sz val="9"/>
        <color theme="1"/>
        <rFont val="楷体"/>
        <family val="3"/>
        <charset val="134"/>
      </rPr>
      <t>减：本年处置资产时转出</t>
    </r>
  </si>
  <si>
    <r>
      <rPr>
        <sz val="9"/>
        <color theme="1"/>
        <rFont val="楷体"/>
        <family val="3"/>
        <charset val="134"/>
      </rPr>
      <t>减：贷款因折现价值上升导致减少</t>
    </r>
  </si>
  <si>
    <r>
      <rPr>
        <sz val="9"/>
        <color theme="1"/>
        <rFont val="楷体"/>
        <family val="3"/>
        <charset val="134"/>
      </rPr>
      <t>加：其他变动</t>
    </r>
  </si>
  <si>
    <r>
      <rPr>
        <sz val="9"/>
        <color theme="1"/>
        <rFont val="楷体"/>
        <family val="3"/>
        <charset val="134"/>
      </rPr>
      <t>年末数</t>
    </r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</si>
  <si>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</si>
  <si>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t>2017H</t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</si>
  <si>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</si>
  <si>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t>年初数</t>
  </si>
  <si>
    <t>本年收回的已核销贷款</t>
  </si>
  <si>
    <t>折现转回</t>
  </si>
  <si>
    <t>汇兑损益及其他</t>
  </si>
  <si>
    <t>年末数</t>
  </si>
  <si>
    <t>不良余额</t>
  </si>
  <si>
    <t>贷款总额</t>
  </si>
  <si>
    <t>核销汇总</t>
  </si>
  <si>
    <t>计提</t>
  </si>
  <si>
    <t>收回以前年度核销</t>
  </si>
  <si>
    <t>不良生成额</t>
  </si>
  <si>
    <t>不良生成率</t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</si>
  <si>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</si>
  <si>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t>control</t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</si>
  <si>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</si>
  <si>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t>因折现价值上升导致转回</t>
  </si>
  <si>
    <t>汇兑损益</t>
  </si>
  <si>
    <t>2017H</t>
    <phoneticPr fontId="3" type="noConversion"/>
  </si>
  <si>
    <t>华夏银行</t>
    <phoneticPr fontId="3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</si>
  <si>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</si>
  <si>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</si>
  <si>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</si>
  <si>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</si>
  <si>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</si>
  <si>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</si>
  <si>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</si>
  <si>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</si>
  <si>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</si>
  <si>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2017H</t>
    <phoneticPr fontId="5" type="noConversion"/>
  </si>
  <si>
    <t>折现回拨</t>
  </si>
  <si>
    <t>本年转入/(转出)</t>
  </si>
  <si>
    <t>收回已核销贷款及垫款导致的转回</t>
  </si>
  <si>
    <t>17H</t>
    <phoneticPr fontId="3" type="noConversion"/>
  </si>
  <si>
    <t>中国银行</t>
    <phoneticPr fontId="3" type="noConversion"/>
  </si>
  <si>
    <t xml:space="preserve">本年计提 </t>
  </si>
  <si>
    <t>本年回拨</t>
  </si>
  <si>
    <t>——已减值贷款和垫款利息冲转导致的转回</t>
  </si>
  <si>
    <t>——汇率变动导致的转回</t>
  </si>
  <si>
    <t/>
  </si>
  <si>
    <r>
      <rPr>
        <sz val="11"/>
        <color theme="1"/>
        <rFont val="楷体"/>
        <family val="3"/>
        <charset val="134"/>
      </rPr>
      <t>老</t>
    </r>
    <r>
      <rPr>
        <sz val="11"/>
        <color theme="1"/>
        <rFont val="Times New Roman"/>
        <family val="1"/>
      </rPr>
      <t>16</t>
    </r>
    <r>
      <rPr>
        <sz val="11"/>
        <color theme="1"/>
        <rFont val="楷体"/>
        <family val="3"/>
        <charset val="134"/>
      </rPr>
      <t>家银行不良生成率汇总</t>
    </r>
    <phoneticPr fontId="3" type="noConversion"/>
  </si>
  <si>
    <t>亿元</t>
    <phoneticPr fontId="3" type="noConversion"/>
  </si>
  <si>
    <r>
      <rPr>
        <sz val="10"/>
        <color theme="1"/>
        <rFont val="华文楷体"/>
        <family val="3"/>
        <charset val="134"/>
      </rPr>
      <t>期初余额</t>
    </r>
    <phoneticPr fontId="5" type="noConversion"/>
  </si>
  <si>
    <r>
      <rPr>
        <sz val="10"/>
        <color theme="1"/>
        <rFont val="华文楷体"/>
        <family val="3"/>
        <charset val="134"/>
      </rPr>
      <t>本年计提</t>
    </r>
    <r>
      <rPr>
        <sz val="10"/>
        <color theme="1"/>
        <rFont val="Times New Roman"/>
        <family val="1"/>
      </rPr>
      <t xml:space="preserve"> </t>
    </r>
    <phoneticPr fontId="5" type="noConversion"/>
  </si>
  <si>
    <r>
      <rPr>
        <sz val="10"/>
        <color theme="1"/>
        <rFont val="华文楷体"/>
        <family val="3"/>
        <charset val="134"/>
      </rPr>
      <t>本年核销及转出</t>
    </r>
  </si>
  <si>
    <r>
      <t>——</t>
    </r>
    <r>
      <rPr>
        <sz val="10"/>
        <color theme="1"/>
        <rFont val="华文楷体"/>
        <family val="3"/>
        <charset val="134"/>
      </rPr>
      <t>本年核销</t>
    </r>
    <phoneticPr fontId="5" type="noConversion"/>
  </si>
  <si>
    <r>
      <t>——</t>
    </r>
    <r>
      <rPr>
        <sz val="10"/>
        <color theme="1"/>
        <rFont val="华文楷体"/>
        <family val="3"/>
        <charset val="134"/>
      </rPr>
      <t>本年转出</t>
    </r>
    <phoneticPr fontId="5" type="noConversion"/>
  </si>
  <si>
    <r>
      <rPr>
        <sz val="10"/>
        <color theme="1"/>
        <rFont val="华文楷体"/>
        <family val="3"/>
        <charset val="134"/>
      </rPr>
      <t>已减值贷款利息冲转（</t>
    </r>
    <r>
      <rPr>
        <sz val="10"/>
        <color theme="1"/>
        <rFont val="Times New Roman"/>
        <family val="1"/>
      </rPr>
      <t>-</t>
    </r>
    <r>
      <rPr>
        <sz val="10"/>
        <color theme="1"/>
        <rFont val="华文楷体"/>
        <family val="3"/>
        <charset val="134"/>
      </rPr>
      <t>）</t>
    </r>
    <phoneticPr fontId="5" type="noConversion"/>
  </si>
  <si>
    <r>
      <rPr>
        <sz val="10"/>
        <color theme="1"/>
        <rFont val="华文楷体"/>
        <family val="3"/>
        <charset val="134"/>
      </rPr>
      <t>收回原转销贷款和垫款</t>
    </r>
    <phoneticPr fontId="5" type="noConversion"/>
  </si>
  <si>
    <r>
      <rPr>
        <sz val="10"/>
        <color theme="1"/>
        <rFont val="华文楷体"/>
        <family val="3"/>
        <charset val="134"/>
      </rPr>
      <t>汇率变动（</t>
    </r>
    <r>
      <rPr>
        <sz val="10"/>
        <color theme="1"/>
        <rFont val="Times New Roman"/>
        <family val="1"/>
      </rPr>
      <t>+</t>
    </r>
    <r>
      <rPr>
        <sz val="10"/>
        <color theme="1"/>
        <rFont val="华文楷体"/>
        <family val="3"/>
        <charset val="134"/>
      </rPr>
      <t>）</t>
    </r>
    <phoneticPr fontId="5" type="noConversion"/>
  </si>
  <si>
    <r>
      <rPr>
        <sz val="10"/>
        <color theme="1"/>
        <rFont val="华文楷体"/>
        <family val="3"/>
        <charset val="134"/>
      </rPr>
      <t>期末余额</t>
    </r>
    <phoneticPr fontId="5" type="noConversion"/>
  </si>
  <si>
    <r>
      <rPr>
        <sz val="10"/>
        <color theme="1"/>
        <rFont val="华文楷体"/>
        <family val="3"/>
        <charset val="134"/>
      </rPr>
      <t>不良余额</t>
    </r>
    <phoneticPr fontId="5" type="noConversion"/>
  </si>
  <si>
    <r>
      <rPr>
        <sz val="10"/>
        <color theme="1"/>
        <rFont val="华文楷体"/>
        <family val="3"/>
        <charset val="134"/>
      </rPr>
      <t>贷款总额</t>
    </r>
    <phoneticPr fontId="5" type="noConversion"/>
  </si>
  <si>
    <r>
      <rPr>
        <sz val="10"/>
        <color theme="1"/>
        <rFont val="华文楷体"/>
        <family val="3"/>
        <charset val="134"/>
      </rPr>
      <t>计提</t>
    </r>
    <phoneticPr fontId="5" type="noConversion"/>
  </si>
  <si>
    <r>
      <rPr>
        <sz val="10"/>
        <color theme="1"/>
        <rFont val="华文楷体"/>
        <family val="3"/>
        <charset val="134"/>
      </rPr>
      <t>核销及转出</t>
    </r>
  </si>
  <si>
    <r>
      <rPr>
        <sz val="10"/>
        <color theme="1"/>
        <rFont val="华文楷体"/>
        <family val="3"/>
        <charset val="134"/>
      </rPr>
      <t>不良生成额</t>
    </r>
    <phoneticPr fontId="5" type="noConversion"/>
  </si>
  <si>
    <r>
      <rPr>
        <sz val="10"/>
        <color theme="1"/>
        <rFont val="华文楷体"/>
        <family val="3"/>
        <charset val="134"/>
      </rPr>
      <t>不良生成率</t>
    </r>
    <phoneticPr fontId="5" type="noConversion"/>
  </si>
  <si>
    <r>
      <rPr>
        <sz val="10"/>
        <color theme="1"/>
        <rFont val="楷体"/>
        <family val="3"/>
        <charset val="134"/>
      </rPr>
      <t>光大银行</t>
    </r>
    <phoneticPr fontId="3" type="noConversion"/>
  </si>
  <si>
    <r>
      <rPr>
        <sz val="10"/>
        <color theme="1"/>
        <rFont val="楷体"/>
        <family val="3"/>
        <charset val="134"/>
      </rPr>
      <t>年初余额</t>
    </r>
    <phoneticPr fontId="5" type="noConversion"/>
  </si>
  <si>
    <r>
      <rPr>
        <sz val="10"/>
        <color theme="1"/>
        <rFont val="楷体"/>
        <family val="3"/>
        <charset val="134"/>
      </rPr>
      <t>本年计提</t>
    </r>
    <phoneticPr fontId="5" type="noConversion"/>
  </si>
  <si>
    <r>
      <rPr>
        <sz val="10"/>
        <color theme="1"/>
        <rFont val="楷体"/>
        <family val="3"/>
        <charset val="134"/>
      </rPr>
      <t>本年转回</t>
    </r>
    <phoneticPr fontId="5" type="noConversion"/>
  </si>
  <si>
    <r>
      <rPr>
        <sz val="10"/>
        <color theme="1"/>
        <rFont val="楷体"/>
        <family val="3"/>
        <charset val="134"/>
      </rPr>
      <t>收回已核销贷款和垫款导致的转回</t>
    </r>
    <phoneticPr fontId="5" type="noConversion"/>
  </si>
  <si>
    <r>
      <rPr>
        <sz val="10"/>
        <color theme="1"/>
        <rFont val="楷体"/>
        <family val="3"/>
        <charset val="134"/>
      </rPr>
      <t>本年核销</t>
    </r>
    <phoneticPr fontId="5" type="noConversion"/>
  </si>
  <si>
    <r>
      <rPr>
        <sz val="10"/>
        <color theme="1"/>
        <rFont val="楷体"/>
        <family val="3"/>
        <charset val="134"/>
      </rPr>
      <t>本年处置</t>
    </r>
    <phoneticPr fontId="5" type="noConversion"/>
  </si>
  <si>
    <r>
      <rPr>
        <sz val="10"/>
        <color theme="1"/>
        <rFont val="楷体"/>
        <family val="3"/>
        <charset val="134"/>
      </rPr>
      <t>年末余额</t>
    </r>
    <phoneticPr fontId="5" type="noConversion"/>
  </si>
  <si>
    <r>
      <rPr>
        <sz val="10"/>
        <color theme="1"/>
        <rFont val="楷体"/>
        <family val="3"/>
        <charset val="134"/>
      </rPr>
      <t>不良余额</t>
    </r>
    <phoneticPr fontId="5" type="noConversion"/>
  </si>
  <si>
    <r>
      <rPr>
        <sz val="10"/>
        <color theme="1"/>
        <rFont val="楷体"/>
        <family val="3"/>
        <charset val="134"/>
      </rPr>
      <t>贷款总额</t>
    </r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</si>
  <si>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</si>
  <si>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r>
      <rPr>
        <sz val="10"/>
        <color theme="1"/>
        <rFont val="楷体"/>
        <family val="3"/>
        <charset val="134"/>
      </rPr>
      <t>计提</t>
    </r>
    <phoneticPr fontId="5" type="noConversion"/>
  </si>
  <si>
    <r>
      <rPr>
        <sz val="10"/>
        <color theme="1"/>
        <rFont val="楷体"/>
        <family val="3"/>
        <charset val="134"/>
      </rPr>
      <t>核销及转出</t>
    </r>
  </si>
  <si>
    <r>
      <rPr>
        <sz val="10"/>
        <color theme="1"/>
        <rFont val="楷体"/>
        <family val="3"/>
        <charset val="134"/>
      </rPr>
      <t>收回以前年度核销</t>
    </r>
    <phoneticPr fontId="5" type="noConversion"/>
  </si>
  <si>
    <r>
      <rPr>
        <sz val="10"/>
        <color theme="1"/>
        <rFont val="楷体"/>
        <family val="3"/>
        <charset val="134"/>
      </rPr>
      <t>不良生成额</t>
    </r>
    <phoneticPr fontId="5" type="noConversion"/>
  </si>
  <si>
    <r>
      <rPr>
        <sz val="10"/>
        <color theme="1"/>
        <rFont val="楷体"/>
        <family val="3"/>
        <charset val="134"/>
      </rPr>
      <t>不良生成率</t>
    </r>
    <phoneticPr fontId="5" type="noConversion"/>
  </si>
  <si>
    <r>
      <rPr>
        <sz val="10"/>
        <color theme="1"/>
        <rFont val="楷体"/>
        <family val="3"/>
        <charset val="134"/>
      </rPr>
      <t>期初余额</t>
    </r>
  </si>
  <si>
    <r>
      <rPr>
        <sz val="10"/>
        <color theme="1"/>
        <rFont val="楷体"/>
        <family val="3"/>
        <charset val="134"/>
      </rPr>
      <t>本年计提</t>
    </r>
  </si>
  <si>
    <r>
      <rPr>
        <sz val="10"/>
        <color theme="1"/>
        <rFont val="楷体"/>
        <family val="3"/>
        <charset val="134"/>
      </rPr>
      <t>本期转回</t>
    </r>
  </si>
  <si>
    <r>
      <rPr>
        <sz val="10"/>
        <color theme="1"/>
        <rFont val="楷体"/>
        <family val="3"/>
        <charset val="134"/>
      </rPr>
      <t>本期转入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转出</t>
    </r>
  </si>
  <si>
    <r>
      <rPr>
        <sz val="10"/>
        <color theme="1"/>
        <rFont val="楷体"/>
        <family val="3"/>
        <charset val="134"/>
      </rPr>
      <t>已减值贷款折现回拨</t>
    </r>
  </si>
  <si>
    <r>
      <rPr>
        <sz val="10"/>
        <color theme="1"/>
        <rFont val="楷体"/>
        <family val="3"/>
        <charset val="134"/>
      </rPr>
      <t>收回以前年度核销贷款</t>
    </r>
  </si>
  <si>
    <r>
      <rPr>
        <sz val="10"/>
        <color theme="1"/>
        <rFont val="楷体"/>
        <family val="3"/>
        <charset val="134"/>
      </rPr>
      <t>期内核销</t>
    </r>
  </si>
  <si>
    <r>
      <rPr>
        <sz val="10"/>
        <color theme="1"/>
        <rFont val="楷体"/>
        <family val="3"/>
        <charset val="134"/>
      </rPr>
      <t>汇率变动</t>
    </r>
  </si>
  <si>
    <r>
      <rPr>
        <sz val="10"/>
        <color theme="1"/>
        <rFont val="楷体"/>
        <family val="3"/>
        <charset val="134"/>
      </rPr>
      <t>期末余额</t>
    </r>
  </si>
  <si>
    <t>折现回拨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</si>
  <si>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</si>
  <si>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输入银行↓↓↓</t>
    <phoneticPr fontId="3" type="noConversion"/>
  </si>
  <si>
    <t>净息差</t>
    <phoneticPr fontId="5" type="noConversion"/>
  </si>
  <si>
    <r>
      <rPr>
        <sz val="11"/>
        <color theme="1"/>
        <rFont val="楷体_GB2312"/>
        <family val="3"/>
        <charset val="134"/>
      </rPr>
      <t>工商银行</t>
    </r>
  </si>
  <si>
    <r>
      <rPr>
        <sz val="11"/>
        <color theme="1"/>
        <rFont val="楷体_GB2312"/>
        <family val="3"/>
        <charset val="134"/>
      </rPr>
      <t>建设银行</t>
    </r>
  </si>
  <si>
    <r>
      <rPr>
        <sz val="11"/>
        <color theme="1"/>
        <rFont val="楷体_GB2312"/>
        <family val="3"/>
        <charset val="134"/>
      </rPr>
      <t>农业银行</t>
    </r>
  </si>
  <si>
    <r>
      <rPr>
        <sz val="11"/>
        <color theme="1"/>
        <rFont val="楷体_GB2312"/>
        <family val="3"/>
        <charset val="134"/>
      </rPr>
      <t>中国银行</t>
    </r>
  </si>
  <si>
    <r>
      <rPr>
        <sz val="11"/>
        <color theme="1"/>
        <rFont val="楷体_GB2312"/>
        <family val="3"/>
        <charset val="134"/>
      </rPr>
      <t>交通银行</t>
    </r>
  </si>
  <si>
    <r>
      <rPr>
        <sz val="11"/>
        <color theme="1"/>
        <rFont val="楷体_GB2312"/>
        <family val="3"/>
        <charset val="134"/>
      </rPr>
      <t>招商银行</t>
    </r>
  </si>
  <si>
    <r>
      <rPr>
        <sz val="11"/>
        <color theme="1"/>
        <rFont val="楷体_GB2312"/>
        <family val="3"/>
        <charset val="134"/>
      </rPr>
      <t>中信银行</t>
    </r>
  </si>
  <si>
    <r>
      <rPr>
        <sz val="11"/>
        <color theme="1"/>
        <rFont val="楷体_GB2312"/>
        <family val="3"/>
        <charset val="134"/>
      </rPr>
      <t>浦发银行</t>
    </r>
  </si>
  <si>
    <r>
      <rPr>
        <sz val="11"/>
        <color theme="1"/>
        <rFont val="楷体_GB2312"/>
        <family val="3"/>
        <charset val="134"/>
      </rPr>
      <t>民生银行</t>
    </r>
  </si>
  <si>
    <r>
      <rPr>
        <sz val="11"/>
        <color theme="1"/>
        <rFont val="楷体_GB2312"/>
        <family val="3"/>
        <charset val="134"/>
      </rPr>
      <t>兴业银行</t>
    </r>
  </si>
  <si>
    <r>
      <rPr>
        <sz val="11"/>
        <color theme="1"/>
        <rFont val="楷体_GB2312"/>
        <family val="3"/>
        <charset val="134"/>
      </rPr>
      <t>光大银行</t>
    </r>
  </si>
  <si>
    <r>
      <rPr>
        <sz val="11"/>
        <color theme="1"/>
        <rFont val="楷体_GB2312"/>
        <family val="3"/>
        <charset val="134"/>
      </rPr>
      <t>华夏银行</t>
    </r>
  </si>
  <si>
    <r>
      <rPr>
        <sz val="11"/>
        <color theme="1"/>
        <rFont val="楷体_GB2312"/>
        <family val="3"/>
        <charset val="134"/>
      </rPr>
      <t>平安银行</t>
    </r>
  </si>
  <si>
    <r>
      <rPr>
        <sz val="11"/>
        <color theme="1"/>
        <rFont val="楷体_GB2312"/>
        <family val="3"/>
        <charset val="134"/>
      </rPr>
      <t>北京银行</t>
    </r>
  </si>
  <si>
    <r>
      <rPr>
        <sz val="11"/>
        <color theme="1"/>
        <rFont val="楷体_GB2312"/>
        <family val="3"/>
        <charset val="134"/>
      </rPr>
      <t>南京银行</t>
    </r>
  </si>
  <si>
    <r>
      <rPr>
        <sz val="11"/>
        <color theme="1"/>
        <rFont val="楷体_GB2312"/>
        <family val="3"/>
        <charset val="134"/>
      </rPr>
      <t>宁波银行</t>
    </r>
  </si>
  <si>
    <t>净利差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</si>
  <si>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</t>
    </r>
    <r>
      <rPr>
        <sz val="11"/>
        <color theme="1"/>
        <rFont val="楷体"/>
        <family val="3"/>
        <charset val="134"/>
      </rPr>
      <t>）空白处的数据均未披露</t>
    </r>
    <phoneticPr fontId="5" type="noConversion"/>
  </si>
  <si>
    <r>
      <t>2</t>
    </r>
    <r>
      <rPr>
        <sz val="11"/>
        <color theme="1"/>
        <rFont val="楷体"/>
        <family val="3"/>
        <charset val="134"/>
      </rPr>
      <t>）招商银行</t>
    </r>
    <r>
      <rPr>
        <sz val="11"/>
        <color theme="1"/>
        <rFont val="Times New Roman"/>
        <family val="1"/>
      </rPr>
      <t>14H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14A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15H</t>
    </r>
    <r>
      <rPr>
        <sz val="11"/>
        <color theme="1"/>
        <rFont val="楷体"/>
        <family val="3"/>
        <charset val="134"/>
      </rPr>
      <t>和</t>
    </r>
    <r>
      <rPr>
        <sz val="11"/>
        <color theme="1"/>
        <rFont val="Times New Roman"/>
        <family val="1"/>
      </rPr>
      <t>15A</t>
    </r>
    <r>
      <rPr>
        <sz val="11"/>
        <color theme="1"/>
        <rFont val="楷体"/>
        <family val="3"/>
        <charset val="134"/>
      </rPr>
      <t>的净息差后面重述，这里采用最新数据</t>
    </r>
    <phoneticPr fontId="5" type="noConversion"/>
  </si>
  <si>
    <r>
      <t>3</t>
    </r>
    <r>
      <rPr>
        <sz val="11"/>
        <color theme="1"/>
        <rFont val="楷体"/>
        <family val="3"/>
        <charset val="134"/>
      </rPr>
      <t>）北京银行未披露净息差，这里用生息资产和净利息收入手动计算</t>
    </r>
    <phoneticPr fontId="5" type="noConversion"/>
  </si>
  <si>
    <t>输入银行：</t>
    <phoneticPr fontId="5" type="noConversion"/>
  </si>
  <si>
    <t>净息差</t>
    <phoneticPr fontId="5" type="noConversion"/>
  </si>
  <si>
    <t>净利差</t>
    <phoneticPr fontId="5" type="noConversion"/>
  </si>
  <si>
    <r>
      <t>2</t>
    </r>
    <r>
      <rPr>
        <sz val="11"/>
        <color theme="1"/>
        <rFont val="楷体"/>
        <family val="3"/>
        <charset val="134"/>
      </rPr>
      <t>）平安银行</t>
    </r>
    <r>
      <rPr>
        <sz val="11"/>
        <color theme="1"/>
        <rFont val="Times New Roman"/>
        <family val="1"/>
      </rPr>
      <t>14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15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16</t>
    </r>
    <r>
      <rPr>
        <sz val="11"/>
        <color theme="1"/>
        <rFont val="楷体"/>
        <family val="3"/>
        <charset val="134"/>
      </rPr>
      <t>年的净息差后面有更新，这里采用最新数据</t>
    </r>
    <phoneticPr fontId="5" type="noConversion"/>
  </si>
  <si>
    <t>本年转出</t>
    <phoneticPr fontId="3" type="noConversion"/>
  </si>
  <si>
    <t xml:space="preserve">本年计提 </t>
    <phoneticPr fontId="5" type="noConversion"/>
  </si>
  <si>
    <t>贷款总额</t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</si>
  <si>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</si>
  <si>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t>计提</t>
    <phoneticPr fontId="5" type="noConversion"/>
  </si>
  <si>
    <t>收回以前年度核销</t>
    <phoneticPr fontId="5" type="noConversion"/>
  </si>
  <si>
    <t>不良生成额</t>
    <phoneticPr fontId="5" type="noConversion"/>
  </si>
  <si>
    <t>不良生成率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</si>
  <si>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</si>
  <si>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2017H</t>
    <phoneticPr fontId="3" type="noConversion"/>
  </si>
  <si>
    <t>不良生成额</t>
    <phoneticPr fontId="5" type="noConversion"/>
  </si>
  <si>
    <t>不良生成率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</si>
  <si>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</si>
  <si>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亿元</t>
    <phoneticPr fontId="3" type="noConversion"/>
  </si>
  <si>
    <r>
      <rPr>
        <sz val="9"/>
        <color theme="1"/>
        <rFont val="楷体"/>
        <family val="3"/>
        <charset val="134"/>
      </rPr>
      <t>交通银行</t>
    </r>
    <phoneticPr fontId="3" type="noConversion"/>
  </si>
  <si>
    <r>
      <rPr>
        <sz val="9"/>
        <color theme="1"/>
        <rFont val="楷体"/>
        <family val="3"/>
        <charset val="134"/>
      </rPr>
      <t>本年转回</t>
    </r>
    <phoneticPr fontId="5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</si>
  <si>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</si>
  <si>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收购子公司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</si>
  <si>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</si>
  <si>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</si>
  <si>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</si>
  <si>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</si>
  <si>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r>
      <rPr>
        <sz val="10"/>
        <color theme="1"/>
        <rFont val="楷体"/>
        <family val="3"/>
        <charset val="134"/>
      </rPr>
      <t>招商银行</t>
    </r>
    <phoneticPr fontId="3" type="noConversion"/>
  </si>
  <si>
    <t>contrl</t>
    <phoneticPr fontId="5" type="noConversion"/>
  </si>
  <si>
    <r>
      <rPr>
        <sz val="10"/>
        <color theme="1"/>
        <rFont val="楷体"/>
        <family val="3"/>
        <charset val="134"/>
      </rPr>
      <t>不良余额</t>
    </r>
    <phoneticPr fontId="5" type="noConversion"/>
  </si>
  <si>
    <r>
      <rPr>
        <sz val="10"/>
        <color theme="1"/>
        <rFont val="楷体"/>
        <family val="3"/>
        <charset val="134"/>
      </rPr>
      <t>贷款总额</t>
    </r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</si>
  <si>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</si>
  <si>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t>2017H</t>
    <phoneticPr fontId="3" type="noConversion"/>
  </si>
  <si>
    <r>
      <rPr>
        <sz val="10"/>
        <color theme="1"/>
        <rFont val="楷体"/>
        <family val="3"/>
        <charset val="134"/>
      </rPr>
      <t>计提</t>
    </r>
    <phoneticPr fontId="5" type="noConversion"/>
  </si>
  <si>
    <r>
      <rPr>
        <sz val="10"/>
        <color theme="1"/>
        <rFont val="楷体"/>
        <family val="3"/>
        <charset val="134"/>
      </rPr>
      <t>收回以前年度核销</t>
    </r>
    <phoneticPr fontId="5" type="noConversion"/>
  </si>
  <si>
    <r>
      <rPr>
        <sz val="10"/>
        <color theme="1"/>
        <rFont val="楷体"/>
        <family val="3"/>
        <charset val="134"/>
      </rPr>
      <t>不良生成额</t>
    </r>
    <phoneticPr fontId="5" type="noConversion"/>
  </si>
  <si>
    <r>
      <rPr>
        <sz val="10"/>
        <color theme="1"/>
        <rFont val="楷体"/>
        <family val="3"/>
        <charset val="134"/>
      </rPr>
      <t>不良生成率</t>
    </r>
    <phoneticPr fontId="5" type="noConversion"/>
  </si>
  <si>
    <t xml:space="preserve">2017H </t>
    <phoneticPr fontId="3" type="noConversion"/>
  </si>
  <si>
    <t>中信银行</t>
    <phoneticPr fontId="3" type="noConversion"/>
  </si>
  <si>
    <t>不良余额</t>
    <phoneticPr fontId="5" type="noConversion"/>
  </si>
  <si>
    <t>贷款总额</t>
    <phoneticPr fontId="5" type="noConversion"/>
  </si>
  <si>
    <t>不良生成率</t>
    <phoneticPr fontId="5" type="noConversion"/>
  </si>
  <si>
    <t>亿元</t>
    <phoneticPr fontId="3" type="noConversion"/>
  </si>
  <si>
    <t>民生银行</t>
    <phoneticPr fontId="3" type="noConversion"/>
  </si>
  <si>
    <t xml:space="preserve">本年计提 </t>
    <phoneticPr fontId="5" type="noConversion"/>
  </si>
  <si>
    <t>收回原核销贷款和垫款</t>
    <phoneticPr fontId="3" type="noConversion"/>
  </si>
  <si>
    <t>不良余额</t>
    <phoneticPr fontId="5" type="noConversion"/>
  </si>
  <si>
    <t>贷款总额</t>
    <phoneticPr fontId="5" type="noConversion"/>
  </si>
  <si>
    <t>核销汇总</t>
    <phoneticPr fontId="5" type="noConversion"/>
  </si>
  <si>
    <t>2017H</t>
    <phoneticPr fontId="3" type="noConversion"/>
  </si>
  <si>
    <t>计提</t>
    <phoneticPr fontId="5" type="noConversion"/>
  </si>
  <si>
    <t>2017H</t>
    <phoneticPr fontId="3" type="noConversion"/>
  </si>
  <si>
    <t>不良生成率</t>
    <phoneticPr fontId="5" type="noConversion"/>
  </si>
  <si>
    <t>亿元</t>
    <phoneticPr fontId="3" type="noConversion"/>
  </si>
  <si>
    <r>
      <rPr>
        <sz val="9"/>
        <color theme="1"/>
        <rFont val="楷体"/>
        <family val="3"/>
        <charset val="134"/>
      </rPr>
      <t>期初余额</t>
    </r>
    <phoneticPr fontId="5" type="noConversion"/>
  </si>
  <si>
    <r>
      <t>——</t>
    </r>
    <r>
      <rPr>
        <sz val="9"/>
        <color theme="1"/>
        <rFont val="楷体"/>
        <family val="3"/>
        <charset val="134"/>
      </rPr>
      <t>本年转出</t>
    </r>
    <phoneticPr fontId="5" type="noConversion"/>
  </si>
  <si>
    <t>-</t>
    <phoneticPr fontId="5" type="noConversion"/>
  </si>
  <si>
    <r>
      <t>——</t>
    </r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</si>
  <si>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已减值贷款利息冲转（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</si>
  <si>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t>-</t>
    <phoneticPr fontId="5" type="noConversion"/>
  </si>
  <si>
    <r>
      <rPr>
        <sz val="9"/>
        <color theme="1"/>
        <rFont val="楷体"/>
        <family val="3"/>
        <charset val="134"/>
      </rPr>
      <t>收回以前年度已核销（</t>
    </r>
    <r>
      <rPr>
        <sz val="9"/>
        <color theme="1"/>
        <rFont val="Times New Roman"/>
        <family val="1"/>
      </rPr>
      <t>+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</si>
  <si>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贷款价值因折现价值上升转出（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</si>
  <si>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t>其他原因导致的转回（+）</t>
    <phoneticPr fontId="3" type="noConversion"/>
  </si>
  <si>
    <r>
      <rPr>
        <sz val="9"/>
        <color theme="1"/>
        <rFont val="楷体"/>
        <family val="3"/>
        <charset val="134"/>
      </rPr>
      <t>汇率变动（</t>
    </r>
    <r>
      <rPr>
        <sz val="9"/>
        <color theme="1"/>
        <rFont val="Times New Roman"/>
        <family val="1"/>
      </rPr>
      <t>+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</si>
  <si>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期末余额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</si>
  <si>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</si>
  <si>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t>2017H</t>
    <phoneticPr fontId="3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</si>
  <si>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</si>
  <si>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</si>
  <si>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t>本年转入</t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</si>
  <si>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</si>
  <si>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</si>
  <si>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</si>
  <si>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加：收购子公司带来准备</t>
    </r>
    <phoneticPr fontId="3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</si>
  <si>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</si>
  <si>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</si>
  <si>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</si>
  <si>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</si>
  <si>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</si>
  <si>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平安银行</t>
    </r>
    <phoneticPr fontId="3" type="noConversion"/>
  </si>
  <si>
    <r>
      <rPr>
        <sz val="9"/>
        <color theme="1"/>
        <rFont val="楷体"/>
        <family val="3"/>
        <charset val="134"/>
      </rPr>
      <t>注：</t>
    </r>
    <r>
      <rPr>
        <sz val="9"/>
        <color theme="1"/>
        <rFont val="Times New Roman"/>
        <family val="1"/>
      </rPr>
      <t>17H</t>
    </r>
    <r>
      <rPr>
        <sz val="9"/>
        <color theme="1"/>
        <rFont val="楷体"/>
        <family val="3"/>
        <charset val="134"/>
      </rPr>
      <t>不良生成率计算公式为当期不良生成额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前期贷款总额</t>
    </r>
    <r>
      <rPr>
        <sz val="9"/>
        <color theme="1"/>
        <rFont val="Times New Roman"/>
        <family val="1"/>
      </rPr>
      <t>*2</t>
    </r>
    <phoneticPr fontId="3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</si>
  <si>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</si>
  <si>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</si>
  <si>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</si>
  <si>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</si>
  <si>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</si>
  <si>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</si>
  <si>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</si>
  <si>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注：</t>
    </r>
    <r>
      <rPr>
        <sz val="9"/>
        <color theme="1"/>
        <rFont val="Times New Roman"/>
        <family val="1"/>
      </rPr>
      <t>17H</t>
    </r>
    <r>
      <rPr>
        <sz val="9"/>
        <color theme="1"/>
        <rFont val="楷体"/>
        <family val="3"/>
        <charset val="134"/>
      </rPr>
      <t>不良生成率计算公式为当期不良生成额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前期贷款总额</t>
    </r>
    <r>
      <rPr>
        <sz val="9"/>
        <color theme="1"/>
        <rFont val="Times New Roman"/>
        <family val="1"/>
      </rPr>
      <t>*2</t>
    </r>
    <phoneticPr fontId="3" type="noConversion"/>
  </si>
  <si>
    <r>
      <rPr>
        <sz val="9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</si>
  <si>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北京银行</t>
    </r>
    <phoneticPr fontId="3" type="noConversion"/>
  </si>
  <si>
    <r>
      <rPr>
        <sz val="9"/>
        <color theme="1"/>
        <rFont val="楷体"/>
        <family val="3"/>
        <charset val="134"/>
      </rPr>
      <t>本年计提及回拨</t>
    </r>
    <phoneticPr fontId="5" type="noConversion"/>
  </si>
  <si>
    <r>
      <rPr>
        <sz val="9"/>
        <color theme="1"/>
        <rFont val="楷体"/>
        <family val="3"/>
        <charset val="134"/>
      </rPr>
      <t>本年收回的已核销贷款</t>
    </r>
    <phoneticPr fontId="5" type="noConversion"/>
  </si>
  <si>
    <r>
      <rPr>
        <sz val="9"/>
        <color theme="1"/>
        <rFont val="楷体"/>
        <family val="3"/>
        <charset val="134"/>
      </rPr>
      <t>本期释放的减值准备折现利息</t>
    </r>
    <phoneticPr fontId="5" type="noConversion"/>
  </si>
  <si>
    <r>
      <rPr>
        <sz val="9"/>
        <color theme="1"/>
        <rFont val="楷体"/>
        <family val="3"/>
        <charset val="134"/>
      </rPr>
      <t>汇率变化及其他调整</t>
    </r>
    <phoneticPr fontId="5" type="noConversion"/>
  </si>
  <si>
    <r>
      <rPr>
        <sz val="9"/>
        <color theme="1"/>
        <rFont val="楷体"/>
        <family val="3"/>
        <charset val="134"/>
      </rPr>
      <t>本年收回</t>
    </r>
    <phoneticPr fontId="5" type="noConversion"/>
  </si>
  <si>
    <r>
      <rPr>
        <sz val="10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</si>
  <si>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宁波银行</t>
    </r>
    <phoneticPr fontId="3" type="noConversion"/>
  </si>
  <si>
    <r>
      <rPr>
        <sz val="9"/>
        <color theme="1"/>
        <rFont val="楷体"/>
        <family val="3"/>
        <charset val="134"/>
      </rPr>
      <t>期初余额</t>
    </r>
    <phoneticPr fontId="5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</si>
  <si>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</si>
  <si>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</si>
  <si>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</si>
  <si>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期末余额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</si>
  <si>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</si>
  <si>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折算差异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</si>
  <si>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</si>
  <si>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转出</t>
    </r>
    <phoneticPr fontId="3" type="noConversion"/>
  </si>
  <si>
    <r>
      <rPr>
        <sz val="9"/>
        <color theme="1"/>
        <rFont val="楷体"/>
        <family val="3"/>
        <charset val="134"/>
      </rPr>
      <t>已减值贷款利息回拨（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</si>
  <si>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</si>
  <si>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t>本年计提</t>
    <phoneticPr fontId="3" type="noConversion"/>
  </si>
  <si>
    <t>注：17H不良生成率计算公式为当期不良生成额/前期贷款总额*2</t>
    <phoneticPr fontId="3" type="noConversion"/>
  </si>
  <si>
    <t>核销+转出</t>
    <phoneticPr fontId="3" type="noConversion"/>
  </si>
  <si>
    <t>备注：不良净生成额=期末不良余额-期初不良余额+核销及转出</t>
    <phoneticPr fontId="3" type="noConversion"/>
  </si>
  <si>
    <t>两版计算结果不一样的原因是：</t>
    <phoneticPr fontId="3" type="noConversion"/>
  </si>
  <si>
    <t xml:space="preserve">1）旧版的基础数据，在摘录的时候把“收回”科目错误的放到了“核销及转出”科目下。新版做了调整。 </t>
    <phoneticPr fontId="3" type="noConversion"/>
  </si>
  <si>
    <t>2）导致的计算结果的不同是：旧版把“收回”部分当成了“转出”，相当于多减了一部分，造成数据差异。以此版为准。</t>
    <phoneticPr fontId="3" type="noConversion"/>
  </si>
  <si>
    <t>加：已核销贷款转回</t>
    <phoneticPr fontId="3" type="noConversion"/>
  </si>
  <si>
    <t xml:space="preserve">备注：由于11年与09年多了两个科目：收购子公司带来准备、已核销贷款转回，与其余年份不同，所以特增加两行。 </t>
    <phoneticPr fontId="3" type="noConversion"/>
  </si>
  <si>
    <t>其余原始数据一致。</t>
    <phoneticPr fontId="3" type="noConversion"/>
  </si>
  <si>
    <t>备注：前面几年增加一行“其他原因导致的转回”。</t>
    <phoneticPr fontId="3" type="noConversion"/>
  </si>
  <si>
    <t>备注：17年半年报中，没有加总“本年转回”的数值，只有分项数据，我们在此将其加总。</t>
    <phoneticPr fontId="3" type="noConversion"/>
  </si>
  <si>
    <t xml:space="preserve">备注：本年转回的加总数据，10年与15年计算方法看起来不同；但与原始报表一致。 </t>
    <phoneticPr fontId="3" type="noConversion"/>
  </si>
  <si>
    <t xml:space="preserve">10年的本年转回中，包括“其他因素导致的转入”科目；但15年的报表中，不包括。 </t>
    <phoneticPr fontId="3" type="noConversion"/>
  </si>
  <si>
    <t>其余年份没有该科目。</t>
    <phoneticPr fontId="3" type="noConversion"/>
  </si>
  <si>
    <r>
      <rPr>
        <sz val="9"/>
        <color rgb="FFFF0000"/>
        <rFont val="楷体"/>
        <family val="3"/>
        <charset val="134"/>
      </rPr>
      <t>其他变动</t>
    </r>
  </si>
  <si>
    <t>备注：07-09年，报表中有“本年转出”这一科目，所以新版中增加一行。</t>
    <phoneticPr fontId="3" type="noConversion"/>
  </si>
  <si>
    <t>国有行</t>
    <phoneticPr fontId="3" type="noConversion"/>
  </si>
  <si>
    <t>股份行</t>
    <phoneticPr fontId="3" type="noConversion"/>
  </si>
  <si>
    <t>城商行</t>
    <phoneticPr fontId="3" type="noConversion"/>
  </si>
  <si>
    <t>不良生成额</t>
    <phoneticPr fontId="3" type="noConversion"/>
  </si>
  <si>
    <t>不良生成率</t>
    <phoneticPr fontId="3" type="noConversion"/>
  </si>
  <si>
    <t>贷款总额</t>
    <phoneticPr fontId="3" type="noConversion"/>
  </si>
  <si>
    <t>贷款总额</t>
    <phoneticPr fontId="3" type="noConversion"/>
  </si>
  <si>
    <t>银行总计</t>
    <phoneticPr fontId="3" type="noConversion"/>
  </si>
  <si>
    <t>上市银行</t>
    <phoneticPr fontId="3" type="noConversion"/>
  </si>
  <si>
    <t>核销及转出</t>
    <phoneticPr fontId="3" type="noConversion"/>
  </si>
  <si>
    <t>核销及转出率</t>
    <phoneticPr fontId="3" type="noConversion"/>
  </si>
  <si>
    <t>核销及转出率</t>
    <phoneticPr fontId="3" type="noConversion"/>
  </si>
  <si>
    <t>国有大行</t>
    <phoneticPr fontId="3" type="noConversion"/>
  </si>
  <si>
    <t>股份行</t>
    <phoneticPr fontId="3" type="noConversion"/>
  </si>
  <si>
    <t>城商行</t>
    <phoneticPr fontId="3" type="noConversion"/>
  </si>
  <si>
    <t>老16家全部</t>
    <phoneticPr fontId="3" type="noConversion"/>
  </si>
  <si>
    <t>拨备覆盖率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</si>
</sst>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##,###,##0.00"/>
    <numFmt numFmtId="177" formatCode="0.00_);[Red]\(0.00\)"/>
    <numFmt numFmtId="178" formatCode="0.00_ "/>
    <numFmt numFmtId="179" formatCode="###,###,##0.0000"/>
  </numFmts>
  <fonts count="35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color theme="1"/>
      <name val="Times New Roman"/>
      <family val="1"/>
    </font>
    <font>
      <sz val="9"/>
      <name val="等线"/>
      <family val="3"/>
      <charset val="134"/>
      <scheme val="minor"/>
    </font>
    <font>
      <sz val="9"/>
      <color theme="1"/>
      <name val="楷体"/>
      <family val="3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楷体"/>
      <family val="3"/>
      <charset val="134"/>
    </font>
    <font>
      <sz val="11"/>
      <color theme="1"/>
      <name val="Times New Roman"/>
      <family val="1"/>
    </font>
    <font>
      <sz val="9"/>
      <color rgb="FFFF0000"/>
      <name val="Times New Roman"/>
      <family val="1"/>
    </font>
    <font>
      <sz val="9"/>
      <color theme="1"/>
      <name val="华文楷体"/>
      <family val="3"/>
      <charset val="134"/>
    </font>
    <font>
      <sz val="9"/>
      <name val="Times New Roman"/>
      <family val="1"/>
    </font>
    <font>
      <sz val="9"/>
      <color theme="1"/>
      <name val="宋体"/>
      <family val="3"/>
      <charset val="134"/>
    </font>
    <font>
      <sz val="9"/>
      <color theme="1"/>
      <name val="Times New Roman"/>
      <family val="3"/>
      <charset val="134"/>
    </font>
    <font>
      <sz val="10"/>
      <color theme="1"/>
      <name val="楷体"/>
      <family val="3"/>
      <charset val="134"/>
    </font>
    <font>
      <sz val="10"/>
      <color theme="1"/>
      <name val="等线"/>
      <family val="2"/>
      <charset val="134"/>
      <scheme val="minor"/>
    </font>
    <font>
      <sz val="10"/>
      <color theme="1"/>
      <name val="Times New Roman"/>
      <family val="1"/>
    </font>
    <font>
      <sz val="9"/>
      <color theme="1"/>
      <name val="等线"/>
      <family val="2"/>
      <charset val="134"/>
      <scheme val="minor"/>
    </font>
    <font>
      <sz val="9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000000"/>
      <name val="楷体"/>
      <family val="3"/>
      <charset val="134"/>
    </font>
    <font>
      <sz val="10"/>
      <color rgb="FFFF0000"/>
      <name val="Times New Roman"/>
      <family val="1"/>
    </font>
    <font>
      <sz val="11"/>
      <color theme="1"/>
      <name val="Times New Roman"/>
      <family val="3"/>
      <charset val="134"/>
    </font>
    <font>
      <sz val="10"/>
      <color theme="1"/>
      <name val="等线"/>
      <family val="2"/>
      <scheme val="minor"/>
    </font>
    <font>
      <sz val="10"/>
      <color theme="1"/>
      <name val="华文楷体"/>
      <family val="3"/>
      <charset val="134"/>
    </font>
    <font>
      <sz val="10"/>
      <color rgb="FFFF0000"/>
      <name val="楷体"/>
      <family val="3"/>
      <charset val="134"/>
    </font>
    <font>
      <sz val="11"/>
      <color theme="1"/>
      <name val="楷体_GB2312"/>
      <family val="3"/>
      <charset val="134"/>
    </font>
    <font>
      <b/>
      <sz val="9"/>
      <color theme="1"/>
      <name val="Times New Roman"/>
      <family val="1"/>
    </font>
    <font>
      <sz val="9"/>
      <color theme="0"/>
      <name val="Times New Roman"/>
      <family val="1"/>
    </font>
    <font>
      <b/>
      <sz val="9"/>
      <color theme="1"/>
      <name val="楷体"/>
      <family val="3"/>
      <charset val="134"/>
    </font>
    <font>
      <sz val="10"/>
      <name val="Arial"/>
      <family val="2"/>
    </font>
    <font>
      <sz val="9.5"/>
      <name val="MingLiU"/>
      <family val="3"/>
      <charset val="136"/>
    </font>
    <font>
      <b/>
      <sz val="11"/>
      <color theme="1"/>
      <name val="楷体"/>
      <family val="3"/>
      <charset val="134"/>
    </font>
    <font>
      <b/>
      <sz val="11"/>
      <color theme="1"/>
      <name val="Times New Roman"/>
      <family val="1"/>
    </font>
    <font>
      <sz val="9"/>
      <color rgb="FFFF0000"/>
      <name val="楷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>
      <alignment vertical="center"/>
    </xf>
    <xf numFmtId="0" fontId="1" fillId="0" borderId="0"/>
    <xf numFmtId="0" fontId="6" fillId="0" borderId="0">
      <alignment vertical="center"/>
    </xf>
    <xf numFmtId="0" fontId="30" fillId="0" borderId="0" applyNumberFormat="0" applyFont="0" applyFill="0" applyBorder="0" applyAlignment="0" applyProtection="0">
      <alignment vertical="top"/>
    </xf>
  </cellStyleXfs>
  <cellXfs count="400">
    <xf numFmtId="0" fontId="0" fillId="0" borderId="0" xfId="0"/>
    <xf numFmtId="0" fontId="2" fillId="0" borderId="0" xfId="0" applyFont="1" applyAlignment="1">
      <alignment vertical="center"/>
    </xf>
    <xf numFmtId="0" fontId="2" fillId="0" borderId="0" xfId="2" applyFont="1" applyAlignment="1">
      <alignment vertical="center"/>
    </xf>
    <xf numFmtId="14" fontId="2" fillId="0" borderId="0" xfId="2" applyNumberFormat="1" applyFont="1" applyAlignment="1">
      <alignment vertical="center"/>
    </xf>
    <xf numFmtId="0" fontId="2" fillId="0" borderId="0" xfId="2" applyFont="1" applyFill="1" applyAlignment="1">
      <alignment vertical="center"/>
    </xf>
    <xf numFmtId="176" fontId="2" fillId="0" borderId="0" xfId="0" applyNumberFormat="1" applyFont="1" applyAlignment="1"/>
    <xf numFmtId="0" fontId="2" fillId="0" borderId="1" xfId="0" applyFont="1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Font="1" applyBorder="1" applyAlignment="1">
      <alignment horizontal="right" vertical="center"/>
    </xf>
    <xf numFmtId="0" fontId="2" fillId="0" borderId="4" xfId="3" applyFont="1" applyBorder="1" applyAlignment="1">
      <alignment vertical="center" wrapText="1"/>
    </xf>
    <xf numFmtId="0" fontId="2" fillId="0" borderId="0" xfId="3" applyFont="1" applyBorder="1" applyAlignment="1">
      <alignment vertical="center" wrapText="1"/>
    </xf>
    <xf numFmtId="0" fontId="2" fillId="0" borderId="0" xfId="3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6" xfId="3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9" xfId="2" applyFont="1" applyBorder="1" applyAlignment="1">
      <alignment vertical="center"/>
    </xf>
    <xf numFmtId="0" fontId="2" fillId="0" borderId="10" xfId="2" applyFont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10" fontId="2" fillId="0" borderId="13" xfId="1" applyNumberFormat="1" applyFont="1" applyBorder="1">
      <alignment vertical="center"/>
    </xf>
    <xf numFmtId="10" fontId="2" fillId="0" borderId="7" xfId="1" applyNumberFormat="1" applyFont="1" applyBorder="1">
      <alignment vertical="center"/>
    </xf>
    <xf numFmtId="10" fontId="2" fillId="0" borderId="8" xfId="1" applyNumberFormat="1" applyFont="1" applyBorder="1" applyAlignment="1">
      <alignment horizontal="right" vertical="center"/>
    </xf>
    <xf numFmtId="3" fontId="2" fillId="0" borderId="0" xfId="0" applyNumberFormat="1" applyFont="1" applyAlignment="1">
      <alignment vertical="center"/>
    </xf>
    <xf numFmtId="0" fontId="7" fillId="0" borderId="0" xfId="0" applyFont="1"/>
    <xf numFmtId="0" fontId="8" fillId="0" borderId="0" xfId="0" applyFont="1"/>
    <xf numFmtId="14" fontId="8" fillId="0" borderId="0" xfId="0" applyNumberFormat="1" applyFont="1"/>
    <xf numFmtId="0" fontId="8" fillId="0" borderId="0" xfId="0" applyFont="1" applyBorder="1"/>
    <xf numFmtId="0" fontId="8" fillId="0" borderId="7" xfId="0" applyFont="1" applyBorder="1"/>
    <xf numFmtId="0" fontId="7" fillId="0" borderId="4" xfId="0" applyFont="1" applyBorder="1"/>
    <xf numFmtId="0" fontId="7" fillId="0" borderId="6" xfId="0" applyFont="1" applyBorder="1"/>
    <xf numFmtId="0" fontId="7" fillId="0" borderId="1" xfId="0" applyFont="1" applyBorder="1"/>
    <xf numFmtId="0" fontId="8" fillId="0" borderId="2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0" fontId="8" fillId="0" borderId="7" xfId="1" applyNumberFormat="1" applyFont="1" applyBorder="1" applyAlignment="1">
      <alignment horizontal="right"/>
    </xf>
    <xf numFmtId="10" fontId="8" fillId="0" borderId="8" xfId="1" applyNumberFormat="1" applyFont="1" applyBorder="1" applyAlignment="1">
      <alignment horizontal="right"/>
    </xf>
    <xf numFmtId="0" fontId="2" fillId="0" borderId="0" xfId="2" applyFont="1"/>
    <xf numFmtId="0" fontId="2" fillId="0" borderId="1" xfId="2" applyFont="1" applyBorder="1" applyAlignment="1">
      <alignment horizontal="right" vertical="center"/>
    </xf>
    <xf numFmtId="0" fontId="2" fillId="0" borderId="6" xfId="0" applyFont="1" applyBorder="1" applyAlignment="1">
      <alignment vertical="center"/>
    </xf>
    <xf numFmtId="0" fontId="2" fillId="0" borderId="9" xfId="0" applyFont="1" applyFill="1" applyBorder="1" applyAlignment="1">
      <alignment vertical="center"/>
    </xf>
    <xf numFmtId="0" fontId="2" fillId="0" borderId="13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4" fontId="2" fillId="0" borderId="0" xfId="2" applyNumberFormat="1" applyFont="1" applyFill="1" applyAlignment="1">
      <alignment vertical="center"/>
    </xf>
    <xf numFmtId="0" fontId="10" fillId="0" borderId="0" xfId="2" applyFont="1" applyAlignment="1">
      <alignment vertical="center"/>
    </xf>
    <xf numFmtId="0" fontId="11" fillId="0" borderId="0" xfId="2" applyFont="1"/>
    <xf numFmtId="0" fontId="2" fillId="0" borderId="0" xfId="2" applyFont="1" applyAlignment="1">
      <alignment horizontal="right"/>
    </xf>
    <xf numFmtId="176" fontId="2" fillId="0" borderId="0" xfId="0" applyNumberFormat="1" applyFont="1" applyFill="1" applyAlignment="1"/>
    <xf numFmtId="0" fontId="2" fillId="0" borderId="15" xfId="2" applyFont="1" applyBorder="1" applyAlignment="1">
      <alignment vertical="center"/>
    </xf>
    <xf numFmtId="0" fontId="2" fillId="0" borderId="5" xfId="3" applyFont="1" applyBorder="1" applyAlignment="1">
      <alignment vertical="center" wrapText="1"/>
    </xf>
    <xf numFmtId="0" fontId="2" fillId="0" borderId="8" xfId="0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176" fontId="2" fillId="0" borderId="0" xfId="2" applyNumberFormat="1" applyFont="1" applyBorder="1" applyAlignment="1">
      <alignment vertical="center"/>
    </xf>
    <xf numFmtId="176" fontId="2" fillId="0" borderId="5" xfId="2" applyNumberFormat="1" applyFont="1" applyBorder="1" applyAlignment="1">
      <alignment vertical="center"/>
    </xf>
    <xf numFmtId="0" fontId="2" fillId="0" borderId="3" xfId="2" applyFont="1" applyBorder="1" applyAlignment="1">
      <alignment vertical="center"/>
    </xf>
    <xf numFmtId="176" fontId="2" fillId="0" borderId="2" xfId="2" applyNumberFormat="1" applyFont="1" applyBorder="1" applyAlignment="1">
      <alignment vertical="center"/>
    </xf>
    <xf numFmtId="176" fontId="2" fillId="0" borderId="3" xfId="2" applyNumberFormat="1" applyFont="1" applyBorder="1" applyAlignment="1">
      <alignment vertical="center"/>
    </xf>
    <xf numFmtId="10" fontId="2" fillId="0" borderId="8" xfId="1" applyNumberFormat="1" applyFont="1" applyBorder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0" borderId="0" xfId="2" applyFont="1" applyAlignment="1">
      <alignment vertical="center"/>
    </xf>
    <xf numFmtId="14" fontId="16" fillId="0" borderId="0" xfId="2" applyNumberFormat="1" applyFont="1" applyAlignment="1">
      <alignment vertical="center"/>
    </xf>
    <xf numFmtId="0" fontId="16" fillId="0" borderId="0" xfId="2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16" fillId="0" borderId="2" xfId="2" applyFont="1" applyBorder="1" applyAlignment="1">
      <alignment vertical="center"/>
    </xf>
    <xf numFmtId="0" fontId="16" fillId="0" borderId="3" xfId="2" applyFont="1" applyBorder="1" applyAlignment="1">
      <alignment vertical="center"/>
    </xf>
    <xf numFmtId="0" fontId="16" fillId="0" borderId="3" xfId="2" applyFont="1" applyBorder="1" applyAlignment="1">
      <alignment horizontal="right" vertical="center"/>
    </xf>
    <xf numFmtId="0" fontId="7" fillId="0" borderId="4" xfId="3" applyFont="1" applyBorder="1" applyAlignment="1">
      <alignment vertical="center" wrapText="1"/>
    </xf>
    <xf numFmtId="0" fontId="16" fillId="0" borderId="0" xfId="3" applyFont="1" applyBorder="1" applyAlignment="1">
      <alignment vertical="center" wrapText="1"/>
    </xf>
    <xf numFmtId="0" fontId="16" fillId="0" borderId="5" xfId="3" applyFont="1" applyBorder="1" applyAlignment="1">
      <alignment vertical="center" wrapText="1"/>
    </xf>
    <xf numFmtId="177" fontId="16" fillId="0" borderId="11" xfId="3" applyNumberFormat="1" applyFont="1" applyBorder="1" applyAlignment="1">
      <alignment vertical="center" wrapText="1"/>
    </xf>
    <xf numFmtId="0" fontId="7" fillId="0" borderId="0" xfId="3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5" xfId="0" applyFont="1" applyBorder="1" applyAlignment="1">
      <alignment vertical="center"/>
    </xf>
    <xf numFmtId="2" fontId="16" fillId="0" borderId="4" xfId="0" applyNumberFormat="1" applyFont="1" applyBorder="1" applyAlignment="1">
      <alignment vertical="center"/>
    </xf>
    <xf numFmtId="0" fontId="7" fillId="0" borderId="6" xfId="3" applyFont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6" fillId="0" borderId="8" xfId="0" applyFont="1" applyBorder="1" applyAlignment="1">
      <alignment vertical="center"/>
    </xf>
    <xf numFmtId="177" fontId="16" fillId="0" borderId="8" xfId="0" applyNumberFormat="1" applyFont="1" applyBorder="1" applyAlignment="1">
      <alignment vertical="center"/>
    </xf>
    <xf numFmtId="176" fontId="16" fillId="0" borderId="2" xfId="2" applyNumberFormat="1" applyFont="1" applyBorder="1" applyAlignment="1">
      <alignment vertical="center"/>
    </xf>
    <xf numFmtId="176" fontId="16" fillId="0" borderId="11" xfId="2" applyNumberFormat="1" applyFont="1" applyFill="1" applyBorder="1" applyAlignment="1">
      <alignment vertical="center"/>
    </xf>
    <xf numFmtId="10" fontId="16" fillId="0" borderId="7" xfId="1" applyNumberFormat="1" applyFont="1" applyBorder="1">
      <alignment vertical="center"/>
    </xf>
    <xf numFmtId="10" fontId="16" fillId="0" borderId="8" xfId="1" applyNumberFormat="1" applyFont="1" applyBorder="1">
      <alignment vertical="center"/>
    </xf>
    <xf numFmtId="10" fontId="16" fillId="0" borderId="1" xfId="1" applyNumberFormat="1" applyFont="1" applyBorder="1">
      <alignment vertical="center"/>
    </xf>
    <xf numFmtId="0" fontId="4" fillId="0" borderId="0" xfId="2" applyFont="1" applyAlignment="1">
      <alignment vertical="center"/>
    </xf>
    <xf numFmtId="14" fontId="2" fillId="3" borderId="0" xfId="2" applyNumberFormat="1" applyFont="1" applyFill="1" applyAlignment="1">
      <alignment vertical="center"/>
    </xf>
    <xf numFmtId="0" fontId="4" fillId="0" borderId="0" xfId="2" applyFont="1"/>
    <xf numFmtId="0" fontId="17" fillId="0" borderId="0" xfId="0" applyFont="1" applyAlignment="1">
      <alignment vertical="center"/>
    </xf>
    <xf numFmtId="0" fontId="2" fillId="3" borderId="0" xfId="2" applyFont="1" applyFill="1" applyAlignment="1">
      <alignment vertical="center"/>
    </xf>
    <xf numFmtId="176" fontId="2" fillId="3" borderId="0" xfId="0" applyNumberFormat="1" applyFont="1" applyFill="1" applyAlignment="1"/>
    <xf numFmtId="0" fontId="15" fillId="3" borderId="0" xfId="0" applyFont="1" applyFill="1" applyAlignment="1">
      <alignment vertical="center"/>
    </xf>
    <xf numFmtId="176" fontId="2" fillId="0" borderId="1" xfId="2" applyNumberFormat="1" applyFont="1" applyBorder="1" applyAlignment="1">
      <alignment vertical="center"/>
    </xf>
    <xf numFmtId="0" fontId="2" fillId="0" borderId="1" xfId="0" applyFont="1" applyBorder="1" applyAlignment="1">
      <alignment horizontal="right" vertical="center"/>
    </xf>
    <xf numFmtId="14" fontId="11" fillId="0" borderId="0" xfId="2" applyNumberFormat="1" applyFont="1" applyAlignment="1">
      <alignment vertical="center"/>
    </xf>
    <xf numFmtId="14" fontId="11" fillId="0" borderId="0" xfId="2" applyNumberFormat="1" applyFont="1" applyFill="1" applyAlignment="1">
      <alignment vertical="center"/>
    </xf>
    <xf numFmtId="0" fontId="11" fillId="0" borderId="0" xfId="2" applyFont="1" applyAlignment="1">
      <alignment vertical="center"/>
    </xf>
    <xf numFmtId="0" fontId="11" fillId="0" borderId="0" xfId="2" applyFont="1" applyFill="1"/>
    <xf numFmtId="0" fontId="11" fillId="0" borderId="0" xfId="0" applyFont="1" applyFill="1" applyAlignment="1">
      <alignment vertical="center"/>
    </xf>
    <xf numFmtId="178" fontId="11" fillId="0" borderId="0" xfId="3" applyNumberFormat="1" applyFont="1">
      <alignment vertical="center"/>
    </xf>
    <xf numFmtId="0" fontId="2" fillId="0" borderId="0" xfId="2" applyFont="1" applyAlignment="1">
      <alignment horizontal="center"/>
    </xf>
    <xf numFmtId="0" fontId="2" fillId="0" borderId="0" xfId="3" applyFont="1">
      <alignment vertical="center"/>
    </xf>
    <xf numFmtId="0" fontId="9" fillId="0" borderId="0" xfId="3" applyFont="1">
      <alignment vertical="center"/>
    </xf>
    <xf numFmtId="0" fontId="11" fillId="0" borderId="0" xfId="0" applyFont="1" applyAlignment="1">
      <alignment vertical="center"/>
    </xf>
    <xf numFmtId="178" fontId="2" fillId="0" borderId="0" xfId="3" applyNumberFormat="1" applyFont="1" applyFill="1">
      <alignment vertical="center"/>
    </xf>
    <xf numFmtId="178" fontId="2" fillId="0" borderId="0" xfId="3" applyNumberFormat="1" applyFont="1">
      <alignment vertical="center"/>
    </xf>
    <xf numFmtId="2" fontId="2" fillId="0" borderId="0" xfId="2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 applyAlignment="1"/>
    <xf numFmtId="0" fontId="2" fillId="0" borderId="1" xfId="2" applyFont="1" applyBorder="1" applyAlignment="1">
      <alignment vertical="center"/>
    </xf>
    <xf numFmtId="2" fontId="2" fillId="0" borderId="4" xfId="3" applyNumberFormat="1" applyFont="1" applyBorder="1" applyAlignment="1">
      <alignment vertical="center" wrapText="1"/>
    </xf>
    <xf numFmtId="178" fontId="2" fillId="0" borderId="4" xfId="0" applyNumberFormat="1" applyFont="1" applyBorder="1" applyAlignment="1">
      <alignment vertical="center"/>
    </xf>
    <xf numFmtId="10" fontId="2" fillId="0" borderId="1" xfId="1" applyNumberFormat="1" applyFont="1" applyBorder="1">
      <alignment vertical="center"/>
    </xf>
    <xf numFmtId="0" fontId="19" fillId="0" borderId="0" xfId="0" applyFont="1" applyAlignment="1">
      <alignment vertical="center"/>
    </xf>
    <xf numFmtId="0" fontId="7" fillId="0" borderId="0" xfId="2" applyFont="1"/>
    <xf numFmtId="2" fontId="16" fillId="0" borderId="0" xfId="2" applyNumberFormat="1" applyFont="1" applyAlignment="1">
      <alignment vertical="center"/>
    </xf>
    <xf numFmtId="0" fontId="16" fillId="0" borderId="0" xfId="2" applyFont="1" applyFill="1" applyAlignment="1">
      <alignment vertical="center"/>
    </xf>
    <xf numFmtId="2" fontId="16" fillId="0" borderId="0" xfId="2" applyNumberFormat="1" applyFont="1" applyFill="1" applyAlignment="1">
      <alignment vertical="center"/>
    </xf>
    <xf numFmtId="177" fontId="16" fillId="0" borderId="6" xfId="0" applyNumberFormat="1" applyFont="1" applyBorder="1" applyAlignment="1">
      <alignment vertical="center"/>
    </xf>
    <xf numFmtId="176" fontId="16" fillId="0" borderId="10" xfId="2" applyNumberFormat="1" applyFont="1" applyFill="1" applyBorder="1" applyAlignment="1">
      <alignment vertical="center"/>
    </xf>
    <xf numFmtId="10" fontId="16" fillId="0" borderId="7" xfId="1" applyNumberFormat="1" applyFont="1" applyFill="1" applyBorder="1">
      <alignment vertical="center"/>
    </xf>
    <xf numFmtId="10" fontId="16" fillId="0" borderId="6" xfId="1" applyNumberFormat="1" applyFont="1" applyFill="1" applyBorder="1">
      <alignment vertical="center"/>
    </xf>
    <xf numFmtId="178" fontId="2" fillId="0" borderId="0" xfId="0" applyNumberFormat="1" applyFont="1" applyAlignment="1">
      <alignment vertical="center"/>
    </xf>
    <xf numFmtId="4" fontId="2" fillId="0" borderId="0" xfId="2" applyNumberFormat="1" applyFont="1" applyAlignment="1">
      <alignment horizontal="right"/>
    </xf>
    <xf numFmtId="0" fontId="4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4" xfId="3" applyFont="1" applyBorder="1" applyAlignment="1">
      <alignment vertical="center" wrapText="1"/>
    </xf>
    <xf numFmtId="0" fontId="4" fillId="0" borderId="0" xfId="3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6" xfId="3" applyFont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2" fillId="0" borderId="11" xfId="3" applyFont="1" applyBorder="1" applyAlignment="1">
      <alignment vertical="center" wrapText="1"/>
    </xf>
    <xf numFmtId="0" fontId="2" fillId="0" borderId="0" xfId="0" applyFont="1" applyAlignment="1">
      <alignment horizontal="right" vertical="center"/>
    </xf>
    <xf numFmtId="0" fontId="16" fillId="0" borderId="0" xfId="2" applyFont="1"/>
    <xf numFmtId="0" fontId="7" fillId="0" borderId="17" xfId="0" applyFont="1" applyBorder="1"/>
    <xf numFmtId="10" fontId="8" fillId="0" borderId="16" xfId="0" applyNumberFormat="1" applyFont="1" applyBorder="1"/>
    <xf numFmtId="0" fontId="7" fillId="0" borderId="19" xfId="0" applyFont="1" applyBorder="1"/>
    <xf numFmtId="0" fontId="8" fillId="0" borderId="20" xfId="0" applyFont="1" applyBorder="1"/>
    <xf numFmtId="2" fontId="8" fillId="0" borderId="20" xfId="0" applyNumberFormat="1" applyFont="1" applyBorder="1"/>
    <xf numFmtId="0" fontId="7" fillId="0" borderId="21" xfId="0" applyFont="1" applyBorder="1"/>
    <xf numFmtId="0" fontId="8" fillId="0" borderId="21" xfId="0" applyFont="1" applyBorder="1"/>
    <xf numFmtId="0" fontId="7" fillId="0" borderId="22" xfId="0" applyFont="1" applyBorder="1"/>
    <xf numFmtId="10" fontId="8" fillId="0" borderId="21" xfId="0" applyNumberFormat="1" applyFont="1" applyBorder="1"/>
    <xf numFmtId="0" fontId="22" fillId="0" borderId="0" xfId="0" applyFont="1"/>
    <xf numFmtId="177" fontId="8" fillId="0" borderId="0" xfId="0" applyNumberFormat="1" applyFont="1"/>
    <xf numFmtId="0" fontId="0" fillId="0" borderId="0" xfId="0" applyAlignment="1">
      <alignment horizontal="right" vertical="center"/>
    </xf>
    <xf numFmtId="176" fontId="16" fillId="0" borderId="1" xfId="2" applyNumberFormat="1" applyFont="1" applyBorder="1" applyAlignment="1">
      <alignment horizontal="right" vertical="center"/>
    </xf>
    <xf numFmtId="10" fontId="16" fillId="0" borderId="1" xfId="1" applyNumberFormat="1" applyFont="1" applyBorder="1" applyAlignment="1">
      <alignment horizontal="right" vertical="center"/>
    </xf>
    <xf numFmtId="0" fontId="7" fillId="0" borderId="1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1" xfId="0" applyFont="1" applyFill="1" applyBorder="1" applyAlignment="1">
      <alignment vertical="center"/>
    </xf>
    <xf numFmtId="0" fontId="16" fillId="0" borderId="0" xfId="2" applyFont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16" fillId="0" borderId="11" xfId="2" applyFont="1" applyBorder="1" applyAlignment="1">
      <alignment horizontal="right" vertical="center"/>
    </xf>
    <xf numFmtId="0" fontId="16" fillId="0" borderId="4" xfId="2" applyFont="1" applyBorder="1" applyAlignment="1">
      <alignment horizontal="right" vertical="center"/>
    </xf>
    <xf numFmtId="0" fontId="16" fillId="0" borderId="6" xfId="2" applyFont="1" applyBorder="1" applyAlignment="1">
      <alignment horizontal="right" vertical="center"/>
    </xf>
    <xf numFmtId="0" fontId="2" fillId="0" borderId="4" xfId="3" applyFont="1" applyBorder="1" applyAlignment="1">
      <alignment horizontal="right" vertical="center" wrapText="1"/>
    </xf>
    <xf numFmtId="0" fontId="2" fillId="0" borderId="4" xfId="0" applyFont="1" applyBorder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2" fillId="0" borderId="12" xfId="2" applyFont="1" applyBorder="1" applyAlignment="1">
      <alignment horizontal="right" vertical="center"/>
    </xf>
    <xf numFmtId="176" fontId="2" fillId="0" borderId="11" xfId="2" applyNumberFormat="1" applyFont="1" applyBorder="1" applyAlignment="1">
      <alignment horizontal="right" vertical="center"/>
    </xf>
    <xf numFmtId="10" fontId="2" fillId="0" borderId="6" xfId="1" applyNumberFormat="1" applyFont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0" xfId="2" applyFont="1"/>
    <xf numFmtId="176" fontId="16" fillId="0" borderId="0" xfId="0" applyNumberFormat="1" applyFont="1" applyAlignment="1"/>
    <xf numFmtId="0" fontId="14" fillId="0" borderId="0" xfId="3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16" fillId="0" borderId="1" xfId="0" applyFont="1" applyBorder="1" applyAlignment="1">
      <alignment horizontal="right" vertical="center"/>
    </xf>
    <xf numFmtId="0" fontId="14" fillId="0" borderId="4" xfId="3" applyFont="1" applyBorder="1" applyAlignment="1">
      <alignment vertical="center" wrapText="1"/>
    </xf>
    <xf numFmtId="0" fontId="16" fillId="0" borderId="0" xfId="0" applyFont="1" applyAlignment="1">
      <alignment vertical="center"/>
    </xf>
    <xf numFmtId="0" fontId="14" fillId="0" borderId="4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4" fillId="0" borderId="6" xfId="3" applyFont="1" applyBorder="1" applyAlignment="1">
      <alignment vertical="center"/>
    </xf>
    <xf numFmtId="0" fontId="16" fillId="0" borderId="6" xfId="0" applyFont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14" fillId="0" borderId="1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24" fillId="0" borderId="0" xfId="2" applyFont="1" applyAlignment="1">
      <alignment vertical="center"/>
    </xf>
    <xf numFmtId="14" fontId="16" fillId="0" borderId="0" xfId="2" applyNumberFormat="1" applyFont="1" applyFill="1" applyAlignment="1">
      <alignment vertical="center"/>
    </xf>
    <xf numFmtId="178" fontId="16" fillId="0" borderId="0" xfId="3" applyNumberFormat="1" applyFont="1">
      <alignment vertical="center"/>
    </xf>
    <xf numFmtId="0" fontId="16" fillId="0" borderId="0" xfId="2" applyFont="1" applyAlignment="1">
      <alignment horizontal="right"/>
    </xf>
    <xf numFmtId="0" fontId="16" fillId="0" borderId="0" xfId="3" applyFont="1">
      <alignment vertical="center"/>
    </xf>
    <xf numFmtId="0" fontId="16" fillId="0" borderId="0" xfId="3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3" applyFont="1" applyBorder="1" applyAlignment="1">
      <alignment vertical="center" wrapText="1"/>
    </xf>
    <xf numFmtId="178" fontId="16" fillId="0" borderId="0" xfId="3" applyNumberFormat="1" applyFont="1" applyBorder="1" applyAlignment="1">
      <alignment vertical="center" wrapText="1"/>
    </xf>
    <xf numFmtId="178" fontId="16" fillId="0" borderId="7" xfId="0" applyNumberFormat="1" applyFont="1" applyBorder="1" applyAlignment="1">
      <alignment vertical="center"/>
    </xf>
    <xf numFmtId="0" fontId="16" fillId="0" borderId="1" xfId="0" applyFont="1" applyFill="1" applyBorder="1" applyAlignment="1">
      <alignment vertical="center"/>
    </xf>
    <xf numFmtId="0" fontId="16" fillId="0" borderId="4" xfId="0" applyFont="1" applyFill="1" applyBorder="1" applyAlignment="1">
      <alignment vertical="center"/>
    </xf>
    <xf numFmtId="176" fontId="16" fillId="0" borderId="0" xfId="2" applyNumberFormat="1" applyFont="1" applyBorder="1" applyAlignment="1">
      <alignment vertical="center"/>
    </xf>
    <xf numFmtId="176" fontId="16" fillId="0" borderId="5" xfId="2" applyNumberFormat="1" applyFont="1" applyBorder="1" applyAlignment="1">
      <alignment vertical="center"/>
    </xf>
    <xf numFmtId="0" fontId="16" fillId="0" borderId="6" xfId="0" applyFont="1" applyFill="1" applyBorder="1" applyAlignment="1">
      <alignment vertical="center"/>
    </xf>
    <xf numFmtId="10" fontId="16" fillId="0" borderId="8" xfId="1" applyNumberFormat="1" applyFont="1" applyBorder="1" applyAlignment="1">
      <alignment horizontal="right" vertical="center"/>
    </xf>
    <xf numFmtId="0" fontId="21" fillId="0" borderId="0" xfId="2" applyFont="1"/>
    <xf numFmtId="0" fontId="16" fillId="0" borderId="6" xfId="3" applyFont="1" applyBorder="1" applyAlignment="1">
      <alignment vertical="center"/>
    </xf>
    <xf numFmtId="10" fontId="16" fillId="0" borderId="2" xfId="1" applyNumberFormat="1" applyFont="1" applyBorder="1">
      <alignment vertical="center"/>
    </xf>
    <xf numFmtId="0" fontId="23" fillId="0" borderId="0" xfId="0" applyFont="1" applyAlignment="1">
      <alignment vertical="center"/>
    </xf>
    <xf numFmtId="0" fontId="16" fillId="0" borderId="11" xfId="0" applyFont="1" applyFill="1" applyBorder="1" applyAlignment="1">
      <alignment vertical="center"/>
    </xf>
    <xf numFmtId="3" fontId="16" fillId="0" borderId="0" xfId="0" applyNumberFormat="1" applyFont="1" applyAlignment="1">
      <alignment vertical="center"/>
    </xf>
    <xf numFmtId="0" fontId="8" fillId="0" borderId="2" xfId="0" applyNumberFormat="1" applyFont="1" applyBorder="1" applyAlignment="1">
      <alignment horizontal="right"/>
    </xf>
    <xf numFmtId="0" fontId="14" fillId="3" borderId="0" xfId="2" applyFont="1" applyFill="1"/>
    <xf numFmtId="0" fontId="16" fillId="3" borderId="0" xfId="2" applyFont="1" applyFill="1"/>
    <xf numFmtId="0" fontId="23" fillId="3" borderId="0" xfId="0" applyFont="1" applyFill="1" applyAlignment="1">
      <alignment vertical="center"/>
    </xf>
    <xf numFmtId="0" fontId="25" fillId="3" borderId="0" xfId="2" applyFont="1" applyFill="1"/>
    <xf numFmtId="0" fontId="21" fillId="3" borderId="0" xfId="2" applyFont="1" applyFill="1"/>
    <xf numFmtId="0" fontId="7" fillId="3" borderId="0" xfId="0" applyFont="1" applyFill="1" applyAlignment="1">
      <alignment vertical="center"/>
    </xf>
    <xf numFmtId="0" fontId="8" fillId="0" borderId="0" xfId="0" applyFont="1" applyAlignment="1">
      <alignment wrapText="1"/>
    </xf>
    <xf numFmtId="0" fontId="7" fillId="2" borderId="0" xfId="0" applyFont="1" applyFill="1"/>
    <xf numFmtId="0" fontId="26" fillId="0" borderId="23" xfId="0" applyFont="1" applyFill="1" applyBorder="1" applyAlignment="1">
      <alignment vertical="center"/>
    </xf>
    <xf numFmtId="14" fontId="27" fillId="0" borderId="24" xfId="0" applyNumberFormat="1" applyFont="1" applyFill="1" applyBorder="1" applyAlignment="1">
      <alignment vertical="center"/>
    </xf>
    <xf numFmtId="14" fontId="27" fillId="0" borderId="18" xfId="0" applyNumberFormat="1" applyFont="1" applyFill="1" applyBorder="1" applyAlignment="1">
      <alignment vertical="center"/>
    </xf>
    <xf numFmtId="14" fontId="27" fillId="0" borderId="25" xfId="0" applyNumberFormat="1" applyFont="1" applyFill="1" applyBorder="1" applyAlignment="1">
      <alignment vertical="center"/>
    </xf>
    <xf numFmtId="14" fontId="27" fillId="0" borderId="26" xfId="0" applyNumberFormat="1" applyFont="1" applyFill="1" applyBorder="1" applyAlignment="1">
      <alignment vertical="center"/>
    </xf>
    <xf numFmtId="14" fontId="27" fillId="0" borderId="27" xfId="0" applyNumberFormat="1" applyFont="1" applyFill="1" applyBorder="1" applyAlignment="1">
      <alignment vertical="center"/>
    </xf>
    <xf numFmtId="14" fontId="27" fillId="0" borderId="23" xfId="0" applyNumberFormat="1" applyFont="1" applyFill="1" applyBorder="1" applyAlignment="1">
      <alignment vertical="center"/>
    </xf>
    <xf numFmtId="0" fontId="2" fillId="0" borderId="24" xfId="0" applyFont="1" applyFill="1" applyBorder="1" applyAlignment="1">
      <alignment vertical="center"/>
    </xf>
    <xf numFmtId="10" fontId="2" fillId="0" borderId="24" xfId="1" applyNumberFormat="1" applyFont="1" applyFill="1" applyBorder="1">
      <alignment vertical="center"/>
    </xf>
    <xf numFmtId="10" fontId="2" fillId="0" borderId="18" xfId="1" applyNumberFormat="1" applyFont="1" applyFill="1" applyBorder="1">
      <alignment vertical="center"/>
    </xf>
    <xf numFmtId="10" fontId="2" fillId="0" borderId="25" xfId="1" applyNumberFormat="1" applyFont="1" applyFill="1" applyBorder="1">
      <alignment vertical="center"/>
    </xf>
    <xf numFmtId="0" fontId="2" fillId="0" borderId="28" xfId="0" applyFont="1" applyFill="1" applyBorder="1" applyAlignment="1">
      <alignment vertical="center"/>
    </xf>
    <xf numFmtId="10" fontId="2" fillId="0" borderId="28" xfId="1" applyNumberFormat="1" applyFont="1" applyFill="1" applyBorder="1">
      <alignment vertical="center"/>
    </xf>
    <xf numFmtId="10" fontId="2" fillId="0" borderId="0" xfId="1" applyNumberFormat="1" applyFont="1" applyFill="1" applyBorder="1">
      <alignment vertical="center"/>
    </xf>
    <xf numFmtId="10" fontId="2" fillId="0" borderId="29" xfId="1" applyNumberFormat="1" applyFont="1" applyFill="1" applyBorder="1">
      <alignment vertical="center"/>
    </xf>
    <xf numFmtId="0" fontId="2" fillId="0" borderId="30" xfId="0" applyFont="1" applyFill="1" applyBorder="1" applyAlignment="1">
      <alignment vertical="center"/>
    </xf>
    <xf numFmtId="10" fontId="2" fillId="0" borderId="30" xfId="1" applyNumberFormat="1" applyFont="1" applyFill="1" applyBorder="1">
      <alignment vertical="center"/>
    </xf>
    <xf numFmtId="10" fontId="2" fillId="0" borderId="16" xfId="1" applyNumberFormat="1" applyFont="1" applyFill="1" applyBorder="1">
      <alignment vertical="center"/>
    </xf>
    <xf numFmtId="10" fontId="2" fillId="0" borderId="31" xfId="1" applyNumberFormat="1" applyFont="1" applyFill="1" applyBorder="1">
      <alignment vertical="center"/>
    </xf>
    <xf numFmtId="0" fontId="2" fillId="0" borderId="0" xfId="0" applyFont="1" applyFill="1" applyBorder="1" applyAlignment="1">
      <alignment vertical="center"/>
    </xf>
    <xf numFmtId="10" fontId="2" fillId="0" borderId="0" xfId="1" applyNumberFormat="1" applyFont="1" applyFill="1" applyProtection="1">
      <alignment vertical="center"/>
      <protection hidden="1"/>
    </xf>
    <xf numFmtId="0" fontId="28" fillId="3" borderId="0" xfId="0" applyFont="1" applyFill="1" applyAlignment="1" applyProtection="1">
      <alignment vertical="center"/>
    </xf>
    <xf numFmtId="0" fontId="4" fillId="3" borderId="0" xfId="0" applyFont="1" applyFill="1" applyAlignment="1">
      <alignment vertical="center"/>
    </xf>
    <xf numFmtId="0" fontId="29" fillId="2" borderId="0" xfId="0" applyFont="1" applyFill="1" applyAlignment="1">
      <alignment vertical="center"/>
    </xf>
    <xf numFmtId="0" fontId="4" fillId="0" borderId="8" xfId="0" applyFont="1" applyFill="1" applyBorder="1" applyAlignment="1" applyProtection="1">
      <alignment vertical="center"/>
      <protection hidden="1"/>
    </xf>
    <xf numFmtId="14" fontId="27" fillId="0" borderId="5" xfId="0" applyNumberFormat="1" applyFont="1" applyFill="1" applyBorder="1" applyAlignment="1" applyProtection="1">
      <alignment vertical="center"/>
      <protection hidden="1"/>
    </xf>
    <xf numFmtId="0" fontId="29" fillId="0" borderId="7" xfId="0" applyFont="1" applyFill="1" applyBorder="1" applyAlignment="1" applyProtection="1">
      <alignment horizontal="right" vertical="center"/>
      <protection hidden="1"/>
    </xf>
    <xf numFmtId="0" fontId="8" fillId="0" borderId="0" xfId="0" applyFont="1" applyAlignment="1"/>
    <xf numFmtId="0" fontId="7" fillId="3" borderId="1" xfId="0" applyFont="1" applyFill="1" applyBorder="1" applyAlignment="1">
      <alignment vertical="center"/>
    </xf>
    <xf numFmtId="0" fontId="16" fillId="0" borderId="4" xfId="3" applyFont="1" applyBorder="1" applyAlignment="1">
      <alignment horizontal="right" vertical="center" wrapText="1"/>
    </xf>
    <xf numFmtId="0" fontId="16" fillId="0" borderId="4" xfId="0" applyFont="1" applyBorder="1" applyAlignment="1">
      <alignment horizontal="right" vertical="center"/>
    </xf>
    <xf numFmtId="0" fontId="16" fillId="0" borderId="6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5" xfId="0" applyFont="1" applyFill="1" applyBorder="1" applyAlignment="1">
      <alignment vertical="center"/>
    </xf>
    <xf numFmtId="0" fontId="2" fillId="0" borderId="14" xfId="0" applyFont="1" applyFill="1" applyBorder="1" applyAlignment="1">
      <alignment vertical="center"/>
    </xf>
    <xf numFmtId="176" fontId="2" fillId="0" borderId="9" xfId="2" applyNumberFormat="1" applyFont="1" applyBorder="1" applyAlignment="1">
      <alignment vertical="center"/>
    </xf>
    <xf numFmtId="176" fontId="2" fillId="0" borderId="10" xfId="2" applyNumberFormat="1" applyFont="1" applyBorder="1" applyAlignment="1">
      <alignment vertical="center"/>
    </xf>
    <xf numFmtId="176" fontId="2" fillId="0" borderId="12" xfId="2" applyNumberFormat="1" applyFont="1" applyBorder="1" applyAlignment="1">
      <alignment vertical="center"/>
    </xf>
    <xf numFmtId="0" fontId="8" fillId="0" borderId="15" xfId="0" applyNumberFormat="1" applyFont="1" applyBorder="1"/>
    <xf numFmtId="0" fontId="8" fillId="0" borderId="2" xfId="0" applyFont="1" applyBorder="1"/>
    <xf numFmtId="177" fontId="8" fillId="0" borderId="9" xfId="0" applyNumberFormat="1" applyFont="1" applyBorder="1"/>
    <xf numFmtId="177" fontId="8" fillId="0" borderId="10" xfId="0" applyNumberFormat="1" applyFont="1" applyBorder="1"/>
    <xf numFmtId="2" fontId="2" fillId="0" borderId="0" xfId="3" applyNumberFormat="1" applyFont="1">
      <alignment vertical="center"/>
    </xf>
    <xf numFmtId="3" fontId="19" fillId="0" borderId="0" xfId="0" applyNumberFormat="1" applyFont="1" applyAlignment="1">
      <alignment vertical="center"/>
    </xf>
    <xf numFmtId="3" fontId="16" fillId="0" borderId="0" xfId="2" applyNumberFormat="1" applyFont="1" applyAlignment="1">
      <alignment vertical="center"/>
    </xf>
    <xf numFmtId="2" fontId="16" fillId="0" borderId="0" xfId="3" applyNumberFormat="1" applyFont="1" applyBorder="1" applyAlignment="1">
      <alignment vertical="center" wrapText="1"/>
    </xf>
    <xf numFmtId="2" fontId="16" fillId="0" borderId="0" xfId="0" applyNumberFormat="1" applyFont="1" applyBorder="1" applyAlignment="1">
      <alignment vertical="center"/>
    </xf>
    <xf numFmtId="2" fontId="16" fillId="0" borderId="7" xfId="0" applyNumberFormat="1" applyFont="1" applyBorder="1" applyAlignment="1">
      <alignment vertical="center"/>
    </xf>
    <xf numFmtId="177" fontId="8" fillId="0" borderId="12" xfId="0" applyNumberFormat="1" applyFont="1" applyBorder="1"/>
    <xf numFmtId="3" fontId="2" fillId="0" borderId="0" xfId="2" applyNumberFormat="1" applyFont="1" applyAlignment="1">
      <alignment vertical="center"/>
    </xf>
    <xf numFmtId="2" fontId="2" fillId="0" borderId="0" xfId="3" applyNumberFormat="1" applyFont="1" applyBorder="1" applyAlignment="1">
      <alignment vertical="center" wrapText="1"/>
    </xf>
    <xf numFmtId="2" fontId="2" fillId="0" borderId="0" xfId="0" applyNumberFormat="1" applyFont="1" applyBorder="1" applyAlignment="1">
      <alignment vertical="center"/>
    </xf>
    <xf numFmtId="2" fontId="2" fillId="0" borderId="7" xfId="0" applyNumberFormat="1" applyFont="1" applyBorder="1" applyAlignment="1">
      <alignment vertical="center"/>
    </xf>
    <xf numFmtId="0" fontId="31" fillId="0" borderId="0" xfId="4" applyNumberFormat="1" applyFont="1" applyFill="1" applyBorder="1" applyAlignment="1" applyProtection="1">
      <alignment horizontal="left"/>
    </xf>
    <xf numFmtId="0" fontId="31" fillId="0" borderId="0" xfId="4" applyNumberFormat="1" applyFont="1" applyFill="1" applyBorder="1" applyAlignment="1" applyProtection="1">
      <alignment horizontal="right"/>
    </xf>
    <xf numFmtId="178" fontId="16" fillId="0" borderId="0" xfId="3" applyNumberFormat="1" applyFont="1" applyAlignment="1">
      <alignment horizontal="right" vertical="center"/>
    </xf>
    <xf numFmtId="0" fontId="33" fillId="0" borderId="21" xfId="0" applyFont="1" applyBorder="1" applyAlignment="1">
      <alignment horizontal="right"/>
    </xf>
    <xf numFmtId="14" fontId="8" fillId="0" borderId="0" xfId="0" applyNumberFormat="1" applyFont="1" applyAlignment="1">
      <alignment vertical="center"/>
    </xf>
    <xf numFmtId="0" fontId="16" fillId="0" borderId="2" xfId="0" applyFont="1" applyBorder="1" applyAlignment="1">
      <alignment vertical="center"/>
    </xf>
    <xf numFmtId="0" fontId="16" fillId="0" borderId="10" xfId="3" applyFont="1" applyBorder="1" applyAlignment="1">
      <alignment vertical="center" wrapText="1"/>
    </xf>
    <xf numFmtId="0" fontId="16" fillId="0" borderId="12" xfId="3" applyFont="1" applyBorder="1" applyAlignment="1">
      <alignment vertical="center" wrapText="1"/>
    </xf>
    <xf numFmtId="0" fontId="16" fillId="0" borderId="15" xfId="0" applyFont="1" applyBorder="1" applyAlignment="1">
      <alignment vertical="center"/>
    </xf>
    <xf numFmtId="176" fontId="16" fillId="0" borderId="7" xfId="2" applyNumberFormat="1" applyFont="1" applyBorder="1" applyAlignment="1">
      <alignment vertical="center"/>
    </xf>
    <xf numFmtId="176" fontId="16" fillId="0" borderId="8" xfId="2" applyNumberFormat="1" applyFont="1" applyBorder="1" applyAlignment="1">
      <alignment vertical="center"/>
    </xf>
    <xf numFmtId="14" fontId="2" fillId="0" borderId="0" xfId="0" applyNumberFormat="1" applyFont="1" applyAlignment="1">
      <alignment vertical="center"/>
    </xf>
    <xf numFmtId="14" fontId="16" fillId="0" borderId="0" xfId="0" applyNumberFormat="1" applyFont="1" applyAlignment="1">
      <alignment vertical="center"/>
    </xf>
    <xf numFmtId="2" fontId="2" fillId="3" borderId="0" xfId="2" applyNumberFormat="1" applyFont="1" applyFill="1" applyAlignment="1">
      <alignment vertical="center"/>
    </xf>
    <xf numFmtId="2" fontId="16" fillId="0" borderId="10" xfId="3" applyNumberFormat="1" applyFont="1" applyBorder="1" applyAlignment="1">
      <alignment vertical="center" wrapText="1"/>
    </xf>
    <xf numFmtId="4" fontId="2" fillId="0" borderId="0" xfId="0" applyNumberFormat="1" applyFont="1" applyAlignment="1">
      <alignment vertical="center"/>
    </xf>
    <xf numFmtId="178" fontId="4" fillId="0" borderId="0" xfId="3" applyNumberFormat="1" applyFont="1" applyFill="1">
      <alignment vertical="center"/>
    </xf>
    <xf numFmtId="0" fontId="4" fillId="0" borderId="8" xfId="3" applyFont="1" applyBorder="1" applyAlignment="1">
      <alignment vertical="center"/>
    </xf>
    <xf numFmtId="177" fontId="2" fillId="0" borderId="0" xfId="0" applyNumberFormat="1" applyFont="1" applyAlignment="1">
      <alignment vertical="center"/>
    </xf>
    <xf numFmtId="0" fontId="16" fillId="0" borderId="0" xfId="2" applyFont="1" applyAlignment="1">
      <alignment horizontal="right" vertical="center"/>
    </xf>
    <xf numFmtId="178" fontId="2" fillId="0" borderId="0" xfId="0" applyNumberFormat="1" applyFont="1" applyFill="1" applyAlignment="1">
      <alignment vertical="center"/>
    </xf>
    <xf numFmtId="178" fontId="16" fillId="0" borderId="0" xfId="0" applyNumberFormat="1" applyFont="1" applyAlignment="1">
      <alignment vertical="center"/>
    </xf>
    <xf numFmtId="0" fontId="16" fillId="0" borderId="0" xfId="0" applyFont="1" applyFill="1" applyAlignment="1">
      <alignment horizontal="right" vertical="center"/>
    </xf>
    <xf numFmtId="3" fontId="16" fillId="0" borderId="0" xfId="2" applyNumberFormat="1" applyFont="1" applyAlignment="1">
      <alignment horizontal="right" vertical="center"/>
    </xf>
    <xf numFmtId="178" fontId="16" fillId="0" borderId="0" xfId="2" applyNumberFormat="1" applyFont="1" applyAlignment="1">
      <alignment horizontal="right" vertical="center"/>
    </xf>
    <xf numFmtId="0" fontId="16" fillId="0" borderId="0" xfId="3" applyFont="1" applyAlignment="1">
      <alignment horizontal="right" vertical="center"/>
    </xf>
    <xf numFmtId="176" fontId="16" fillId="0" borderId="0" xfId="0" applyNumberFormat="1" applyFont="1" applyAlignment="1">
      <alignment horizontal="right"/>
    </xf>
    <xf numFmtId="176" fontId="16" fillId="0" borderId="0" xfId="0" applyNumberFormat="1" applyFont="1" applyFill="1" applyAlignment="1">
      <alignment horizontal="right"/>
    </xf>
    <xf numFmtId="0" fontId="16" fillId="0" borderId="15" xfId="0" applyFont="1" applyFill="1" applyBorder="1" applyAlignment="1">
      <alignment vertical="center"/>
    </xf>
    <xf numFmtId="0" fontId="16" fillId="0" borderId="15" xfId="2" applyFont="1" applyBorder="1" applyAlignment="1">
      <alignment vertical="center"/>
    </xf>
    <xf numFmtId="176" fontId="16" fillId="0" borderId="15" xfId="2" applyNumberFormat="1" applyFont="1" applyBorder="1" applyAlignment="1">
      <alignment vertical="center"/>
    </xf>
    <xf numFmtId="10" fontId="16" fillId="0" borderId="15" xfId="1" applyNumberFormat="1" applyFont="1" applyBorder="1">
      <alignment vertical="center"/>
    </xf>
    <xf numFmtId="178" fontId="14" fillId="0" borderId="0" xfId="3" applyNumberFormat="1" applyFont="1">
      <alignment vertical="center"/>
    </xf>
    <xf numFmtId="0" fontId="2" fillId="0" borderId="0" xfId="0" applyFont="1"/>
    <xf numFmtId="3" fontId="2" fillId="0" borderId="0" xfId="0" applyNumberFormat="1" applyFont="1"/>
    <xf numFmtId="0" fontId="2" fillId="0" borderId="0" xfId="0" applyFont="1" applyAlignment="1"/>
    <xf numFmtId="176" fontId="2" fillId="0" borderId="15" xfId="2" applyNumberFormat="1" applyFont="1" applyBorder="1" applyAlignment="1">
      <alignment vertical="center"/>
    </xf>
    <xf numFmtId="10" fontId="16" fillId="0" borderId="13" xfId="1" applyNumberFormat="1" applyFont="1" applyBorder="1">
      <alignment vertical="center"/>
    </xf>
    <xf numFmtId="3" fontId="2" fillId="0" borderId="0" xfId="0" applyNumberFormat="1" applyFont="1" applyAlignment="1"/>
    <xf numFmtId="10" fontId="2" fillId="0" borderId="13" xfId="1" applyNumberFormat="1" applyFont="1" applyBorder="1" applyAlignment="1">
      <alignment vertical="center"/>
    </xf>
    <xf numFmtId="10" fontId="2" fillId="0" borderId="7" xfId="1" applyNumberFormat="1" applyFont="1" applyBorder="1" applyAlignment="1">
      <alignment vertical="center"/>
    </xf>
    <xf numFmtId="10" fontId="2" fillId="0" borderId="8" xfId="1" applyNumberFormat="1" applyFont="1" applyBorder="1" applyAlignment="1">
      <alignment vertical="center"/>
    </xf>
    <xf numFmtId="178" fontId="2" fillId="0" borderId="0" xfId="2" applyNumberFormat="1" applyFont="1" applyAlignment="1">
      <alignment vertical="center"/>
    </xf>
    <xf numFmtId="178" fontId="2" fillId="0" borderId="0" xfId="0" applyNumberFormat="1" applyFont="1" applyAlignment="1"/>
    <xf numFmtId="0" fontId="2" fillId="0" borderId="0" xfId="2" applyFont="1" applyAlignment="1">
      <alignment horizontal="left"/>
    </xf>
    <xf numFmtId="178" fontId="8" fillId="0" borderId="0" xfId="0" applyNumberFormat="1" applyFont="1"/>
    <xf numFmtId="178" fontId="8" fillId="0" borderId="14" xfId="0" applyNumberFormat="1" applyFont="1" applyBorder="1"/>
    <xf numFmtId="178" fontId="8" fillId="0" borderId="0" xfId="0" applyNumberFormat="1" applyFont="1" applyBorder="1"/>
    <xf numFmtId="178" fontId="8" fillId="0" borderId="5" xfId="0" applyNumberFormat="1" applyFont="1" applyBorder="1"/>
    <xf numFmtId="178" fontId="8" fillId="0" borderId="13" xfId="0" applyNumberFormat="1" applyFont="1" applyBorder="1"/>
    <xf numFmtId="178" fontId="8" fillId="0" borderId="7" xfId="0" applyNumberFormat="1" applyFont="1" applyBorder="1"/>
    <xf numFmtId="178" fontId="8" fillId="0" borderId="8" xfId="0" applyNumberFormat="1" applyFont="1" applyBorder="1"/>
    <xf numFmtId="0" fontId="2" fillId="0" borderId="12" xfId="2" applyFont="1" applyBorder="1" applyAlignment="1">
      <alignment vertical="center"/>
    </xf>
    <xf numFmtId="0" fontId="7" fillId="0" borderId="15" xfId="0" applyFont="1" applyFill="1" applyBorder="1" applyAlignment="1">
      <alignment vertical="center"/>
    </xf>
    <xf numFmtId="176" fontId="16" fillId="0" borderId="13" xfId="2" applyNumberFormat="1" applyFont="1" applyBorder="1" applyAlignment="1">
      <alignment vertical="center"/>
    </xf>
    <xf numFmtId="177" fontId="8" fillId="0" borderId="20" xfId="0" applyNumberFormat="1" applyFont="1" applyBorder="1"/>
    <xf numFmtId="178" fontId="8" fillId="0" borderId="20" xfId="0" applyNumberFormat="1" applyFont="1" applyBorder="1"/>
    <xf numFmtId="0" fontId="2" fillId="0" borderId="11" xfId="3" applyFont="1" applyBorder="1" applyAlignment="1">
      <alignment horizontal="right" vertical="center" wrapText="1"/>
    </xf>
    <xf numFmtId="176" fontId="2" fillId="0" borderId="1" xfId="2" applyNumberFormat="1" applyFont="1" applyBorder="1" applyAlignment="1">
      <alignment horizontal="right" vertical="center"/>
    </xf>
    <xf numFmtId="178" fontId="16" fillId="0" borderId="8" xfId="0" applyNumberFormat="1" applyFont="1" applyBorder="1" applyAlignment="1">
      <alignment vertical="center"/>
    </xf>
    <xf numFmtId="0" fontId="4" fillId="0" borderId="6" xfId="0" applyFont="1" applyBorder="1" applyAlignment="1">
      <alignment vertical="center"/>
    </xf>
    <xf numFmtId="178" fontId="2" fillId="0" borderId="9" xfId="3" applyNumberFormat="1" applyFont="1" applyBorder="1" applyAlignment="1">
      <alignment vertical="center" wrapText="1"/>
    </xf>
    <xf numFmtId="178" fontId="2" fillId="0" borderId="10" xfId="3" applyNumberFormat="1" applyFont="1" applyBorder="1" applyAlignment="1">
      <alignment vertical="center" wrapText="1"/>
    </xf>
    <xf numFmtId="178" fontId="2" fillId="0" borderId="12" xfId="3" applyNumberFormat="1" applyFont="1" applyBorder="1" applyAlignment="1">
      <alignment vertical="center" wrapText="1"/>
    </xf>
    <xf numFmtId="2" fontId="2" fillId="0" borderId="7" xfId="3" applyNumberFormat="1" applyFont="1" applyBorder="1">
      <alignment vertical="center"/>
    </xf>
    <xf numFmtId="2" fontId="2" fillId="0" borderId="8" xfId="3" applyNumberFormat="1" applyFont="1" applyBorder="1">
      <alignment vertical="center"/>
    </xf>
    <xf numFmtId="177" fontId="2" fillId="0" borderId="0" xfId="0" applyNumberFormat="1" applyFont="1" applyFill="1" applyAlignment="1">
      <alignment vertical="center"/>
    </xf>
    <xf numFmtId="10" fontId="2" fillId="0" borderId="0" xfId="1" applyNumberFormat="1" applyFont="1" applyFill="1" applyAlignment="1">
      <alignment vertical="center"/>
    </xf>
    <xf numFmtId="10" fontId="2" fillId="0" borderId="0" xfId="1" applyNumberFormat="1" applyFont="1" applyAlignment="1">
      <alignment vertical="center"/>
    </xf>
    <xf numFmtId="177" fontId="7" fillId="0" borderId="0" xfId="0" applyNumberFormat="1" applyFont="1" applyAlignment="1">
      <alignment vertical="center"/>
    </xf>
    <xf numFmtId="177" fontId="0" fillId="0" borderId="0" xfId="0" applyNumberFormat="1" applyAlignment="1">
      <alignment vertical="center"/>
    </xf>
    <xf numFmtId="177" fontId="8" fillId="0" borderId="0" xfId="0" applyNumberFormat="1" applyFont="1" applyAlignment="1">
      <alignment vertical="center"/>
    </xf>
    <xf numFmtId="177" fontId="16" fillId="0" borderId="0" xfId="0" applyNumberFormat="1" applyFont="1" applyAlignment="1">
      <alignment vertical="center"/>
    </xf>
    <xf numFmtId="0" fontId="14" fillId="2" borderId="0" xfId="2" applyFont="1" applyFill="1"/>
    <xf numFmtId="0" fontId="14" fillId="0" borderId="11" xfId="0" applyFont="1" applyFill="1" applyBorder="1" applyAlignment="1">
      <alignment vertical="center"/>
    </xf>
    <xf numFmtId="0" fontId="14" fillId="0" borderId="6" xfId="0" applyFont="1" applyFill="1" applyBorder="1" applyAlignment="1">
      <alignment vertical="center"/>
    </xf>
    <xf numFmtId="0" fontId="14" fillId="0" borderId="0" xfId="0" applyFont="1" applyAlignment="1"/>
    <xf numFmtId="0" fontId="14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3" fontId="14" fillId="2" borderId="0" xfId="0" applyNumberFormat="1" applyFont="1" applyFill="1" applyAlignment="1">
      <alignment vertical="center"/>
    </xf>
    <xf numFmtId="0" fontId="2" fillId="0" borderId="0" xfId="2" applyFont="1" applyFill="1"/>
    <xf numFmtId="3" fontId="2" fillId="0" borderId="0" xfId="0" applyNumberFormat="1" applyFont="1" applyFill="1"/>
    <xf numFmtId="2" fontId="2" fillId="0" borderId="0" xfId="2" applyNumberFormat="1" applyFont="1" applyFill="1" applyAlignment="1">
      <alignment vertical="center"/>
    </xf>
    <xf numFmtId="0" fontId="4" fillId="0" borderId="0" xfId="0" applyFont="1" applyFill="1"/>
    <xf numFmtId="3" fontId="2" fillId="0" borderId="0" xfId="2" applyNumberFormat="1" applyFont="1" applyFill="1" applyAlignment="1">
      <alignment vertical="center"/>
    </xf>
    <xf numFmtId="0" fontId="2" fillId="0" borderId="0" xfId="0" applyFont="1" applyFill="1"/>
    <xf numFmtId="178" fontId="16" fillId="0" borderId="0" xfId="3" applyNumberFormat="1" applyFont="1" applyAlignment="1">
      <alignment horizontal="left" vertical="center"/>
    </xf>
    <xf numFmtId="0" fontId="16" fillId="0" borderId="0" xfId="2" applyFont="1" applyAlignment="1">
      <alignment horizontal="center"/>
    </xf>
    <xf numFmtId="10" fontId="16" fillId="0" borderId="0" xfId="1" applyNumberFormat="1" applyFont="1" applyFill="1" applyAlignment="1">
      <alignment vertical="center"/>
    </xf>
    <xf numFmtId="10" fontId="16" fillId="0" borderId="0" xfId="1" applyNumberFormat="1" applyFont="1" applyAlignment="1">
      <alignment vertical="center"/>
    </xf>
    <xf numFmtId="177" fontId="16" fillId="0" borderId="0" xfId="0" applyNumberFormat="1" applyFont="1" applyFill="1" applyAlignment="1">
      <alignment vertical="center"/>
    </xf>
    <xf numFmtId="0" fontId="11" fillId="0" borderId="0" xfId="2" applyFont="1" applyAlignment="1">
      <alignment horizontal="right"/>
    </xf>
    <xf numFmtId="176" fontId="2" fillId="2" borderId="0" xfId="0" applyNumberFormat="1" applyFont="1" applyFill="1" applyAlignment="1"/>
    <xf numFmtId="176" fontId="14" fillId="2" borderId="0" xfId="0" applyNumberFormat="1" applyFont="1" applyFill="1" applyAlignment="1"/>
    <xf numFmtId="176" fontId="16" fillId="2" borderId="0" xfId="0" applyNumberFormat="1" applyFont="1" applyFill="1" applyAlignment="1"/>
    <xf numFmtId="0" fontId="9" fillId="0" borderId="0" xfId="0" applyFont="1" applyAlignment="1">
      <alignment vertical="center"/>
    </xf>
    <xf numFmtId="10" fontId="18" fillId="0" borderId="0" xfId="1" applyNumberFormat="1" applyFont="1" applyAlignment="1">
      <alignment vertical="center"/>
    </xf>
    <xf numFmtId="2" fontId="18" fillId="0" borderId="0" xfId="0" applyNumberFormat="1" applyFont="1" applyAlignment="1">
      <alignment vertical="center"/>
    </xf>
    <xf numFmtId="10" fontId="0" fillId="0" borderId="0" xfId="1" applyNumberFormat="1" applyFont="1" applyAlignment="1">
      <alignment vertical="center"/>
    </xf>
    <xf numFmtId="2" fontId="16" fillId="0" borderId="6" xfId="2" applyNumberFormat="1" applyFont="1" applyBorder="1" applyAlignment="1">
      <alignment horizontal="right" vertical="center"/>
    </xf>
    <xf numFmtId="0" fontId="16" fillId="2" borderId="0" xfId="2" applyFont="1" applyFill="1" applyAlignment="1">
      <alignment vertical="center"/>
    </xf>
    <xf numFmtId="10" fontId="23" fillId="0" borderId="0" xfId="1" applyNumberFormat="1" applyFont="1" applyAlignment="1">
      <alignment vertical="center"/>
    </xf>
    <xf numFmtId="0" fontId="25" fillId="0" borderId="0" xfId="2" applyFont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2" applyFont="1" applyAlignment="1">
      <alignment vertical="center"/>
    </xf>
    <xf numFmtId="177" fontId="14" fillId="2" borderId="0" xfId="0" applyNumberFormat="1" applyFont="1" applyFill="1" applyAlignment="1">
      <alignment vertical="center"/>
    </xf>
    <xf numFmtId="0" fontId="14" fillId="2" borderId="0" xfId="3" applyFont="1" applyFill="1" applyBorder="1" applyAlignment="1">
      <alignment vertical="center"/>
    </xf>
    <xf numFmtId="0" fontId="14" fillId="0" borderId="0" xfId="2" applyFont="1" applyFill="1" applyAlignment="1">
      <alignment vertical="center"/>
    </xf>
    <xf numFmtId="0" fontId="0" fillId="0" borderId="0" xfId="0" applyFill="1" applyAlignment="1">
      <alignment vertical="center"/>
    </xf>
    <xf numFmtId="0" fontId="9" fillId="0" borderId="0" xfId="2" applyFont="1"/>
    <xf numFmtId="0" fontId="9" fillId="0" borderId="0" xfId="2" applyFont="1" applyAlignment="1">
      <alignment vertical="center"/>
    </xf>
    <xf numFmtId="0" fontId="34" fillId="0" borderId="0" xfId="2" applyFont="1"/>
    <xf numFmtId="177" fontId="7" fillId="0" borderId="0" xfId="0" applyNumberFormat="1" applyFont="1" applyAlignment="1"/>
    <xf numFmtId="177" fontId="7" fillId="0" borderId="0" xfId="0" applyNumberFormat="1" applyFont="1"/>
    <xf numFmtId="2" fontId="8" fillId="0" borderId="0" xfId="0" applyNumberFormat="1" applyFont="1"/>
    <xf numFmtId="0" fontId="32" fillId="0" borderId="18" xfId="0" applyFont="1" applyBorder="1" applyAlignment="1">
      <alignment vertical="center"/>
    </xf>
    <xf numFmtId="0" fontId="32" fillId="0" borderId="0" xfId="0" applyFont="1" applyBorder="1" applyAlignment="1">
      <alignment vertical="center"/>
    </xf>
    <xf numFmtId="14" fontId="0" fillId="0" borderId="0" xfId="0" applyNumberFormat="1"/>
    <xf numFmtId="179" fontId="8" fillId="0" borderId="0" xfId="0" applyNumberFormat="1" applyFont="1"/>
    <xf numFmtId="10" fontId="8" fillId="0" borderId="0" xfId="1" applyNumberFormat="1" applyFont="1" applyAlignment="1"/>
    <xf numFmtId="0" fontId="32" fillId="0" borderId="18" xfId="0" applyFont="1" applyBorder="1" applyAlignment="1">
      <alignment horizontal="center" vertical="center"/>
    </xf>
    <xf numFmtId="0" fontId="32" fillId="0" borderId="16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2" fillId="0" borderId="9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2" fillId="0" borderId="0" xfId="2" applyFont="1" applyBorder="1" applyAlignment="1">
      <alignment vertical="center"/>
    </xf>
    <xf numFmtId="0" fontId="2" fillId="0" borderId="0" xfId="2" applyFont="1" applyBorder="1" applyAlignment="1">
      <alignment horizontal="right" vertical="center"/>
    </xf>
    <xf numFmtId="0" fontId="0" fillId="0" borderId="0" xfId="0" applyBorder="1" applyAlignment="1">
      <alignment vertical="center"/>
    </xf>
    <xf numFmtId="10" fontId="2" fillId="0" borderId="0" xfId="1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176" fontId="8" fillId="0" borderId="0" xfId="0" applyNumberFormat="1" applyFont="1"/>
  </cellXfs>
  <cellStyles count="5">
    <cellStyle name="百分比" xfId="1" builtinId="5"/>
    <cellStyle name="常规" xfId="0" builtinId="0"/>
    <cellStyle name="常规 2 2" xfId="2"/>
    <cellStyle name="常规 3" xfId="3"/>
    <cellStyle name="常规_华夏银行" xfId="4"/>
  </cellStyles>
  <dxfs count="8"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r>
              <a:rPr lang="zh-CN" altLang="en-US"/>
              <a:t>宁波银行不良生成率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2979626721203144"/>
          <c:y val="0.12984293193717278"/>
          <c:w val="0.75536104748720911"/>
          <c:h val="0.671631967605026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不良生成率!$A$26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不良生成率!$B$25:$L$25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不良生成率!$B$26:$L$26</c:f>
              <c:numCache>
                <c:formatCode>0.00_ </c:formatCode>
                <c:ptCount val="11"/>
                <c:pt idx="0">
                  <c:v>0.40683999999999998</c:v>
                </c:pt>
                <c:pt idx="1">
                  <c:v>3.5762104376000003</c:v>
                </c:pt>
                <c:pt idx="2">
                  <c:v>1.8791295624</c:v>
                </c:pt>
                <c:pt idx="3">
                  <c:v>22.808060000000001</c:v>
                </c:pt>
                <c:pt idx="4">
                  <c:v>-20.22898</c:v>
                </c:pt>
                <c:pt idx="5">
                  <c:v>2.9148199999999984</c:v>
                </c:pt>
                <c:pt idx="6">
                  <c:v>8.7363700000000009</c:v>
                </c:pt>
                <c:pt idx="7">
                  <c:v>13.20609</c:v>
                </c:pt>
                <c:pt idx="8">
                  <c:v>24.267810000000001</c:v>
                </c:pt>
                <c:pt idx="9">
                  <c:v>32.528579999999998</c:v>
                </c:pt>
                <c:pt idx="10">
                  <c:v>13.457840000000003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B70-48AD-B193-8D1D96DF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59979488"/>
        <c:axId val="-159994176"/>
      </c:barChart>
      <c:lineChart>
        <c:grouping val="standard"/>
        <c:varyColors val="0"/>
        <c:ser>
          <c:idx val="1"/>
          <c:order val="1"/>
          <c:tx>
            <c:strRef>
              <c:f>不良生成率!$A$27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不良生成率!$B$25:$L$25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不良生成率!$B$27:$L$27</c:f>
              <c:numCache>
                <c:formatCode>0.00%</c:formatCode>
                <c:ptCount val="11"/>
                <c:pt idx="0">
                  <c:v>1.4460332699257246E-3</c:v>
                </c:pt>
                <c:pt idx="1">
                  <c:v>9.7971775118365391E-3</c:v>
                </c:pt>
                <c:pt idx="2">
                  <c:v>3.8227904329831142E-3</c:v>
                </c:pt>
                <c:pt idx="3">
                  <c:v>2.7860967055189402E-2</c:v>
                </c:pt>
                <c:pt idx="4">
                  <c:v>-6.2128698579229603E-3</c:v>
                </c:pt>
                <c:pt idx="5">
                  <c:v>2.3746933788238067E-3</c:v>
                </c:pt>
                <c:pt idx="6">
                  <c:v>5.9995312515333408E-3</c:v>
                </c:pt>
                <c:pt idx="7">
                  <c:v>7.7143032687498779E-3</c:v>
                </c:pt>
                <c:pt idx="8">
                  <c:v>1.1552679196677107E-2</c:v>
                </c:pt>
                <c:pt idx="9">
                  <c:v>1.2721952619080601E-2</c:v>
                </c:pt>
                <c:pt idx="10">
                  <c:v>8.8975490319588933E-3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0-48AD-B193-8D1D96DF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6556432"/>
        <c:axId val="-159983840"/>
      </c:lineChart>
      <c:catAx>
        <c:axId val="-15997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159994176"/>
        <c:crosses val="autoZero"/>
        <c:auto val="1"/>
        <c:lblAlgn val="ctr"/>
        <c:lblOffset val="100"/>
        <c:noMultiLvlLbl val="0"/>
      </c:catAx>
      <c:valAx>
        <c:axId val="-159994176"/>
        <c:scaling>
          <c:orientation val="minMax"/>
        </c:scaling>
        <c:delete val="0"/>
        <c:axPos val="l"/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159979488"/>
        <c:crosses val="autoZero"/>
        <c:crossBetween val="between"/>
      </c:valAx>
      <c:valAx>
        <c:axId val="-15998384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156556432"/>
        <c:crosses val="max"/>
        <c:crossBetween val="between"/>
      </c:valAx>
      <c:catAx>
        <c:axId val="-1565564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59983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不良生成率!$A$64</c:f>
              <c:strCache>
                <c:ptCount val="1"/>
                <c:pt idx="0">
                  <c:v>工商银行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不良生成率!$C$65:$M$65</c:f>
              <c:numCache>
                <c:formatCode>0.00%</c:formatCode>
                <c:ptCount val="11"/>
                <c:pt idx="0">
                  <c:v>-3.5343970305997717E-3</c:v>
                </c:pt>
                <c:pt idx="1">
                  <c:v>1.8695241539329096E-3</c:v>
                </c:pt>
                <c:pt idx="2">
                  <c:v>-8.545505527785027E-4</c:v>
                </c:pt>
                <c:pt idx="3">
                  <c:v>-1.4527043657589095E-3</c:v>
                </c:pt>
                <c:pt idx="4">
                  <c:v>6.3559328273916622E-4</c:v>
                </c:pt>
                <c:pt idx="5">
                  <c:v>1.1673026360471833E-3</c:v>
                </c:pt>
                <c:pt idx="6">
                  <c:v>4.0453482470763401E-3</c:v>
                </c:pt>
                <c:pt idx="7">
                  <c:v>6.9713155339639482E-3</c:v>
                </c:pt>
                <c:pt idx="8">
                  <c:v>1.0458329248414546E-2</c:v>
                </c:pt>
                <c:pt idx="9">
                  <c:v>8.9183645388523341E-3</c:v>
                </c:pt>
                <c:pt idx="10">
                  <c:v>5.9145983647199271E-3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FE-405A-ABB6-413B19480472}"/>
            </c:ext>
          </c:extLst>
        </c:ser>
        <c:ser>
          <c:idx val="1"/>
          <c:order val="1"/>
          <c:tx>
            <c:strRef>
              <c:f>不良生成率!$A$66</c:f>
              <c:strCache>
                <c:ptCount val="1"/>
                <c:pt idx="0">
                  <c:v>建设银行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不良生成率!$C$67:$M$67</c:f>
              <c:numCache>
                <c:formatCode>0.00%</c:formatCode>
                <c:ptCount val="11"/>
                <c:pt idx="0">
                  <c:v>-7.8753694080701024E-4</c:v>
                </c:pt>
                <c:pt idx="1">
                  <c:v>3.7088684925570508E-3</c:v>
                </c:pt>
                <c:pt idx="2">
                  <c:v>-1.1713407397000981E-3</c:v>
                </c:pt>
                <c:pt idx="3">
                  <c:v>4.6350730625695566E-4</c:v>
                </c:pt>
                <c:pt idx="4">
                  <c:v>1.8214441444962958E-3</c:v>
                </c:pt>
                <c:pt idx="5">
                  <c:v>1.6305926456931369E-3</c:v>
                </c:pt>
                <c:pt idx="6">
                  <c:v>3.6440179800838954E-3</c:v>
                </c:pt>
                <c:pt idx="7">
                  <c:v>7.4001837240428095E-3</c:v>
                </c:pt>
                <c:pt idx="8">
                  <c:v>1.5330059360244308E-2</c:v>
                </c:pt>
                <c:pt idx="9">
                  <c:v>8.0593106052947346E-3</c:v>
                </c:pt>
                <c:pt idx="10">
                  <c:v>6.3274472673035143E-3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FE-405A-ABB6-413B19480472}"/>
            </c:ext>
          </c:extLst>
        </c:ser>
        <c:ser>
          <c:idx val="2"/>
          <c:order val="2"/>
          <c:tx>
            <c:strRef>
              <c:f>不良生成率!$A$68</c:f>
              <c:strCache>
                <c:ptCount val="1"/>
                <c:pt idx="0">
                  <c:v>农业银行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不良生成率!$C$69:$M$69</c:f>
              <c:numCache>
                <c:formatCode>0.00%</c:formatCode>
                <c:ptCount val="11"/>
                <c:pt idx="3">
                  <c:v>-4.7076171279838274E-3</c:v>
                </c:pt>
                <c:pt idx="4">
                  <c:v>-2.5750790690899504E-3</c:v>
                </c:pt>
                <c:pt idx="5">
                  <c:v>4.4397423563679353E-4</c:v>
                </c:pt>
                <c:pt idx="6">
                  <c:v>1.8212767465534149E-3</c:v>
                </c:pt>
                <c:pt idx="7">
                  <c:v>9.1921990534433694E-3</c:v>
                </c:pt>
                <c:pt idx="8">
                  <c:v>1.5957635322108352E-2</c:v>
                </c:pt>
                <c:pt idx="9">
                  <c:v>1.1303471030822059E-2</c:v>
                </c:pt>
                <c:pt idx="10">
                  <c:v>5.3329141133739598E-3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9FE-405A-ABB6-413B19480472}"/>
            </c:ext>
          </c:extLst>
        </c:ser>
        <c:ser>
          <c:idx val="3"/>
          <c:order val="3"/>
          <c:tx>
            <c:strRef>
              <c:f>不良生成率!$A$70</c:f>
              <c:strCache>
                <c:ptCount val="1"/>
                <c:pt idx="0">
                  <c:v>中国银行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不良生成率!$C$71:$M$71</c:f>
              <c:numCache>
                <c:formatCode>0.00%</c:formatCode>
                <c:ptCount val="11"/>
                <c:pt idx="0">
                  <c:v>-1.0773885745820209E-3</c:v>
                </c:pt>
                <c:pt idx="1">
                  <c:v>1.4954950972808508E-3</c:v>
                </c:pt>
                <c:pt idx="2">
                  <c:v>-1.1328381691830408E-3</c:v>
                </c:pt>
                <c:pt idx="3">
                  <c:v>-1.3707758171603761E-3</c:v>
                </c:pt>
                <c:pt idx="4">
                  <c:v>4.6161013076127095E-4</c:v>
                </c:pt>
                <c:pt idx="5">
                  <c:v>1.0063356737246279E-3</c:v>
                </c:pt>
                <c:pt idx="6">
                  <c:v>2.4646393664045719E-3</c:v>
                </c:pt>
                <c:pt idx="7">
                  <c:v>6.9604961545342127E-3</c:v>
                </c:pt>
                <c:pt idx="8">
                  <c:v>8.9116526341536731E-3</c:v>
                </c:pt>
                <c:pt idx="9">
                  <c:v>7.3974426052938625E-3</c:v>
                </c:pt>
                <c:pt idx="10">
                  <c:v>8.3049226529629643E-3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9FE-405A-ABB6-413B19480472}"/>
            </c:ext>
          </c:extLst>
        </c:ser>
        <c:ser>
          <c:idx val="4"/>
          <c:order val="4"/>
          <c:tx>
            <c:strRef>
              <c:f>不良生成率!$A$72</c:f>
              <c:strCache>
                <c:ptCount val="1"/>
                <c:pt idx="0">
                  <c:v>交通银行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不良生成率!$C$73:$M$73</c:f>
              <c:numCache>
                <c:formatCode>0.00%</c:formatCode>
                <c:ptCount val="11"/>
                <c:pt idx="0">
                  <c:v>6.9764977266648827E-3</c:v>
                </c:pt>
                <c:pt idx="1">
                  <c:v>4.8163790449631495E-3</c:v>
                </c:pt>
                <c:pt idx="2">
                  <c:v>2.1278739114399476E-3</c:v>
                </c:pt>
                <c:pt idx="3">
                  <c:v>1.9077764862334542E-3</c:v>
                </c:pt>
                <c:pt idx="4">
                  <c:v>-2.5704906776126277E-4</c:v>
                </c:pt>
                <c:pt idx="5">
                  <c:v>3.2149897530984665E-3</c:v>
                </c:pt>
                <c:pt idx="6">
                  <c:v>6.7529626278161805E-3</c:v>
                </c:pt>
                <c:pt idx="7">
                  <c:v>7.8310221016125569E-3</c:v>
                </c:pt>
                <c:pt idx="8">
                  <c:v>8.7209531038964245E-3</c:v>
                </c:pt>
                <c:pt idx="9">
                  <c:v>7.6437276028034368E-3</c:v>
                </c:pt>
                <c:pt idx="10">
                  <c:v>6.0297945945840545E-3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9FE-405A-ABB6-413B19480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4011440"/>
        <c:axId val="-44015792"/>
      </c:lineChart>
      <c:catAx>
        <c:axId val="-4401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44015792"/>
        <c:crosses val="autoZero"/>
        <c:auto val="1"/>
        <c:lblAlgn val="ctr"/>
        <c:lblOffset val="100"/>
        <c:noMultiLvlLbl val="0"/>
      </c:catAx>
      <c:valAx>
        <c:axId val="-4401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4401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不良生成率!$A$74</c:f>
              <c:strCache>
                <c:ptCount val="1"/>
                <c:pt idx="0">
                  <c:v>招商银行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不良生成率!$C$75:$M$75</c:f>
              <c:numCache>
                <c:formatCode>0.00%</c:formatCode>
                <c:ptCount val="11"/>
                <c:pt idx="0">
                  <c:v>-2.3369182649437569E-3</c:v>
                </c:pt>
                <c:pt idx="1">
                  <c:v>5.644958828938408E-5</c:v>
                </c:pt>
                <c:pt idx="2">
                  <c:v>8.9322271553429777E-4</c:v>
                </c:pt>
                <c:pt idx="3">
                  <c:v>6.0717375795018667E-5</c:v>
                </c:pt>
                <c:pt idx="4">
                  <c:v>4.8901429388781358E-5</c:v>
                </c:pt>
                <c:pt idx="5">
                  <c:v>2.0712033270874272E-3</c:v>
                </c:pt>
                <c:pt idx="6">
                  <c:v>4.6102234593163524E-3</c:v>
                </c:pt>
                <c:pt idx="7">
                  <c:v>1.1152003510091059E-2</c:v>
                </c:pt>
                <c:pt idx="8">
                  <c:v>2.3022221479689679E-2</c:v>
                </c:pt>
                <c:pt idx="9">
                  <c:v>1.9598935801827436E-2</c:v>
                </c:pt>
                <c:pt idx="10">
                  <c:v>5.6112170380855754E-3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F3-44F2-BF95-3C9EE28200BF}"/>
            </c:ext>
          </c:extLst>
        </c:ser>
        <c:ser>
          <c:idx val="1"/>
          <c:order val="1"/>
          <c:tx>
            <c:strRef>
              <c:f>不良生成率!$A$76</c:f>
              <c:strCache>
                <c:ptCount val="1"/>
                <c:pt idx="0">
                  <c:v>中信银行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不良生成率!$C$77:$M$77</c:f>
              <c:numCache>
                <c:formatCode>0.00%</c:formatCode>
                <c:ptCount val="11"/>
                <c:pt idx="0">
                  <c:v>9.4998132423077238E-5</c:v>
                </c:pt>
                <c:pt idx="1">
                  <c:v>2.7068469145074465E-3</c:v>
                </c:pt>
                <c:pt idx="2">
                  <c:v>3.6680883830332491E-3</c:v>
                </c:pt>
                <c:pt idx="3">
                  <c:v>-3.9975639258329847E-4</c:v>
                </c:pt>
                <c:pt idx="4">
                  <c:v>5.7583775296718583E-4</c:v>
                </c:pt>
                <c:pt idx="5">
                  <c:v>3.1449676681982405E-3</c:v>
                </c:pt>
                <c:pt idx="6">
                  <c:v>7.8525420334704232E-3</c:v>
                </c:pt>
                <c:pt idx="7">
                  <c:v>1.0352492691282343E-2</c:v>
                </c:pt>
                <c:pt idx="8">
                  <c:v>1.5449918369510963E-2</c:v>
                </c:pt>
                <c:pt idx="9">
                  <c:v>1.7086104761980084E-2</c:v>
                </c:pt>
                <c:pt idx="10">
                  <c:v>1.5047636719068969E-2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F3-44F2-BF95-3C9EE28200BF}"/>
            </c:ext>
          </c:extLst>
        </c:ser>
        <c:ser>
          <c:idx val="2"/>
          <c:order val="2"/>
          <c:tx>
            <c:strRef>
              <c:f>不良生成率!$A$78</c:f>
              <c:strCache>
                <c:ptCount val="1"/>
                <c:pt idx="0">
                  <c:v>浦发银行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不良生成率!$C$79:$M$79</c:f>
              <c:numCache>
                <c:formatCode>0.00%</c:formatCode>
                <c:ptCount val="11"/>
                <c:pt idx="0">
                  <c:v>8.4242698048168734E-4</c:v>
                </c:pt>
                <c:pt idx="1">
                  <c:v>5.0436617376346908E-3</c:v>
                </c:pt>
                <c:pt idx="2">
                  <c:v>-2.6967965565113792E-4</c:v>
                </c:pt>
                <c:pt idx="3">
                  <c:v>-1.2493234275864993E-3</c:v>
                </c:pt>
                <c:pt idx="4">
                  <c:v>3.9768447869711112E-4</c:v>
                </c:pt>
                <c:pt idx="5">
                  <c:v>3.0943146075741962E-3</c:v>
                </c:pt>
                <c:pt idx="6">
                  <c:v>5.540761631358717E-3</c:v>
                </c:pt>
                <c:pt idx="7">
                  <c:v>1.0268776018475877E-2</c:v>
                </c:pt>
                <c:pt idx="8">
                  <c:v>1.4763012847691263E-2</c:v>
                </c:pt>
                <c:pt idx="9">
                  <c:v>2.2428232594884561E-2</c:v>
                </c:pt>
                <c:pt idx="10">
                  <c:v>2.0935237580923166E-2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F3-44F2-BF95-3C9EE28200BF}"/>
            </c:ext>
          </c:extLst>
        </c:ser>
        <c:ser>
          <c:idx val="3"/>
          <c:order val="3"/>
          <c:tx>
            <c:strRef>
              <c:f>不良生成率!$A$80</c:f>
              <c:strCache>
                <c:ptCount val="1"/>
                <c:pt idx="0">
                  <c:v>民生银行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不良生成率!$C$81:$M$81</c:f>
              <c:numCache>
                <c:formatCode>0.00%</c:formatCode>
                <c:ptCount val="11"/>
                <c:pt idx="0">
                  <c:v>4.6905663391184835E-3</c:v>
                </c:pt>
                <c:pt idx="1">
                  <c:v>4.4831458108523722E-3</c:v>
                </c:pt>
                <c:pt idx="2">
                  <c:v>1.2470380946594578E-3</c:v>
                </c:pt>
                <c:pt idx="3">
                  <c:v>8.0975878248520082E-4</c:v>
                </c:pt>
                <c:pt idx="4">
                  <c:v>1.0051334614886377E-3</c:v>
                </c:pt>
                <c:pt idx="5">
                  <c:v>4.3701528599319134E-3</c:v>
                </c:pt>
                <c:pt idx="6">
                  <c:v>1.0279428864445583E-2</c:v>
                </c:pt>
                <c:pt idx="7">
                  <c:v>1.5820101215616451E-2</c:v>
                </c:pt>
                <c:pt idx="8">
                  <c:v>1.8209090919121335E-2</c:v>
                </c:pt>
                <c:pt idx="9">
                  <c:v>1.7980047342640412E-2</c:v>
                </c:pt>
                <c:pt idx="10">
                  <c:v>1.2460259361241087E-2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F3-44F2-BF95-3C9EE28200BF}"/>
            </c:ext>
          </c:extLst>
        </c:ser>
        <c:ser>
          <c:idx val="4"/>
          <c:order val="4"/>
          <c:tx>
            <c:strRef>
              <c:f>不良生成率!$A$82</c:f>
              <c:strCache>
                <c:ptCount val="1"/>
                <c:pt idx="0">
                  <c:v>兴业银行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不良生成率!$C$83:$M$83</c:f>
              <c:numCache>
                <c:formatCode>0.00%</c:formatCode>
                <c:ptCount val="11"/>
                <c:pt idx="0">
                  <c:v>6.8236014468239076E-4</c:v>
                </c:pt>
                <c:pt idx="1">
                  <c:v>1.063697821040514E-3</c:v>
                </c:pt>
                <c:pt idx="2">
                  <c:v>-1.444572695827108E-4</c:v>
                </c:pt>
                <c:pt idx="3">
                  <c:v>-1.3112932288676036E-4</c:v>
                </c:pt>
                <c:pt idx="4">
                  <c:v>2.223941550134083E-4</c:v>
                </c:pt>
                <c:pt idx="5">
                  <c:v>2.934135025130841E-3</c:v>
                </c:pt>
                <c:pt idx="6">
                  <c:v>7.6767561718727754E-3</c:v>
                </c:pt>
                <c:pt idx="7">
                  <c:v>1.3948566640900124E-2</c:v>
                </c:pt>
                <c:pt idx="8">
                  <c:v>2.1634524852681608E-2</c:v>
                </c:pt>
                <c:pt idx="9">
                  <c:v>2.0950788127287279E-2</c:v>
                </c:pt>
                <c:pt idx="10">
                  <c:v>4.2734590689359718E-3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6F3-44F2-BF95-3C9EE28200BF}"/>
            </c:ext>
          </c:extLst>
        </c:ser>
        <c:ser>
          <c:idx val="5"/>
          <c:order val="5"/>
          <c:tx>
            <c:strRef>
              <c:f>不良生成率!$A$84</c:f>
              <c:strCache>
                <c:ptCount val="1"/>
                <c:pt idx="0">
                  <c:v>光大银行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不良生成率!$C$85:$M$85</c:f>
              <c:numCache>
                <c:formatCode>0.00%</c:formatCode>
                <c:ptCount val="11"/>
                <c:pt idx="2">
                  <c:v>-2.480268753455272E-3</c:v>
                </c:pt>
                <c:pt idx="3">
                  <c:v>-2.2289211233510373E-3</c:v>
                </c:pt>
                <c:pt idx="4">
                  <c:v>8.3715486396862624E-4</c:v>
                </c:pt>
                <c:pt idx="5">
                  <c:v>3.1313000847966836E-3</c:v>
                </c:pt>
                <c:pt idx="6">
                  <c:v>8.088453039375991E-3</c:v>
                </c:pt>
                <c:pt idx="7">
                  <c:v>9.7709871303512785E-3</c:v>
                </c:pt>
                <c:pt idx="8">
                  <c:v>1.3861195655101563E-2</c:v>
                </c:pt>
                <c:pt idx="9">
                  <c:v>1.3738625199284062E-2</c:v>
                </c:pt>
                <c:pt idx="10">
                  <c:v>8.9300932780327098E-3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86F3-44F2-BF95-3C9EE28200BF}"/>
            </c:ext>
          </c:extLst>
        </c:ser>
        <c:ser>
          <c:idx val="6"/>
          <c:order val="6"/>
          <c:tx>
            <c:strRef>
              <c:f>不良生成率!$A$86</c:f>
              <c:strCache>
                <c:ptCount val="1"/>
                <c:pt idx="0">
                  <c:v>华夏银行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不良生成率!$C$87:$M$87</c:f>
              <c:numCache>
                <c:formatCode>0.00%</c:formatCode>
                <c:ptCount val="11"/>
                <c:pt idx="0">
                  <c:v>5.1384584763057677E-3</c:v>
                </c:pt>
                <c:pt idx="1">
                  <c:v>5.4071218374375377E-3</c:v>
                </c:pt>
                <c:pt idx="2">
                  <c:v>6.061351143921383E-3</c:v>
                </c:pt>
                <c:pt idx="3">
                  <c:v>3.6414919480939108E-3</c:v>
                </c:pt>
                <c:pt idx="4">
                  <c:v>7.0595587176095776E-6</c:v>
                </c:pt>
                <c:pt idx="5">
                  <c:v>2.3556097345444685E-3</c:v>
                </c:pt>
                <c:pt idx="6">
                  <c:v>3.8101455610807101E-3</c:v>
                </c:pt>
                <c:pt idx="7">
                  <c:v>8.2194543283335489E-3</c:v>
                </c:pt>
                <c:pt idx="8">
                  <c:v>1.2337378416130402E-2</c:v>
                </c:pt>
                <c:pt idx="9">
                  <c:v>1.1728702210682659E-2</c:v>
                </c:pt>
                <c:pt idx="10">
                  <c:v>1.088768457634017E-2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86F3-44F2-BF95-3C9EE2820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3996208"/>
        <c:axId val="-44010896"/>
      </c:lineChart>
      <c:lineChart>
        <c:grouping val="standard"/>
        <c:varyColors val="0"/>
        <c:ser>
          <c:idx val="7"/>
          <c:order val="7"/>
          <c:tx>
            <c:strRef>
              <c:f>不良生成率!$A$88</c:f>
              <c:strCache>
                <c:ptCount val="1"/>
                <c:pt idx="0">
                  <c:v>平安银行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不良生成率!$C$89:$M$89</c:f>
              <c:numCache>
                <c:formatCode>0.00%</c:formatCode>
                <c:ptCount val="11"/>
                <c:pt idx="0">
                  <c:v>1.1690565588564773E-3</c:v>
                </c:pt>
                <c:pt idx="1">
                  <c:v>1.384585989178164E-4</c:v>
                </c:pt>
                <c:pt idx="2">
                  <c:v>3.5997782572175251E-3</c:v>
                </c:pt>
                <c:pt idx="3">
                  <c:v>7.1780467556935845E-2</c:v>
                </c:pt>
                <c:pt idx="4">
                  <c:v>-1.581999829573184E-2</c:v>
                </c:pt>
                <c:pt idx="5">
                  <c:v>7.7580979368652488E-3</c:v>
                </c:pt>
                <c:pt idx="6">
                  <c:v>6.4888033637690266E-3</c:v>
                </c:pt>
                <c:pt idx="7">
                  <c:v>1.4226550799078003E-2</c:v>
                </c:pt>
                <c:pt idx="8">
                  <c:v>2.9985342537673189E-2</c:v>
                </c:pt>
                <c:pt idx="9">
                  <c:v>3.6060052395369607E-2</c:v>
                </c:pt>
                <c:pt idx="10">
                  <c:v>2.8800630979380015E-2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86F3-44F2-BF95-3C9EE2820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4006544"/>
        <c:axId val="-44004368"/>
      </c:lineChart>
      <c:catAx>
        <c:axId val="-4399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44010896"/>
        <c:crosses val="autoZero"/>
        <c:auto val="1"/>
        <c:lblAlgn val="ctr"/>
        <c:lblOffset val="100"/>
        <c:noMultiLvlLbl val="0"/>
      </c:catAx>
      <c:valAx>
        <c:axId val="-4401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43996208"/>
        <c:crosses val="autoZero"/>
        <c:crossBetween val="between"/>
      </c:valAx>
      <c:valAx>
        <c:axId val="-440043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44006544"/>
        <c:crosses val="max"/>
        <c:crossBetween val="between"/>
      </c:valAx>
      <c:catAx>
        <c:axId val="-44006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44004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524771537381877"/>
          <c:y val="2.8318589332885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0552559055118112"/>
          <c:y val="0.18039370078740158"/>
          <c:w val="0.85836329833770775"/>
          <c:h val="0.66277704870224552"/>
        </c:manualLayout>
      </c:layout>
      <c:lineChart>
        <c:grouping val="standard"/>
        <c:varyColors val="0"/>
        <c:ser>
          <c:idx val="0"/>
          <c:order val="0"/>
          <c:tx>
            <c:strRef>
              <c:f>不良生成率!$A$90</c:f>
              <c:strCache>
                <c:ptCount val="1"/>
                <c:pt idx="0">
                  <c:v>北京银行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不良生成率!$C$91:$M$91</c:f>
              <c:numCache>
                <c:formatCode>0.00%</c:formatCode>
                <c:ptCount val="11"/>
                <c:pt idx="0">
                  <c:v>1.4925451805735413E-2</c:v>
                </c:pt>
                <c:pt idx="1">
                  <c:v>4.1340108802662777E-2</c:v>
                </c:pt>
                <c:pt idx="2">
                  <c:v>-3.412168513888738E-2</c:v>
                </c:pt>
                <c:pt idx="3">
                  <c:v>3.3168673230619485E-2</c:v>
                </c:pt>
                <c:pt idx="4">
                  <c:v>-2.8734259413235506E-2</c:v>
                </c:pt>
                <c:pt idx="5">
                  <c:v>2.3961936669557662E-3</c:v>
                </c:pt>
                <c:pt idx="6">
                  <c:v>2.5212393892534691E-3</c:v>
                </c:pt>
                <c:pt idx="7">
                  <c:v>3.5786229873543476E-3</c:v>
                </c:pt>
                <c:pt idx="8">
                  <c:v>5.1652035872101973E-3</c:v>
                </c:pt>
                <c:pt idx="9">
                  <c:v>7.6297089206721798E-3</c:v>
                </c:pt>
                <c:pt idx="10">
                  <c:v>9.78990051194179E-3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47C-4E94-A37D-9DA9A5D064E2}"/>
            </c:ext>
          </c:extLst>
        </c:ser>
        <c:ser>
          <c:idx val="1"/>
          <c:order val="1"/>
          <c:tx>
            <c:strRef>
              <c:f>不良生成率!$A$92</c:f>
              <c:strCache>
                <c:ptCount val="1"/>
                <c:pt idx="0">
                  <c:v>南京银行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不良生成率!$C$93:$M$93</c:f>
              <c:numCache>
                <c:formatCode>0.00%</c:formatCode>
                <c:ptCount val="11"/>
                <c:pt idx="0">
                  <c:v>-6.2940607285701458E-4</c:v>
                </c:pt>
                <c:pt idx="1">
                  <c:v>6.8975273527055181E-3</c:v>
                </c:pt>
                <c:pt idx="2">
                  <c:v>5.2561345483235775E-3</c:v>
                </c:pt>
                <c:pt idx="3">
                  <c:v>3.5494677757963687E-2</c:v>
                </c:pt>
                <c:pt idx="4">
                  <c:v>-6.4690893708468419E-3</c:v>
                </c:pt>
                <c:pt idx="5">
                  <c:v>3.3169602920652599E-3</c:v>
                </c:pt>
                <c:pt idx="6">
                  <c:v>4.2044276758619308E-3</c:v>
                </c:pt>
                <c:pt idx="7">
                  <c:v>9.6041409512974164E-3</c:v>
                </c:pt>
                <c:pt idx="8">
                  <c:v>1.8035642926739887E-2</c:v>
                </c:pt>
                <c:pt idx="9">
                  <c:v>1.621379673573169E-2</c:v>
                </c:pt>
                <c:pt idx="10">
                  <c:v>8.0932395896418617E-3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47C-4E94-A37D-9DA9A5D064E2}"/>
            </c:ext>
          </c:extLst>
        </c:ser>
        <c:ser>
          <c:idx val="2"/>
          <c:order val="2"/>
          <c:tx>
            <c:strRef>
              <c:f>不良生成率!$A$94</c:f>
              <c:strCache>
                <c:ptCount val="1"/>
                <c:pt idx="0">
                  <c:v>宁波银行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不良生成率!$C$95:$M$95</c:f>
              <c:numCache>
                <c:formatCode>0.00%</c:formatCode>
                <c:ptCount val="11"/>
                <c:pt idx="0">
                  <c:v>1.4460332699257246E-3</c:v>
                </c:pt>
                <c:pt idx="1">
                  <c:v>9.7971775118365391E-3</c:v>
                </c:pt>
                <c:pt idx="2">
                  <c:v>3.8227904329831142E-3</c:v>
                </c:pt>
                <c:pt idx="3">
                  <c:v>2.7860967055189402E-2</c:v>
                </c:pt>
                <c:pt idx="4">
                  <c:v>-6.2128698579229603E-3</c:v>
                </c:pt>
                <c:pt idx="5">
                  <c:v>2.3746933788238067E-3</c:v>
                </c:pt>
                <c:pt idx="6">
                  <c:v>5.9995312515333408E-3</c:v>
                </c:pt>
                <c:pt idx="7">
                  <c:v>7.7143032687498779E-3</c:v>
                </c:pt>
                <c:pt idx="8">
                  <c:v>1.1552679196677107E-2</c:v>
                </c:pt>
                <c:pt idx="9">
                  <c:v>1.2721952619080601E-2</c:v>
                </c:pt>
                <c:pt idx="10">
                  <c:v>8.8975490319588933E-3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47C-4E94-A37D-9DA9A5D06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4014160"/>
        <c:axId val="-44003280"/>
      </c:lineChart>
      <c:catAx>
        <c:axId val="-4401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44003280"/>
        <c:crosses val="autoZero"/>
        <c:auto val="1"/>
        <c:lblAlgn val="ctr"/>
        <c:lblOffset val="100"/>
        <c:noMultiLvlLbl val="0"/>
      </c:catAx>
      <c:valAx>
        <c:axId val="-4400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4401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不良生成率</a:t>
            </a:r>
            <a:endParaRPr lang="en-US" alt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不良生成率!$A$133</c:f>
              <c:strCache>
                <c:ptCount val="1"/>
                <c:pt idx="0">
                  <c:v>国有行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不良生成率!$B$133:$L$133</c:f>
              <c:numCache>
                <c:formatCode>0.00%</c:formatCode>
                <c:ptCount val="11"/>
                <c:pt idx="0">
                  <c:v>-1.1650133472607337E-3</c:v>
                </c:pt>
                <c:pt idx="1">
                  <c:v>2.5957912843316165E-3</c:v>
                </c:pt>
                <c:pt idx="2">
                  <c:v>-7.1265961355504925E-4</c:v>
                </c:pt>
                <c:pt idx="3">
                  <c:v>-1.3430982217138827E-3</c:v>
                </c:pt>
                <c:pt idx="4">
                  <c:v>1.5469747616756236E-4</c:v>
                </c:pt>
                <c:pt idx="5">
                  <c:v>1.2770581975647163E-3</c:v>
                </c:pt>
                <c:pt idx="6">
                  <c:v>3.425160062230744E-3</c:v>
                </c:pt>
                <c:pt idx="7">
                  <c:v>7.5846522042659894E-3</c:v>
                </c:pt>
                <c:pt idx="8">
                  <c:v>1.2225819311386991E-2</c:v>
                </c:pt>
                <c:pt idx="9">
                  <c:v>8.7736291649985459E-3</c:v>
                </c:pt>
                <c:pt idx="10">
                  <c:v>3.1991466418793647E-3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05A-4857-96D3-7110145563B4}"/>
            </c:ext>
          </c:extLst>
        </c:ser>
        <c:ser>
          <c:idx val="1"/>
          <c:order val="1"/>
          <c:tx>
            <c:strRef>
              <c:f>不良生成率!$A$134</c:f>
              <c:strCache>
                <c:ptCount val="1"/>
                <c:pt idx="0">
                  <c:v>股份行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不良生成率!$B$134:$L$134</c:f>
              <c:numCache>
                <c:formatCode>0.00%</c:formatCode>
                <c:ptCount val="11"/>
                <c:pt idx="0">
                  <c:v>1.1015644615582998E-3</c:v>
                </c:pt>
                <c:pt idx="1">
                  <c:v>2.7337989503165251E-3</c:v>
                </c:pt>
                <c:pt idx="2">
                  <c:v>1.2870855076864201E-3</c:v>
                </c:pt>
                <c:pt idx="3">
                  <c:v>4.0355588610290326E-3</c:v>
                </c:pt>
                <c:pt idx="4">
                  <c:v>-2.8578753532513151E-3</c:v>
                </c:pt>
                <c:pt idx="5">
                  <c:v>3.3523687077986722E-3</c:v>
                </c:pt>
                <c:pt idx="6">
                  <c:v>6.8462344362517696E-3</c:v>
                </c:pt>
                <c:pt idx="7">
                  <c:v>1.1718326711553879E-2</c:v>
                </c:pt>
                <c:pt idx="8">
                  <c:v>1.8614201177161619E-2</c:v>
                </c:pt>
                <c:pt idx="9">
                  <c:v>1.9718693589505031E-2</c:v>
                </c:pt>
                <c:pt idx="10">
                  <c:v>6.4635248704420197E-3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05A-4857-96D3-7110145563B4}"/>
            </c:ext>
          </c:extLst>
        </c:ser>
        <c:ser>
          <c:idx val="2"/>
          <c:order val="2"/>
          <c:tx>
            <c:strRef>
              <c:f>不良生成率!$A$135</c:f>
              <c:strCache>
                <c:ptCount val="1"/>
                <c:pt idx="0">
                  <c:v>城商行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不良生成率!$B$135:$L$135</c:f>
              <c:numCache>
                <c:formatCode>0.00%</c:formatCode>
                <c:ptCount val="11"/>
                <c:pt idx="0">
                  <c:v>1.0690212824053819E-2</c:v>
                </c:pt>
                <c:pt idx="1">
                  <c:v>3.150527558675268E-2</c:v>
                </c:pt>
                <c:pt idx="2">
                  <c:v>-2.191464796094823E-2</c:v>
                </c:pt>
                <c:pt idx="3">
                  <c:v>3.2509062372476409E-2</c:v>
                </c:pt>
                <c:pt idx="4">
                  <c:v>-2.6961218442316529E-2</c:v>
                </c:pt>
                <c:pt idx="5">
                  <c:v>2.5419893262368753E-3</c:v>
                </c:pt>
                <c:pt idx="6">
                  <c:v>3.4557691400376386E-3</c:v>
                </c:pt>
                <c:pt idx="7">
                  <c:v>5.3432758328737879E-3</c:v>
                </c:pt>
                <c:pt idx="8">
                  <c:v>8.5519229854239542E-3</c:v>
                </c:pt>
                <c:pt idx="9">
                  <c:v>1.032673361105672E-2</c:v>
                </c:pt>
                <c:pt idx="10">
                  <c:v>4.6235158177801716E-3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05A-4857-96D3-7110145563B4}"/>
            </c:ext>
          </c:extLst>
        </c:ser>
        <c:ser>
          <c:idx val="3"/>
          <c:order val="3"/>
          <c:tx>
            <c:strRef>
              <c:f>不良生成率!$A$136</c:f>
              <c:strCache>
                <c:ptCount val="1"/>
                <c:pt idx="0">
                  <c:v>银行总计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不良生成率!$B$136:$L$136</c:f>
              <c:numCache>
                <c:formatCode>0.00%</c:formatCode>
                <c:ptCount val="11"/>
                <c:pt idx="0">
                  <c:v>-5.1252295255123533E-4</c:v>
                </c:pt>
                <c:pt idx="1">
                  <c:v>3.0643865364980518E-3</c:v>
                </c:pt>
                <c:pt idx="2">
                  <c:v>-5.4299675883124265E-4</c:v>
                </c:pt>
                <c:pt idx="3">
                  <c:v>3.5545963163096701E-4</c:v>
                </c:pt>
                <c:pt idx="4">
                  <c:v>-9.4445222145773814E-4</c:v>
                </c:pt>
                <c:pt idx="5">
                  <c:v>1.7719821968637103E-3</c:v>
                </c:pt>
                <c:pt idx="6">
                  <c:v>4.2267360878555614E-3</c:v>
                </c:pt>
                <c:pt idx="7">
                  <c:v>8.5245511966522275E-3</c:v>
                </c:pt>
                <c:pt idx="8">
                  <c:v>1.3712174358258587E-2</c:v>
                </c:pt>
                <c:pt idx="9">
                  <c:v>1.1551995533987265E-2</c:v>
                </c:pt>
                <c:pt idx="10">
                  <c:v>4.0911054552861485E-3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05A-4857-96D3-711014556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4003824"/>
        <c:axId val="-44017968"/>
      </c:lineChart>
      <c:catAx>
        <c:axId val="-4400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44017968"/>
        <c:crosses val="autoZero"/>
        <c:auto val="1"/>
        <c:lblAlgn val="ctr"/>
        <c:lblOffset val="100"/>
        <c:noMultiLvlLbl val="0"/>
      </c:catAx>
      <c:valAx>
        <c:axId val="-4401796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4400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不良生成率!$A$177</c:f>
              <c:strCache>
                <c:ptCount val="1"/>
                <c:pt idx="0">
                  <c:v>国有大行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不良生成率!$B$177:$L$177</c:f>
              <c:numCache>
                <c:formatCode>0.00%</c:formatCode>
                <c:ptCount val="11"/>
                <c:pt idx="0">
                  <c:v>8.1957990573998676E-2</c:v>
                </c:pt>
                <c:pt idx="1">
                  <c:v>0.1178971529416747</c:v>
                </c:pt>
                <c:pt idx="2">
                  <c:v>0.1053712884021355</c:v>
                </c:pt>
                <c:pt idx="3">
                  <c:v>6.8272765251937123E-2</c:v>
                </c:pt>
                <c:pt idx="4">
                  <c:v>4.0476833550224668E-2</c:v>
                </c:pt>
                <c:pt idx="5">
                  <c:v>8.1704281237363521E-2</c:v>
                </c:pt>
                <c:pt idx="6">
                  <c:v>0.19755774327906098</c:v>
                </c:pt>
                <c:pt idx="7">
                  <c:v>0.38964508502197348</c:v>
                </c:pt>
                <c:pt idx="8">
                  <c:v>0.50577399145310964</c:v>
                </c:pt>
                <c:pt idx="9">
                  <c:v>0.40701277586697215</c:v>
                </c:pt>
                <c:pt idx="10">
                  <c:v>0.33265118207412558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不良生成率!$A$178</c:f>
              <c:strCache>
                <c:ptCount val="1"/>
                <c:pt idx="0">
                  <c:v>股份行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不良生成率!$B$178:$L$178</c:f>
              <c:numCache>
                <c:formatCode>0.00%</c:formatCode>
                <c:ptCount val="11"/>
                <c:pt idx="0">
                  <c:v>0.12930956081927908</c:v>
                </c:pt>
                <c:pt idx="1">
                  <c:v>0.28840940295360623</c:v>
                </c:pt>
                <c:pt idx="2">
                  <c:v>0.1348054259802432</c:v>
                </c:pt>
                <c:pt idx="3">
                  <c:v>0.10127202807976451</c:v>
                </c:pt>
                <c:pt idx="4">
                  <c:v>5.7288241973168695E-2</c:v>
                </c:pt>
                <c:pt idx="5">
                  <c:v>0.16999633554767277</c:v>
                </c:pt>
                <c:pt idx="6">
                  <c:v>0.50590189822022524</c:v>
                </c:pt>
                <c:pt idx="7">
                  <c:v>0.73392571623286407</c:v>
                </c:pt>
                <c:pt idx="8">
                  <c:v>1.0234334231706641</c:v>
                </c:pt>
                <c:pt idx="9">
                  <c:v>0.93084738416916046</c:v>
                </c:pt>
                <c:pt idx="10">
                  <c:v>0.63447741207978015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不良生成率!$A$179</c:f>
              <c:strCache>
                <c:ptCount val="1"/>
                <c:pt idx="0">
                  <c:v>城商行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不良生成率!$B$179:$L$179</c:f>
              <c:numCache>
                <c:formatCode>0.00%</c:formatCode>
                <c:ptCount val="11"/>
                <c:pt idx="0">
                  <c:v>0.22072187441090588</c:v>
                </c:pt>
                <c:pt idx="1">
                  <c:v>0.1132937221962742</c:v>
                </c:pt>
                <c:pt idx="2">
                  <c:v>9.2333753044178072E-3</c:v>
                </c:pt>
                <c:pt idx="3">
                  <c:v>4.1540516630657366E-2</c:v>
                </c:pt>
                <c:pt idx="4">
                  <c:v>0</c:v>
                </c:pt>
                <c:pt idx="5">
                  <c:v>8.0849021905158566E-2</c:v>
                </c:pt>
                <c:pt idx="6">
                  <c:v>0.21934857530944035</c:v>
                </c:pt>
                <c:pt idx="7">
                  <c:v>0.32639047477504579</c:v>
                </c:pt>
                <c:pt idx="8">
                  <c:v>0.56564649614198281</c:v>
                </c:pt>
                <c:pt idx="9">
                  <c:v>0.70642798312940336</c:v>
                </c:pt>
                <c:pt idx="10">
                  <c:v>0.72223341980835054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不良生成率!$A$180</c:f>
              <c:strCache>
                <c:ptCount val="1"/>
                <c:pt idx="0">
                  <c:v>老16家全部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不良生成率!$B$180:$L$180</c:f>
              <c:numCache>
                <c:formatCode>0.00%</c:formatCode>
                <c:ptCount val="11"/>
                <c:pt idx="0">
                  <c:v>9.0975136914126245E-2</c:v>
                </c:pt>
                <c:pt idx="1">
                  <c:v>0.14749667697448149</c:v>
                </c:pt>
                <c:pt idx="2">
                  <c:v>0.10690555362207517</c:v>
                </c:pt>
                <c:pt idx="3">
                  <c:v>7.2018077069505082E-2</c:v>
                </c:pt>
                <c:pt idx="4">
                  <c:v>4.18389365864512E-2</c:v>
                </c:pt>
                <c:pt idx="5">
                  <c:v>9.437567963961134E-2</c:v>
                </c:pt>
                <c:pt idx="6">
                  <c:v>0.25605904012863662</c:v>
                </c:pt>
                <c:pt idx="7">
                  <c:v>0.46834113183931952</c:v>
                </c:pt>
                <c:pt idx="8">
                  <c:v>0.63090045998004252</c:v>
                </c:pt>
                <c:pt idx="9">
                  <c:v>0.53682605119415083</c:v>
                </c:pt>
                <c:pt idx="10">
                  <c:v>0.41429761087855371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80507072"/>
        <c:axId val="-380503808"/>
      </c:lineChart>
      <c:catAx>
        <c:axId val="-38050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380503808"/>
        <c:crosses val="autoZero"/>
        <c:auto val="1"/>
        <c:lblAlgn val="ctr"/>
        <c:lblOffset val="100"/>
        <c:noMultiLvlLbl val="0"/>
      </c:catAx>
      <c:valAx>
        <c:axId val="-38050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38050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净息差与净利差!$C$47</c:f>
              <c:strCache>
                <c:ptCount val="1"/>
                <c:pt idx="0">
                  <c:v>净息差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净息差与净利差!$B$48:$B$69</c:f>
              <c:numCache>
                <c:formatCode>m/d/yyyy</c:formatCode>
                <c:ptCount val="22"/>
                <c:pt idx="0">
                  <c:v>40999</c:v>
                </c:pt>
                <c:pt idx="1">
                  <c:v>41090</c:v>
                </c:pt>
                <c:pt idx="2">
                  <c:v>41182</c:v>
                </c:pt>
                <c:pt idx="3">
                  <c:v>41274</c:v>
                </c:pt>
                <c:pt idx="4">
                  <c:v>41364</c:v>
                </c:pt>
                <c:pt idx="5">
                  <c:v>41455</c:v>
                </c:pt>
                <c:pt idx="6">
                  <c:v>41547</c:v>
                </c:pt>
                <c:pt idx="7">
                  <c:v>41639</c:v>
                </c:pt>
                <c:pt idx="8">
                  <c:v>41729</c:v>
                </c:pt>
                <c:pt idx="9">
                  <c:v>41820</c:v>
                </c:pt>
                <c:pt idx="10">
                  <c:v>41912</c:v>
                </c:pt>
                <c:pt idx="11">
                  <c:v>42004</c:v>
                </c:pt>
                <c:pt idx="12">
                  <c:v>42094</c:v>
                </c:pt>
                <c:pt idx="13">
                  <c:v>42185</c:v>
                </c:pt>
                <c:pt idx="14">
                  <c:v>42277</c:v>
                </c:pt>
                <c:pt idx="15">
                  <c:v>42369</c:v>
                </c:pt>
                <c:pt idx="16">
                  <c:v>42460</c:v>
                </c:pt>
                <c:pt idx="17">
                  <c:v>42551</c:v>
                </c:pt>
                <c:pt idx="18">
                  <c:v>42643</c:v>
                </c:pt>
                <c:pt idx="19">
                  <c:v>42735</c:v>
                </c:pt>
                <c:pt idx="20">
                  <c:v>42825</c:v>
                </c:pt>
                <c:pt idx="21">
                  <c:v>42916</c:v>
                </c:pt>
              </c:numCache>
            </c:numRef>
          </c:cat>
          <c:val>
            <c:numRef>
              <c:f>净息差与净利差!$C$48:$C$69</c:f>
              <c:numCache>
                <c:formatCode>0.00%</c:formatCode>
                <c:ptCount val="22"/>
                <c:pt idx="0">
                  <c:v>#N/A</c:v>
                </c:pt>
                <c:pt idx="1">
                  <c:v>2.3361999999999997E-2</c:v>
                </c:pt>
                <c:pt idx="2">
                  <c:v>#N/A</c:v>
                </c:pt>
                <c:pt idx="3">
                  <c:v>2.4790999999999997E-2</c:v>
                </c:pt>
                <c:pt idx="4">
                  <c:v>#N/A</c:v>
                </c:pt>
                <c:pt idx="5">
                  <c:v>2.3802E-2</c:v>
                </c:pt>
                <c:pt idx="6">
                  <c:v>#N/A</c:v>
                </c:pt>
                <c:pt idx="7">
                  <c:v>2.2799999999999997E-2</c:v>
                </c:pt>
                <c:pt idx="8">
                  <c:v>#N/A</c:v>
                </c:pt>
                <c:pt idx="9">
                  <c:v>2.1130765837918147E-2</c:v>
                </c:pt>
                <c:pt idx="10">
                  <c:v>#N/A</c:v>
                </c:pt>
                <c:pt idx="11">
                  <c:v>2.22457664781151E-2</c:v>
                </c:pt>
                <c:pt idx="12">
                  <c:v>#N/A</c:v>
                </c:pt>
                <c:pt idx="13">
                  <c:v>2.1536340582043612E-2</c:v>
                </c:pt>
                <c:pt idx="14">
                  <c:v>#N/A</c:v>
                </c:pt>
                <c:pt idx="15">
                  <c:v>2.1248309220050186E-2</c:v>
                </c:pt>
                <c:pt idx="16">
                  <c:v>#N/A</c:v>
                </c:pt>
                <c:pt idx="17">
                  <c:v>1.9398579202095374E-2</c:v>
                </c:pt>
                <c:pt idx="18">
                  <c:v>#N/A</c:v>
                </c:pt>
                <c:pt idx="19">
                  <c:v>1.9352998696219034E-2</c:v>
                </c:pt>
                <c:pt idx="20">
                  <c:v>#N/A</c:v>
                </c:pt>
                <c:pt idx="21">
                  <c:v>1.78E-2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76E-4E33-9374-AD445E078835}"/>
            </c:ext>
          </c:extLst>
        </c:ser>
        <c:ser>
          <c:idx val="1"/>
          <c:order val="1"/>
          <c:tx>
            <c:strRef>
              <c:f>净息差与净利差!$D$47</c:f>
              <c:strCache>
                <c:ptCount val="1"/>
                <c:pt idx="0">
                  <c:v>净利差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净息差与净利差!$B$48:$B$69</c:f>
              <c:numCache>
                <c:formatCode>m/d/yyyy</c:formatCode>
                <c:ptCount val="22"/>
                <c:pt idx="0">
                  <c:v>40999</c:v>
                </c:pt>
                <c:pt idx="1">
                  <c:v>41090</c:v>
                </c:pt>
                <c:pt idx="2">
                  <c:v>41182</c:v>
                </c:pt>
                <c:pt idx="3">
                  <c:v>41274</c:v>
                </c:pt>
                <c:pt idx="4">
                  <c:v>41364</c:v>
                </c:pt>
                <c:pt idx="5">
                  <c:v>41455</c:v>
                </c:pt>
                <c:pt idx="6">
                  <c:v>41547</c:v>
                </c:pt>
                <c:pt idx="7">
                  <c:v>41639</c:v>
                </c:pt>
                <c:pt idx="8">
                  <c:v>41729</c:v>
                </c:pt>
                <c:pt idx="9">
                  <c:v>41820</c:v>
                </c:pt>
                <c:pt idx="10">
                  <c:v>41912</c:v>
                </c:pt>
                <c:pt idx="11">
                  <c:v>42004</c:v>
                </c:pt>
                <c:pt idx="12">
                  <c:v>42094</c:v>
                </c:pt>
                <c:pt idx="13">
                  <c:v>42185</c:v>
                </c:pt>
                <c:pt idx="14">
                  <c:v>42277</c:v>
                </c:pt>
                <c:pt idx="15">
                  <c:v>42369</c:v>
                </c:pt>
                <c:pt idx="16">
                  <c:v>42460</c:v>
                </c:pt>
                <c:pt idx="17">
                  <c:v>42551</c:v>
                </c:pt>
                <c:pt idx="18">
                  <c:v>42643</c:v>
                </c:pt>
                <c:pt idx="19">
                  <c:v>42735</c:v>
                </c:pt>
                <c:pt idx="20">
                  <c:v>42825</c:v>
                </c:pt>
                <c:pt idx="21">
                  <c:v>42916</c:v>
                </c:pt>
              </c:numCache>
            </c:numRef>
          </c:cat>
          <c:val>
            <c:numRef>
              <c:f>净息差与净利差!$D$48:$D$69</c:f>
              <c:numCache>
                <c:formatCode>0.00%</c:formatCode>
                <c:ptCount val="22"/>
                <c:pt idx="0">
                  <c:v>2.1467999999999998E-2</c:v>
                </c:pt>
                <c:pt idx="1">
                  <c:v>2.1926000000000001E-2</c:v>
                </c:pt>
                <c:pt idx="2">
                  <c:v>2.266E-2</c:v>
                </c:pt>
                <c:pt idx="3">
                  <c:v>2.3928999999999999E-2</c:v>
                </c:pt>
                <c:pt idx="4">
                  <c:v>2.3532000000000001E-2</c:v>
                </c:pt>
                <c:pt idx="5">
                  <c:v>2.3288000000000003E-2</c:v>
                </c:pt>
                <c:pt idx="6">
                  <c:v>2.3172000000000002E-2</c:v>
                </c:pt>
                <c:pt idx="7">
                  <c:v>2.2449E-2</c:v>
                </c:pt>
                <c:pt idx="8">
                  <c:v>2.0876000000000002E-2</c:v>
                </c:pt>
                <c:pt idx="9">
                  <c:v>2.2054000000000001E-2</c:v>
                </c:pt>
                <c:pt idx="10">
                  <c:v>2.2896999999999997E-2</c:v>
                </c:pt>
                <c:pt idx="11">
                  <c:v>2.3543999999999999E-2</c:v>
                </c:pt>
                <c:pt idx="12">
                  <c:v>2.4048E-2</c:v>
                </c:pt>
                <c:pt idx="13">
                  <c:v>2.4048E-2</c:v>
                </c:pt>
                <c:pt idx="14">
                  <c:v>2.3177E-2</c:v>
                </c:pt>
                <c:pt idx="15">
                  <c:v>2.3264E-2</c:v>
                </c:pt>
                <c:pt idx="16">
                  <c:v>2.1836000000000001E-2</c:v>
                </c:pt>
                <c:pt idx="17">
                  <c:v>2.1156000000000001E-2</c:v>
                </c:pt>
                <c:pt idx="18">
                  <c:v>2.1145000000000001E-2</c:v>
                </c:pt>
                <c:pt idx="19">
                  <c:v>2.1978000000000001E-2</c:v>
                </c:pt>
                <c:pt idx="20">
                  <c:v>2.2376E-2</c:v>
                </c:pt>
                <c:pt idx="21">
                  <c:v>1.61E-2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76E-4E33-9374-AD445E078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3998384"/>
        <c:axId val="-44009808"/>
      </c:lineChart>
      <c:dateAx>
        <c:axId val="-43998384"/>
        <c:scaling>
          <c:orientation val="minMax"/>
        </c:scaling>
        <c:delete val="0"/>
        <c:axPos val="b"/>
        <c:numFmt formatCode="yyyy/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44009808"/>
        <c:crosses val="autoZero"/>
        <c:auto val="1"/>
        <c:lblOffset val="100"/>
        <c:baseTimeUnit val="months"/>
        <c:majorUnit val="4"/>
        <c:majorTimeUnit val="months"/>
      </c:dateAx>
      <c:valAx>
        <c:axId val="-4400980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4399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30</xdr:row>
          <xdr:rowOff>142875</xdr:rowOff>
        </xdr:from>
        <xdr:to>
          <xdr:col>1</xdr:col>
          <xdr:colOff>666750</xdr:colOff>
          <xdr:row>33</xdr:row>
          <xdr:rowOff>47625</xdr:rowOff>
        </xdr:to>
        <xdr:sp macro="" textlink="">
          <xdr:nvSpPr>
            <xdr:cNvPr id="1031" name="按钮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确定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128589</xdr:colOff>
      <xdr:row>28</xdr:row>
      <xdr:rowOff>347662</xdr:rowOff>
    </xdr:from>
    <xdr:to>
      <xdr:col>9</xdr:col>
      <xdr:colOff>185738</xdr:colOff>
      <xdr:row>59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533400</xdr:colOff>
      <xdr:row>69</xdr:row>
      <xdr:rowOff>119062</xdr:rowOff>
    </xdr:from>
    <xdr:to>
      <xdr:col>14</xdr:col>
      <xdr:colOff>471488</xdr:colOff>
      <xdr:row>84</xdr:row>
      <xdr:rowOff>147637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657225</xdr:colOff>
      <xdr:row>68</xdr:row>
      <xdr:rowOff>4762</xdr:rowOff>
    </xdr:from>
    <xdr:to>
      <xdr:col>13</xdr:col>
      <xdr:colOff>442913</xdr:colOff>
      <xdr:row>83</xdr:row>
      <xdr:rowOff>33337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290511</xdr:colOff>
      <xdr:row>81</xdr:row>
      <xdr:rowOff>95250</xdr:rowOff>
    </xdr:from>
    <xdr:to>
      <xdr:col>11</xdr:col>
      <xdr:colOff>76199</xdr:colOff>
      <xdr:row>96</xdr:row>
      <xdr:rowOff>66675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250030</xdr:colOff>
      <xdr:row>116</xdr:row>
      <xdr:rowOff>90486</xdr:rowOff>
    </xdr:from>
    <xdr:to>
      <xdr:col>10</xdr:col>
      <xdr:colOff>416717</xdr:colOff>
      <xdr:row>131</xdr:row>
      <xdr:rowOff>42861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xmlns="" id="{49FDB3EB-0325-4E1E-BA72-6D1457AFCF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700087</xdr:colOff>
      <xdr:row>176</xdr:row>
      <xdr:rowOff>14287</xdr:rowOff>
    </xdr:from>
    <xdr:to>
      <xdr:col>8</xdr:col>
      <xdr:colOff>290512</xdr:colOff>
      <xdr:row>190</xdr:row>
      <xdr:rowOff>90487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223843</xdr:colOff>
      <xdr:row>48</xdr:row>
      <xdr:rowOff>40480</xdr:rowOff>
    </xdr:from>
    <xdr:to>
      <xdr:col>12</xdr:col>
      <xdr:colOff>152406</xdr:colOff>
      <xdr:row>66</xdr:row>
      <xdr:rowOff>126205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stmnote_bank_1n"/>
      <definedName name="s_stmnote_bank_23n"/>
      <definedName name="to_trade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P208"/>
  <sheetViews>
    <sheetView showGridLines="0" tabSelected="1" topLeftCell="A190" workbookViewId="0">
      <selection activeCell="A192" sqref="A192:XFD192"/>
    </sheetView>
  </sheetViews>
  <sheetFormatPr defaultRowHeight="15"/>
  <cols>
    <col min="1" max="1" width="34.5" style="24" customWidth="1"/>
    <col min="2" max="2" width="11.375" style="25" bestFit="1" customWidth="1"/>
    <col min="3" max="6" width="10.625" style="25" bestFit="1" customWidth="1"/>
    <col min="7" max="7" width="12.25" style="25" customWidth="1"/>
    <col min="8" max="8" width="10.625" style="25" bestFit="1" customWidth="1"/>
    <col min="9" max="9" width="9.5" style="25" bestFit="1" customWidth="1"/>
    <col min="10" max="11" width="10.625" bestFit="1" customWidth="1"/>
    <col min="12" max="12" width="9.875" bestFit="1" customWidth="1"/>
    <col min="13" max="13" width="10.625" bestFit="1" customWidth="1"/>
    <col min="14" max="14" width="9.5" bestFit="1" customWidth="1"/>
  </cols>
  <sheetData>
    <row r="1" spans="1:16">
      <c r="A1" s="25" t="str">
        <f>IF(宁波银行!A1=0,"",宁波银行!A1)</f>
        <v>002142</v>
      </c>
      <c r="B1" s="24" t="str">
        <f>IF(宁波银行!B1=0,"",宁波银行!B1)</f>
        <v>亿元</v>
      </c>
      <c r="C1" s="25" t="str">
        <f>IF(宁波银行!C1=0,"",宁波银行!C1)</f>
        <v/>
      </c>
      <c r="D1" s="25" t="str">
        <f>IF(宁波银行!D1=0,"",宁波银行!D1)</f>
        <v/>
      </c>
      <c r="E1" s="25" t="str">
        <f>IF(宁波银行!E1=0,"",宁波银行!E1)</f>
        <v/>
      </c>
      <c r="F1" s="25" t="str">
        <f>IF(宁波银行!F1=0,"",宁波银行!F1)</f>
        <v/>
      </c>
      <c r="G1" s="24" t="str">
        <f>IF(宁波银行!G1=0,"",宁波银行!G1)</f>
        <v/>
      </c>
      <c r="H1" s="25" t="str">
        <f>IF(宁波银行!H1=0,"",宁波银行!H1)</f>
        <v/>
      </c>
      <c r="I1" s="25" t="str">
        <f>IF(宁波银行!I1=0,"",宁波银行!I1)</f>
        <v/>
      </c>
      <c r="J1" t="str">
        <f>IF(宁波银行!J1=0,"",宁波银行!J1)</f>
        <v/>
      </c>
      <c r="K1" t="str">
        <f>IF(宁波银行!K1=0,"",宁波银行!K1)</f>
        <v/>
      </c>
      <c r="L1" t="str">
        <f>IF(宁波银行!Q1=0,"",宁波银行!Q1)</f>
        <v/>
      </c>
      <c r="M1" t="str">
        <f>IF(宁波银行!R1=0,"",宁波银行!R1)</f>
        <v/>
      </c>
    </row>
    <row r="2" spans="1:16">
      <c r="A2" s="24" t="str">
        <f>IF(宁波银行!A2=0,"",宁波银行!A2)</f>
        <v>宁波银行</v>
      </c>
      <c r="B2" s="26">
        <f>IF(宁波银行!B2=0,"",宁波银行!B2)</f>
        <v>39082</v>
      </c>
      <c r="C2" s="26">
        <f>IF(宁波银行!C2=0,"",宁波银行!C2)</f>
        <v>39447</v>
      </c>
      <c r="D2" s="26">
        <f>IF(宁波银行!D2=0,"",宁波银行!D2)</f>
        <v>39813</v>
      </c>
      <c r="E2" s="26">
        <f>IF(宁波银行!E2=0,"",宁波银行!E2)</f>
        <v>40178</v>
      </c>
      <c r="F2" s="26">
        <f>IF(宁波银行!F2=0,"",宁波银行!F2)</f>
        <v>40543</v>
      </c>
      <c r="G2" s="26">
        <f>IF(宁波银行!G2=0,"",宁波银行!G2)</f>
        <v>40908</v>
      </c>
      <c r="H2" s="26">
        <f>IF(宁波银行!H2=0,"",宁波银行!H2)</f>
        <v>41274</v>
      </c>
      <c r="I2" s="26">
        <f>IF(宁波银行!I2=0,"",宁波银行!I2)</f>
        <v>41639</v>
      </c>
      <c r="J2" s="26">
        <f>IF(宁波银行!J2=0,"",宁波银行!J2)</f>
        <v>42004</v>
      </c>
      <c r="K2" s="26">
        <f>IF(宁波银行!K2=0,"",宁波银行!K2)</f>
        <v>42369</v>
      </c>
      <c r="L2" s="26">
        <f>IF(宁波银行!L2=0,"",宁波银行!L2)</f>
        <v>42551</v>
      </c>
      <c r="M2" s="26">
        <f>IF(宁波银行!M2=0,"",宁波银行!M2)</f>
        <v>42735</v>
      </c>
      <c r="N2" s="26">
        <f>IF(宁波银行!N2=0,"",宁波银行!N2)</f>
        <v>42916</v>
      </c>
      <c r="O2" t="str">
        <f>IF(工商银行!O2=0,"",工商银行!O2)</f>
        <v/>
      </c>
      <c r="P2" t="str">
        <f>IF(工商银行!P2=0,"",工商银行!P2)</f>
        <v/>
      </c>
    </row>
    <row r="3" spans="1:16">
      <c r="A3" s="24" t="str">
        <f>IF(宁波银行!A3=0,"",宁波银行!A3)</f>
        <v>期初余额</v>
      </c>
      <c r="B3" s="148" t="str">
        <f>IF(宁波银行!B3=0,"",宁波银行!B3)</f>
        <v/>
      </c>
      <c r="C3" s="148">
        <f>IF(宁波银行!C3=0,"",宁波银行!C3)</f>
        <v>3.7229399999999999</v>
      </c>
      <c r="D3" s="148">
        <f>IF(宁波银行!D3=0,"",宁波银行!D3)</f>
        <v>4.68276</v>
      </c>
      <c r="E3" s="148">
        <f>IF(宁波银行!E3=0,"",宁波银行!E3)</f>
        <v>6.89588</v>
      </c>
      <c r="F3" s="148">
        <f>IF(宁波银行!F3=0,"",宁波银行!F3)</f>
        <v>10.960190000000001</v>
      </c>
      <c r="G3" s="148">
        <f>IF(宁波银行!G3=0,"",宁波银行!G3)</f>
        <v>13.799530000000001</v>
      </c>
      <c r="H3" s="148">
        <f>IF(宁波银行!H3=0,"",宁波银行!H3)</f>
        <v>20.03</v>
      </c>
      <c r="I3" s="148">
        <f>IF(宁波银行!I3=0,"",宁波银行!I3)</f>
        <v>30.53</v>
      </c>
      <c r="J3" s="148">
        <f>IF(宁波银行!J3=0,"",宁波银行!J3)</f>
        <v>38.869999999999997</v>
      </c>
      <c r="K3" s="148">
        <f>IF(宁波银行!K3=0,"",宁波银行!K3)</f>
        <v>53.12</v>
      </c>
      <c r="L3" s="148">
        <f>IF(宁波银行!L3=0,"",宁波银行!L3)</f>
        <v>72.89</v>
      </c>
      <c r="M3" s="148">
        <f>IF(宁波银行!M3=0,"",宁波银行!M3)</f>
        <v>72.89</v>
      </c>
      <c r="N3" s="148">
        <f>IF(宁波银行!N3=0,"",宁波银行!N3)</f>
        <v>97.18</v>
      </c>
      <c r="O3" t="str">
        <f>IF(工商银行!O3=0,"",工商银行!O3)</f>
        <v/>
      </c>
      <c r="P3" t="str">
        <f>IF(工商银行!P3=0,"",工商银行!P3)</f>
        <v/>
      </c>
    </row>
    <row r="4" spans="1:16">
      <c r="A4" s="24" t="str">
        <f>IF(宁波银行!A4=0,"",宁波银行!A4)</f>
        <v xml:space="preserve">本年计提 </v>
      </c>
      <c r="B4" s="148" t="str">
        <f>IF(宁波银行!B4=0,"",宁波银行!B4)</f>
        <v/>
      </c>
      <c r="C4" s="148">
        <f>IF(宁波银行!C4=0,"",宁波银行!C4)</f>
        <v>0.98621000000000003</v>
      </c>
      <c r="D4" s="148">
        <f>IF(宁波银行!D4=0,"",宁波银行!D4)</f>
        <v>2.5722999999999998</v>
      </c>
      <c r="E4" s="148">
        <f>IF(宁波银行!E4=0,"",宁波银行!E4)</f>
        <v>4.2176900000000002</v>
      </c>
      <c r="F4" s="148">
        <f>IF(宁波银行!F4=0,"",宁波银行!F4)</f>
        <v>3.65801</v>
      </c>
      <c r="G4" s="148">
        <f>IF(宁波银行!G4=0,"",宁波银行!G4)</f>
        <v>6.3628600000000004</v>
      </c>
      <c r="H4" s="148">
        <f>IF(宁波银行!H4=0,"",宁波银行!H4)</f>
        <v>10.76</v>
      </c>
      <c r="I4" s="148">
        <f>IF(宁波银行!I4=0,"",宁波银行!I4)</f>
        <v>13.19</v>
      </c>
      <c r="J4" s="148">
        <f>IF(宁波银行!J4=0,"",宁波银行!J4)</f>
        <v>24.2</v>
      </c>
      <c r="K4" s="148">
        <f>IF(宁波银行!K4=0,"",宁波银行!K4)</f>
        <v>38.36</v>
      </c>
      <c r="L4" s="148">
        <f>IF(宁波银行!L4=0,"",宁波银行!L4)</f>
        <v>27.17</v>
      </c>
      <c r="M4" s="148">
        <f>IF(宁波银行!M4=0,"",宁波银行!M4)</f>
        <v>50.42</v>
      </c>
      <c r="N4" s="148">
        <f>IF(宁波银行!N4=0,"",宁波银行!N4)</f>
        <v>29.375879999999999</v>
      </c>
      <c r="O4" t="str">
        <f>IF(工商银行!O4=0,"",工商银行!O4)</f>
        <v/>
      </c>
      <c r="P4" t="str">
        <f>IF(工商银行!P4=0,"",工商银行!P4)</f>
        <v/>
      </c>
    </row>
    <row r="5" spans="1:16">
      <c r="A5" s="24" t="str">
        <f>IF(宁波银行!A5=0,"",宁波银行!A5)</f>
        <v>本年转入/转出</v>
      </c>
      <c r="B5" s="148" t="str">
        <f>IF(宁波银行!B5=0,"",宁波银行!B5)</f>
        <v/>
      </c>
      <c r="C5" s="310" t="str">
        <f>IF(宁波银行!C5=0,"",宁波银行!C5)</f>
        <v/>
      </c>
      <c r="D5" s="310" t="str">
        <f>IF(宁波银行!D5=0,"",宁波银行!D5)</f>
        <v/>
      </c>
      <c r="E5" s="310">
        <f>IF(宁波银行!E5=0,"",宁波银行!E5)</f>
        <v>0.19066</v>
      </c>
      <c r="F5" s="310" t="str">
        <f>IF(宁波银行!F5=0,"",宁波银行!F5)</f>
        <v/>
      </c>
      <c r="G5" s="310" t="str">
        <f>IF(宁波银行!G5=0,"",宁波银行!G5)</f>
        <v/>
      </c>
      <c r="H5" s="310" t="str">
        <f>IF(宁波银行!H5=0,"",宁波银行!H5)</f>
        <v/>
      </c>
      <c r="I5" s="310" t="str">
        <f>IF(宁波银行!I5=0,"",宁波银行!I5)</f>
        <v/>
      </c>
      <c r="J5" s="310" t="str">
        <f>IF(宁波银行!J5=0,"",宁波银行!J5)</f>
        <v/>
      </c>
      <c r="K5" s="310" t="str">
        <f>IF(宁波银行!K5=0,"",宁波银行!K5)</f>
        <v/>
      </c>
      <c r="L5" s="310" t="str">
        <f>IF(宁波银行!L5=0,"",宁波银行!L5)</f>
        <v/>
      </c>
      <c r="M5" s="310" t="str">
        <f>IF(宁波银行!M5=0,"",宁波银行!M5)</f>
        <v/>
      </c>
      <c r="N5" s="310" t="str">
        <f>IF(宁波银行!N5=0,"",宁波银行!N5)</f>
        <v/>
      </c>
      <c r="O5" t="str">
        <f>IF(工商银行!O5=0,"",工商银行!O5)</f>
        <v/>
      </c>
      <c r="P5" t="str">
        <f>IF(工商银行!P5=0,"",工商银行!P5)</f>
        <v/>
      </c>
    </row>
    <row r="6" spans="1:16">
      <c r="A6" s="24" t="str">
        <f>IF(宁波银行!A6=0,"",宁波银行!A6)</f>
        <v>本年核销</v>
      </c>
      <c r="B6" s="148" t="str">
        <f>IF(宁波银行!B6=0,"",宁波银行!B6)</f>
        <v/>
      </c>
      <c r="C6" s="310">
        <f>IF(宁波银行!C6=0,"",宁波银行!C6)</f>
        <v>-2.4539999999999999E-2</v>
      </c>
      <c r="D6" s="310">
        <f>IF(宁波银行!D6=0,"",宁波银行!D6)</f>
        <v>-0.35515999999999998</v>
      </c>
      <c r="E6" s="310">
        <f>IF(宁波银行!E6=0,"",宁波银行!E6)</f>
        <v>-0.14668999999999999</v>
      </c>
      <c r="F6" s="310">
        <f>IF(宁波银行!F6=0,"",宁波银行!F6)</f>
        <v>-0.70311000000000001</v>
      </c>
      <c r="G6" s="310" t="str">
        <f>IF(宁波银行!G6=0,"",宁波银行!G6)</f>
        <v/>
      </c>
      <c r="H6" s="310">
        <f>IF(宁波银行!H6=0,"",宁波银行!H6)</f>
        <v>-0.15</v>
      </c>
      <c r="I6" s="310">
        <f>IF(宁波银行!I6=0,"",宁波银行!I6)</f>
        <v>-4.57</v>
      </c>
      <c r="J6" s="310">
        <f>IF(宁波银行!J6=0,"",宁波银行!J6)</f>
        <v>-9.83</v>
      </c>
      <c r="K6" s="310">
        <f>IF(宁波银行!K6=0,"",宁波银行!K6)</f>
        <v>-19.28</v>
      </c>
      <c r="L6" s="310">
        <f>IF(宁波银行!L6=0,"",宁波银行!L6)</f>
        <v>-12.67</v>
      </c>
      <c r="M6" s="310">
        <f>IF(宁波银行!M6=0,"",宁波银行!M6)</f>
        <v>-28.49</v>
      </c>
      <c r="N6" s="310">
        <f>IF(宁波银行!N6=0,"",宁波银行!N6)</f>
        <v>-11.562530000000001</v>
      </c>
      <c r="O6" t="str">
        <f>IF(工商银行!O6=0,"",工商银行!O6)</f>
        <v/>
      </c>
      <c r="P6" t="str">
        <f>IF(工商银行!P6=0,"",工商银行!P6)</f>
        <v/>
      </c>
    </row>
    <row r="7" spans="1:16">
      <c r="A7" s="24" t="str">
        <f>IF(宁波银行!A7=0,"",宁波银行!A7)</f>
        <v>本年收回</v>
      </c>
      <c r="B7" s="148" t="str">
        <f>IF(宁波银行!B7=0,"",宁波银行!B7)</f>
        <v/>
      </c>
      <c r="C7" s="310" t="str">
        <f>IF(宁波银行!C7=0,"",宁波银行!C7)</f>
        <v/>
      </c>
      <c r="D7" s="310">
        <f>IF(宁波银行!D7=0,"",宁波银行!D7)</f>
        <v>4.2599999999999999E-3</v>
      </c>
      <c r="E7" s="310">
        <f>IF(宁波银行!E7=0,"",宁波银行!E7)</f>
        <v>9.7999999999999997E-4</v>
      </c>
      <c r="F7" s="310">
        <f>IF(宁波银行!F7=0,"",宁波银行!F7)</f>
        <v>1.7350000000000001E-2</v>
      </c>
      <c r="G7" s="310">
        <f>IF(宁波银行!G7=0,"",宁波银行!G7)</f>
        <v>2.4670000000000001E-2</v>
      </c>
      <c r="H7" s="310">
        <f>IF(宁波银行!H7=0,"",宁波银行!H7)</f>
        <v>0.06</v>
      </c>
      <c r="I7" s="310">
        <f>IF(宁波银行!I7=0,"",宁波银行!I7)</f>
        <v>0.01</v>
      </c>
      <c r="J7" s="310">
        <f>IF(宁波银行!J7=0,"",宁波银行!J7)</f>
        <v>0.28999999999999998</v>
      </c>
      <c r="K7" s="310">
        <f>IF(宁波银行!K7=0,"",宁波银行!K7)</f>
        <v>1.37</v>
      </c>
      <c r="L7" s="310">
        <f>IF(宁波银行!L7=0,"",宁波银行!L7)</f>
        <v>1.1399999999999999</v>
      </c>
      <c r="M7" s="310">
        <f>IF(宁波银行!M7=0,"",宁波银行!M7)</f>
        <v>2.88</v>
      </c>
      <c r="N7" s="310">
        <f>IF(宁波银行!N7=0,"",宁波银行!N7)</f>
        <v>2.7830599999999999</v>
      </c>
      <c r="O7" t="str">
        <f>IF(工商银行!O7=0,"",工商银行!O7)</f>
        <v/>
      </c>
      <c r="P7" t="str">
        <f>IF(工商银行!P7=0,"",工商银行!P7)</f>
        <v/>
      </c>
    </row>
    <row r="8" spans="1:16">
      <c r="A8" s="24" t="str">
        <f>IF(宁波银行!A8=0,"",宁波银行!A8)</f>
        <v>已减值贷款利息回拨（-）</v>
      </c>
      <c r="B8" s="148" t="str">
        <f>IF(宁波银行!B8=0,"",宁波银行!B8)</f>
        <v/>
      </c>
      <c r="C8" s="310" t="str">
        <f>IF(宁波银行!C8=0,"",宁波银行!C8)</f>
        <v/>
      </c>
      <c r="D8" s="310" t="str">
        <f>IF(宁波银行!D8=0,"",宁波银行!D8)</f>
        <v/>
      </c>
      <c r="E8" s="310">
        <f>IF(宁波银行!E8=0,"",宁波银行!E8)</f>
        <v>-0.19833000000000001</v>
      </c>
      <c r="F8" s="310">
        <f>IF(宁波银行!F8=0,"",宁波银行!F8)</f>
        <v>-0.13208</v>
      </c>
      <c r="G8" s="310">
        <f>IF(宁波银行!G8=0,"",宁波银行!G8)</f>
        <v>-0.15529000000000001</v>
      </c>
      <c r="H8" s="310">
        <f>IF(宁波银行!H8=0,"",宁波银行!H8)</f>
        <v>-0.18</v>
      </c>
      <c r="I8" s="310">
        <f>IF(宁波银行!I8=0,"",宁波银行!I8)</f>
        <v>-0.28000000000000003</v>
      </c>
      <c r="J8" s="310">
        <f>IF(宁波银行!J8=0,"",宁波银行!J8)</f>
        <v>-0.41</v>
      </c>
      <c r="K8" s="310">
        <f>IF(宁波银行!K8=0,"",宁波银行!K8)</f>
        <v>-0.68</v>
      </c>
      <c r="L8" s="310" t="str">
        <f>IF(宁波银行!L8=0,"",宁波银行!L8)</f>
        <v/>
      </c>
      <c r="M8" s="310">
        <f>IF(宁波银行!M8=0,"",宁波银行!M8)</f>
        <v>-0.52</v>
      </c>
      <c r="N8" s="310" t="str">
        <f>IF(宁波银行!N8=0,"",宁波银行!N8)</f>
        <v/>
      </c>
      <c r="O8" t="str">
        <f>IF(工商银行!O8=0,"",工商银行!O8)</f>
        <v/>
      </c>
      <c r="P8" t="str">
        <f>IF(工商银行!P8=0,"",工商银行!P8)</f>
        <v/>
      </c>
    </row>
    <row r="9" spans="1:16">
      <c r="A9" s="24" t="str">
        <f>IF(宁波银行!A9=0,"",宁波银行!A9)</f>
        <v>折算差异</v>
      </c>
      <c r="B9" s="148" t="str">
        <f>IF(宁波银行!B9=0,"",宁波银行!B9)</f>
        <v/>
      </c>
      <c r="C9" s="148">
        <f>IF(宁波银行!C9=0,"",宁波银行!C9)</f>
        <v>-1.8400000000000001E-3</v>
      </c>
      <c r="D9" s="148">
        <f>IF(宁波银行!D9=0,"",宁波银行!D9)</f>
        <v>-1.7600000000000001E-3</v>
      </c>
      <c r="E9" s="148" t="str">
        <f>IF(宁波银行!E9=0,"",宁波银行!E9)</f>
        <v/>
      </c>
      <c r="F9" s="148">
        <f>IF(宁波银行!F9=0,"",宁波银行!F9)</f>
        <v>-8.3000000000000001E-4</v>
      </c>
      <c r="G9" s="148" t="str">
        <f>IF(宁波银行!G9=0,"",宁波银行!G9)</f>
        <v/>
      </c>
      <c r="H9" s="148" t="str">
        <f>IF(宁波银行!H9=0,"",宁波银行!H9)</f>
        <v/>
      </c>
      <c r="I9" s="148" t="str">
        <f>IF(宁波银行!I9=0,"",宁波银行!I9)</f>
        <v/>
      </c>
      <c r="J9" s="148" t="str">
        <f>IF(宁波银行!J9=0,"",宁波银行!J9)</f>
        <v/>
      </c>
      <c r="K9" s="148" t="str">
        <f>IF(宁波银行!K9=0,"",宁波银行!K9)</f>
        <v/>
      </c>
      <c r="L9" s="148" t="str">
        <f>IF(宁波银行!L9=0,"",宁波银行!L9)</f>
        <v/>
      </c>
      <c r="M9" s="148" t="str">
        <f>IF(宁波银行!M9=0,"",宁波银行!M9)</f>
        <v/>
      </c>
      <c r="N9" s="148" t="str">
        <f>IF(宁波银行!N9=0,"",宁波银行!N9)</f>
        <v/>
      </c>
      <c r="O9" t="str">
        <f>IF(工商银行!O9=0,"",工商银行!O9)</f>
        <v/>
      </c>
      <c r="P9" t="str">
        <f>IF(工商银行!P9=0,"",工商银行!P9)</f>
        <v/>
      </c>
    </row>
    <row r="10" spans="1:16">
      <c r="A10" s="24" t="str">
        <f>IF(宁波银行!A10=0,"",宁波银行!A10)</f>
        <v>期末余额</v>
      </c>
      <c r="B10" s="148" t="str">
        <f>IF(宁波银行!B10=0,"",宁波银行!B10)</f>
        <v/>
      </c>
      <c r="C10" s="148">
        <f>IF(宁波银行!C10=0,"",宁波银行!C10)</f>
        <v>4.68276</v>
      </c>
      <c r="D10" s="148">
        <f>IF(宁波银行!D10=0,"",宁波银行!D10)</f>
        <v>6.89588</v>
      </c>
      <c r="E10" s="148">
        <f>IF(宁波银行!E10=0,"",宁波银行!E10)</f>
        <v>10.960190000000001</v>
      </c>
      <c r="F10" s="148">
        <f>IF(宁波银行!F10=0,"",宁波银行!F10)</f>
        <v>13.799530000000001</v>
      </c>
      <c r="G10" s="148">
        <f>IF(宁波银行!G10=0,"",宁波银行!G10)</f>
        <v>20.031770000000002</v>
      </c>
      <c r="H10" s="148">
        <f>IF(宁波银行!H10=0,"",宁波银行!H10)</f>
        <v>30.53</v>
      </c>
      <c r="I10" s="148">
        <f>IF(宁波银行!I10=0,"",宁波银行!I10)</f>
        <v>38.869999999999997</v>
      </c>
      <c r="J10" s="148">
        <f>IF(宁波银行!J10=0,"",宁波银行!J10)</f>
        <v>53.12</v>
      </c>
      <c r="K10" s="148">
        <f>IF(宁波银行!K10=0,"",宁波银行!K10)</f>
        <v>72.89</v>
      </c>
      <c r="L10" s="148">
        <f>IF(宁波银行!L10=0,"",宁波银行!L10)</f>
        <v>88.53</v>
      </c>
      <c r="M10" s="148">
        <f>IF(宁波银行!M10=0,"",宁波银行!M10)</f>
        <v>97.18</v>
      </c>
      <c r="N10" s="148">
        <f>IF(宁波银行!N10=0,"",宁波银行!N10)</f>
        <v>117.77641</v>
      </c>
      <c r="O10" t="str">
        <f>IF(工商银行!O10=0,"",工商银行!O10)</f>
        <v/>
      </c>
      <c r="P10" t="str">
        <f>IF(工商银行!P10=0,"",工商银行!P10)</f>
        <v/>
      </c>
    </row>
    <row r="11" spans="1:16">
      <c r="A11" s="24" t="str">
        <f>IF(宁波银行!A11=0,"",宁波银行!A11)</f>
        <v>control</v>
      </c>
      <c r="B11" s="148" t="str">
        <f>IF(宁波银行!B11=0,"",宁波银行!B11)</f>
        <v/>
      </c>
      <c r="C11" s="148">
        <f>IF(宁波银行!C11=0,"",宁波银行!C11)</f>
        <v>4.6827700000000005</v>
      </c>
      <c r="D11" s="148">
        <f>IF(宁波银行!D11=0,"",宁波银行!D11)</f>
        <v>6.902400000000001</v>
      </c>
      <c r="E11" s="148">
        <f>IF(宁波银行!E11=0,"",宁波银行!E11)</f>
        <v>10.960189999999999</v>
      </c>
      <c r="F11" s="148">
        <f>IF(宁波银行!F11=0,"",宁波银行!F11)</f>
        <v>13.799530000000001</v>
      </c>
      <c r="G11" s="148">
        <f>IF(宁波银行!G11=0,"",宁波银行!G11)</f>
        <v>20.031770000000002</v>
      </c>
      <c r="H11" s="148">
        <f>IF(宁波银行!H11=0,"",宁波银行!H11)</f>
        <v>30.52</v>
      </c>
      <c r="I11" s="148">
        <f>IF(宁波银行!I11=0,"",宁波银行!I11)</f>
        <v>38.879999999999995</v>
      </c>
      <c r="J11" s="148">
        <f>IF(宁波银行!J11=0,"",宁波银行!J11)</f>
        <v>53.12</v>
      </c>
      <c r="K11" s="148">
        <f>IF(宁波银行!K11=0,"",宁波银行!K11)</f>
        <v>72.889999999999986</v>
      </c>
      <c r="L11" s="148">
        <f>IF(宁波银行!L11=0,"",宁波银行!L11)</f>
        <v>88.53</v>
      </c>
      <c r="M11" s="148">
        <f>IF(宁波银行!M11=0,"",宁波银行!M11)</f>
        <v>97.18</v>
      </c>
      <c r="N11" s="148">
        <f>IF(宁波银行!N11=0,"",宁波银行!N11)</f>
        <v>117.77641000000001</v>
      </c>
      <c r="O11" t="str">
        <f>IF(工商银行!O11=0,"",工商银行!O11)</f>
        <v/>
      </c>
      <c r="P11" t="str">
        <f>IF(工商银行!P11=0,"",工商银行!P11)</f>
        <v/>
      </c>
    </row>
    <row r="12" spans="1:16">
      <c r="A12" s="24" t="str">
        <f>IF(宁波银行!A12=0,"",宁波银行!A12)</f>
        <v>不良余额</v>
      </c>
      <c r="B12" s="148">
        <f>IF(宁波银行!B12=0,"",宁波银行!B12)</f>
        <v>0.91859999999999997</v>
      </c>
      <c r="C12" s="148">
        <f>IF(宁波银行!C12=0,"",宁波银行!C12)</f>
        <v>1.3008999999999999</v>
      </c>
      <c r="D12" s="148">
        <f>IF(宁波银行!D12=0,"",宁波银行!D12)</f>
        <v>4.5219504376000001</v>
      </c>
      <c r="E12" s="148">
        <f>IF(宁波银行!E12=0,"",宁波银行!E12)</f>
        <v>6.4450500000000002</v>
      </c>
      <c r="F12" s="148">
        <f>IF(宁波银行!F12=0,"",宁波银行!F12)</f>
        <v>28.55</v>
      </c>
      <c r="G12" s="148">
        <f>IF(宁波银行!G12=0,"",宁波银行!G12)</f>
        <v>8.3210200000000007</v>
      </c>
      <c r="H12" s="148">
        <f>IF(宁波银行!H12=0,"",宁波银行!H12)</f>
        <v>11.085839999999999</v>
      </c>
      <c r="I12" s="148">
        <f>IF(宁波银行!I12=0,"",宁波银行!I12)</f>
        <v>15.25221</v>
      </c>
      <c r="J12" s="148">
        <f>IF(宁波银行!J12=0,"",宁波银行!J12)</f>
        <v>18.628299999999999</v>
      </c>
      <c r="K12" s="148">
        <f>IF(宁波银行!K12=0,"",宁波银行!K12)</f>
        <v>23.616109999999999</v>
      </c>
      <c r="L12" s="148">
        <f>IF(宁波银行!L12=0,"",宁波银行!L12)</f>
        <v>25.75413</v>
      </c>
      <c r="M12" s="148">
        <f>IF(宁波银行!M12=0,"",宁波银行!M12)</f>
        <v>27.654689999999999</v>
      </c>
      <c r="N12" s="148">
        <f>IF(宁波银行!N12=0,"",宁波银行!N12)</f>
        <v>29.55</v>
      </c>
      <c r="O12" t="str">
        <f>IF(工商银行!O12=0,"",工商银行!O12)</f>
        <v/>
      </c>
      <c r="P12" t="str">
        <f>IF(工商银行!P13=0,"",工商银行!P13)</f>
        <v/>
      </c>
    </row>
    <row r="13" spans="1:16">
      <c r="A13" s="24" t="str">
        <f>IF(宁波银行!A13=0,"",宁波银行!A13)</f>
        <v>贷款总额</v>
      </c>
      <c r="B13" s="148">
        <f>IF(宁波银行!B13=0,"",宁波银行!B13)</f>
        <v>281.34899000000001</v>
      </c>
      <c r="C13" s="148">
        <f>IF(宁波银行!C13=0,"",宁波银行!C13)</f>
        <v>365.02456276610002</v>
      </c>
      <c r="D13" s="148">
        <f>IF(宁波银行!D13=0,"",宁波银行!D13)</f>
        <v>491.55965919210001</v>
      </c>
      <c r="E13" s="148">
        <f>IF(宁波银行!E13=0,"",宁波银行!E13)</f>
        <v>818.63849000000005</v>
      </c>
      <c r="F13" s="148">
        <f>IF(宁波银行!F13=0,"",宁波银行!F13)</f>
        <v>3255.98</v>
      </c>
      <c r="G13" s="148">
        <f>IF(宁波银行!G13=0,"",宁波银行!G13)</f>
        <v>1227.4511</v>
      </c>
      <c r="H13" s="148">
        <f>IF(宁波银行!H13=0,"",宁波银行!H13)</f>
        <v>1456.17543</v>
      </c>
      <c r="I13" s="148">
        <f>IF(宁波银行!I13=0,"",宁波银行!I13)</f>
        <v>1711.8966600000001</v>
      </c>
      <c r="J13" s="148">
        <f>IF(宁波银行!J13=0,"",宁波银行!J13)</f>
        <v>2100.6218199999998</v>
      </c>
      <c r="K13" s="148">
        <f>IF(宁波银行!K13=0,"",宁波银行!K13)</f>
        <v>2556.8858</v>
      </c>
      <c r="L13" s="148">
        <f>IF(宁波银行!L13=0,"",宁波银行!L13)</f>
        <v>2824.8405299999999</v>
      </c>
      <c r="M13" s="148">
        <f>IF(宁波银行!M13=0,"",宁波银行!M13)</f>
        <v>3025.0667800000001</v>
      </c>
      <c r="N13" s="148">
        <f>IF(宁波银行!N13=0,"",宁波银行!N13)</f>
        <v>3256.98</v>
      </c>
      <c r="O13" t="str">
        <f>IF(工商银行!O13=0,"",工商银行!O13)</f>
        <v/>
      </c>
      <c r="P13" t="str">
        <f>IF(工商银行!P14=0,"",工商银行!P14)</f>
        <v/>
      </c>
    </row>
    <row r="14" spans="1:16">
      <c r="A14" s="24" t="str">
        <f>IF(宁波银行!A14=0,"",宁波银行!A14)</f>
        <v/>
      </c>
      <c r="B14" s="148" t="str">
        <f>IF(宁波银行!B14=0,"",宁波银行!B14)</f>
        <v/>
      </c>
      <c r="C14" s="148" t="str">
        <f>IF(宁波银行!C14=0,"",宁波银行!C14)</f>
        <v/>
      </c>
      <c r="D14" s="25" t="str">
        <f>IF(宁波银行!D14=0,"",宁波银行!D14)</f>
        <v/>
      </c>
      <c r="E14" s="25" t="str">
        <f>IF(宁波银行!E14=0,"",宁波银行!E14)</f>
        <v/>
      </c>
      <c r="F14" s="25" t="str">
        <f>IF(宁波银行!F14=0,"",宁波银行!F14)</f>
        <v/>
      </c>
      <c r="G14" s="25" t="str">
        <f>IF(宁波银行!G14=0,"",宁波银行!G14)</f>
        <v/>
      </c>
      <c r="H14" s="25" t="str">
        <f>IF(宁波银行!H14=0,"",宁波银行!H14)</f>
        <v/>
      </c>
      <c r="I14" s="25" t="str">
        <f>IF(宁波银行!I14=0,"",宁波银行!I14)</f>
        <v/>
      </c>
      <c r="J14" s="25" t="str">
        <f>IF(宁波银行!J14=0,"",宁波银行!J14)</f>
        <v/>
      </c>
      <c r="K14" s="25" t="str">
        <f>IF(宁波银行!K14=0,"",宁波银行!K14)</f>
        <v/>
      </c>
      <c r="L14" s="25" t="str">
        <f>IF(宁波银行!L14=0,"",宁波银行!L14)</f>
        <v/>
      </c>
      <c r="M14" s="25" t="str">
        <f>IF(宁波银行!M14=0,"",宁波银行!M14)</f>
        <v/>
      </c>
      <c r="N14" s="25" t="str">
        <f>IF(宁波银行!N14=0,"",宁波银行!N14)</f>
        <v/>
      </c>
      <c r="O14" t="str">
        <f>IF(工商银行!O14=0,"",工商银行!O14)</f>
        <v/>
      </c>
      <c r="P14" t="str">
        <f>IF(工商银行!P15=0,"",工商银行!P15)</f>
        <v/>
      </c>
    </row>
    <row r="15" spans="1:16" s="24" customFormat="1" ht="13.5">
      <c r="A15" s="24" t="str">
        <f>IF(宁波银行!A15=0,"",宁波银行!A15)</f>
        <v/>
      </c>
      <c r="B15" s="379" t="str">
        <f>IF(宁波银行!B15=0,"",宁波银行!B15)</f>
        <v>备注：不良净生成额=期末不良余额-期初不良余额+核销及转出</v>
      </c>
      <c r="C15" s="380" t="str">
        <f>IF(宁波银行!C15=0,"",宁波银行!C15)</f>
        <v/>
      </c>
      <c r="D15" s="24" t="str">
        <f>IF(宁波银行!D15=0,"",宁波银行!D15)</f>
        <v/>
      </c>
      <c r="E15" s="24" t="str">
        <f>IF(宁波银行!E15=0,"",宁波银行!E15)</f>
        <v/>
      </c>
      <c r="F15" s="24" t="str">
        <f>IF(宁波银行!F15=0,"",宁波银行!F15)</f>
        <v/>
      </c>
      <c r="G15" s="24" t="str">
        <f>IF(宁波银行!G15=0,"",宁波银行!G15)</f>
        <v/>
      </c>
      <c r="H15" s="24" t="str">
        <f>IF(宁波银行!H15=0,"",宁波银行!H15)</f>
        <v/>
      </c>
      <c r="I15" s="24" t="str">
        <f>IF(宁波银行!I15=0,"",宁波银行!I15)</f>
        <v/>
      </c>
      <c r="J15" s="24" t="str">
        <f>IF(宁波银行!J15=0,"",宁波银行!J15)</f>
        <v/>
      </c>
      <c r="K15" s="24" t="str">
        <f>IF(宁波银行!K15=0,"",宁波银行!K15)</f>
        <v/>
      </c>
      <c r="L15" s="24" t="str">
        <f>IF(宁波银行!L15=0,"",宁波银行!L15)</f>
        <v/>
      </c>
      <c r="M15" s="24" t="str">
        <f>IF(宁波银行!M15=0,"",宁波银行!M15)</f>
        <v/>
      </c>
      <c r="N15" s="24" t="str">
        <f>IF(宁波银行!N15=0,"",宁波银行!N15)</f>
        <v/>
      </c>
      <c r="O15" s="24" t="str">
        <f>IF(工商银行!O15=0,"",工商银行!O15)</f>
        <v/>
      </c>
      <c r="P15" s="24" t="str">
        <f>IF(工商银行!P16=0,"",工商银行!P16)</f>
        <v/>
      </c>
    </row>
    <row r="16" spans="1:16" s="24" customFormat="1" ht="13.5">
      <c r="A16" s="24" t="str">
        <f>IF(宁波银行!A16=0,"",宁波银行!A16)</f>
        <v/>
      </c>
      <c r="B16" s="379" t="str">
        <f>IF(宁波银行!B16=0,"",宁波银行!B16)</f>
        <v>两版计算结果不一样的原因是：</v>
      </c>
      <c r="C16" s="380" t="str">
        <f>IF(宁波银行!C16=0,"",宁波银行!C16)</f>
        <v/>
      </c>
      <c r="D16" s="24" t="str">
        <f>IF(宁波银行!D16=0,"",宁波银行!D16)</f>
        <v/>
      </c>
      <c r="E16" s="24" t="str">
        <f>IF(宁波银行!E16=0,"",宁波银行!E16)</f>
        <v/>
      </c>
      <c r="F16" s="24" t="str">
        <f>IF(宁波银行!F16=0,"",宁波银行!F16)</f>
        <v/>
      </c>
      <c r="G16" s="24" t="str">
        <f>IF(宁波银行!G16=0,"",宁波银行!G16)</f>
        <v/>
      </c>
      <c r="H16" s="24" t="str">
        <f>IF(宁波银行!H16=0,"",宁波银行!H16)</f>
        <v/>
      </c>
      <c r="I16" s="24" t="str">
        <f>IF(宁波银行!I16=0,"",宁波银行!I16)</f>
        <v/>
      </c>
      <c r="J16" s="24" t="str">
        <f>IF(宁波银行!J16=0,"",宁波银行!J16)</f>
        <v/>
      </c>
      <c r="K16" s="24" t="str">
        <f>IF(宁波银行!K16=0,"",宁波银行!K16)</f>
        <v/>
      </c>
      <c r="L16" s="24" t="str">
        <f>IF(宁波银行!L16=0,"",宁波银行!L16)</f>
        <v/>
      </c>
      <c r="M16" s="24" t="str">
        <f>IF(宁波银行!M16=0,"",宁波银行!M16)</f>
        <v/>
      </c>
      <c r="N16" s="24" t="str">
        <f>IF(宁波银行!N16=0,"",宁波银行!N16)</f>
        <v/>
      </c>
      <c r="O16" s="24" t="str">
        <f>IF(工商银行!O16=0,"",工商银行!O16)</f>
        <v/>
      </c>
      <c r="P16" s="24" t="e">
        <f>IF(工商银行!#REF!=0,"",工商银行!#REF!)</f>
        <v>#REF!</v>
      </c>
    </row>
    <row r="17" spans="1:16" s="24" customFormat="1" ht="13.5">
      <c r="A17" s="24" t="str">
        <f>IF(宁波银行!A17=0,"",宁波银行!A17)</f>
        <v/>
      </c>
      <c r="B17" s="379" t="str">
        <f>IF(宁波银行!B17=0,"",宁波银行!B17)</f>
        <v xml:space="preserve">1）旧版的基础数据，在摘录的时候把“收回”科目错误的放到了“核销及转出”科目下。新版做了调整。 </v>
      </c>
      <c r="C17" s="380" t="str">
        <f>IF(宁波银行!C17=0,"",宁波银行!C17)</f>
        <v/>
      </c>
      <c r="D17" s="24" t="str">
        <f>IF(宁波银行!D17=0,"",宁波银行!D17)</f>
        <v/>
      </c>
      <c r="E17" s="24" t="str">
        <f>IF(宁波银行!E17=0,"",宁波银行!E17)</f>
        <v/>
      </c>
      <c r="F17" s="24" t="str">
        <f>IF(宁波银行!F17=0,"",宁波银行!F17)</f>
        <v/>
      </c>
      <c r="G17" s="24" t="str">
        <f>IF(宁波银行!G17=0,"",宁波银行!G17)</f>
        <v/>
      </c>
      <c r="H17" s="24" t="str">
        <f>IF(宁波银行!H17=0,"",宁波银行!H17)</f>
        <v/>
      </c>
      <c r="I17" s="24" t="str">
        <f>IF(宁波银行!I17=0,"",宁波银行!I17)</f>
        <v/>
      </c>
      <c r="J17" s="24" t="str">
        <f>IF(宁波银行!J17=0,"",宁波银行!J17)</f>
        <v/>
      </c>
      <c r="K17" s="24" t="str">
        <f>IF(宁波银行!K17=0,"",宁波银行!K17)</f>
        <v/>
      </c>
      <c r="L17" s="24" t="str">
        <f>IF(宁波银行!L17=0,"",宁波银行!L17)</f>
        <v/>
      </c>
      <c r="M17" s="24" t="str">
        <f>IF(宁波银行!M17=0,"",宁波银行!M17)</f>
        <v/>
      </c>
      <c r="N17" s="24" t="str">
        <f>IF(宁波银行!N17=0,"",宁波银行!N17)</f>
        <v/>
      </c>
      <c r="O17" s="24" t="str">
        <f>IF(工商银行!O17=0,"",工商银行!O17)</f>
        <v/>
      </c>
      <c r="P17" s="24" t="str">
        <f>IF(工商银行!P17=0,"",工商银行!P17)</f>
        <v/>
      </c>
    </row>
    <row r="18" spans="1:16" s="24" customFormat="1" ht="13.5">
      <c r="A18" s="24" t="str">
        <f>IF(宁波银行!A18=0,"",宁波银行!A18)</f>
        <v/>
      </c>
      <c r="B18" s="379" t="str">
        <f>IF(宁波银行!B18=0,"",宁波银行!B18)</f>
        <v>2）导致的计算结果的不同是：旧版把“收回”部分当成了“转出”，相当于多减了一部分，造成数据差异。以此版为准。</v>
      </c>
      <c r="C18" s="380" t="str">
        <f>IF(宁波银行!C18=0,"",宁波银行!C18)</f>
        <v/>
      </c>
      <c r="D18" s="24" t="str">
        <f>IF(宁波银行!D18=0,"",宁波银行!D18)</f>
        <v/>
      </c>
      <c r="E18" s="24" t="str">
        <f>IF(宁波银行!E18=0,"",宁波银行!E18)</f>
        <v/>
      </c>
      <c r="F18" s="24" t="str">
        <f>IF(宁波银行!F18=0,"",宁波银行!F18)</f>
        <v/>
      </c>
      <c r="G18" s="24" t="str">
        <f>IF(宁波银行!G18=0,"",宁波银行!G18)</f>
        <v/>
      </c>
      <c r="H18" s="24" t="str">
        <f>IF(宁波银行!H18=0,"",宁波银行!H18)</f>
        <v/>
      </c>
      <c r="I18" s="24" t="str">
        <f>IF(宁波银行!I18=0,"",宁波银行!I18)</f>
        <v/>
      </c>
      <c r="J18" s="24" t="str">
        <f>IF(宁波银行!J18=0,"",宁波银行!J18)</f>
        <v/>
      </c>
      <c r="K18" s="24" t="str">
        <f>IF(宁波银行!K18=0,"",宁波银行!K18)</f>
        <v/>
      </c>
      <c r="L18" s="24" t="str">
        <f>IF(宁波银行!L18=0,"",宁波银行!L18)</f>
        <v/>
      </c>
      <c r="M18" s="24" t="str">
        <f>IF(宁波银行!M18=0,"",宁波银行!M18)</f>
        <v/>
      </c>
      <c r="N18" s="24" t="str">
        <f>IF(宁波银行!N18=0,"",宁波银行!N18)</f>
        <v/>
      </c>
      <c r="O18" s="24" t="str">
        <f>IF(工商银行!O18=0,"",工商银行!O18)</f>
        <v/>
      </c>
      <c r="P18" s="24" t="str">
        <f>IF(工商银行!P18=0,"",工商银行!P18)</f>
        <v/>
      </c>
    </row>
    <row r="19" spans="1:16">
      <c r="A19" s="24" t="str">
        <f>IF(宁波银行!A19=0,"",宁波银行!A19)</f>
        <v/>
      </c>
      <c r="B19" s="148" t="str">
        <f>IF(宁波银行!B19=0,"",宁波银行!B19)</f>
        <v/>
      </c>
      <c r="C19" s="148" t="str">
        <f>IF(宁波银行!C19=0,"",宁波银行!C19)</f>
        <v/>
      </c>
      <c r="D19" s="25" t="str">
        <f>IF(宁波银行!D19=0,"",宁波银行!D19)</f>
        <v/>
      </c>
      <c r="E19" s="25" t="str">
        <f>IF(宁波银行!E19=0,"",宁波银行!E19)</f>
        <v/>
      </c>
      <c r="F19" s="25" t="str">
        <f>IF(宁波银行!F19=0,"",宁波银行!F19)</f>
        <v/>
      </c>
      <c r="G19" s="25" t="str">
        <f>IF(宁波银行!G19=0,"",宁波银行!G19)</f>
        <v/>
      </c>
      <c r="H19" s="25" t="str">
        <f>IF(宁波银行!H19=0,"",宁波银行!H19)</f>
        <v/>
      </c>
      <c r="I19" s="25" t="str">
        <f>IF(宁波银行!I19=0,"",宁波银行!I19)</f>
        <v/>
      </c>
      <c r="J19" t="str">
        <f>IF(宁波银行!J19=0,"",宁波银行!J19)</f>
        <v/>
      </c>
      <c r="K19" t="str">
        <f>IF(宁波银行!K19=0,"",宁波银行!K19)</f>
        <v/>
      </c>
      <c r="L19" t="str">
        <f>IF(宁波银行!L19=0,"",宁波银行!L19)</f>
        <v/>
      </c>
      <c r="M19" t="str">
        <f>IF(宁波银行!M19=0,"",宁波银行!M19)</f>
        <v/>
      </c>
      <c r="N19" t="str">
        <f>IF(宁波银行!N19=0,"",宁波银行!N19)</f>
        <v/>
      </c>
      <c r="O19" t="str">
        <f>IF(工商银行!O19=0,"",工商银行!O19)</f>
        <v/>
      </c>
      <c r="P19" t="str">
        <f>IF(工商银行!P19=0,"",工商银行!P19)</f>
        <v/>
      </c>
    </row>
    <row r="20" spans="1:16">
      <c r="A20" s="31" t="str">
        <f>IF(宁波银行!A20=0,"",宁波银行!A20)</f>
        <v/>
      </c>
      <c r="B20" s="250">
        <f>IF(宁波银行!B20=0,"",宁波银行!B20)</f>
        <v>2007</v>
      </c>
      <c r="C20" s="203">
        <f>IF(宁波银行!C20=0,"",宁波银行!C20)</f>
        <v>2008</v>
      </c>
      <c r="D20" s="32">
        <f>IF(宁波银行!D20=0,"",宁波银行!D20)</f>
        <v>2009</v>
      </c>
      <c r="E20" s="32">
        <f>IF(宁波银行!E20=0,"",宁波银行!E20)</f>
        <v>2010</v>
      </c>
      <c r="F20" s="32">
        <f>IF(宁波银行!F20=0,"",宁波银行!F20)</f>
        <v>2011</v>
      </c>
      <c r="G20" s="32">
        <f>IF(宁波银行!G20=0,"",宁波银行!G20)</f>
        <v>2012</v>
      </c>
      <c r="H20" s="251">
        <f>IF(宁波银行!H20=0,"",宁波银行!H20)</f>
        <v>2013</v>
      </c>
      <c r="I20" s="251">
        <f>IF(宁波银行!I20=0,"",宁波银行!I20)</f>
        <v>2014</v>
      </c>
      <c r="J20" s="251">
        <f>IF(宁波银行!J20=0,"",宁波银行!J20)</f>
        <v>2015</v>
      </c>
      <c r="K20" s="251">
        <f>IF(宁波银行!K20=0,"",宁波银行!K20)</f>
        <v>2016</v>
      </c>
      <c r="L20" s="33" t="str">
        <f>IF(宁波银行!L20=0,"",宁波银行!L20)</f>
        <v>2017H</v>
      </c>
      <c r="M20" t="str">
        <f>IF(宁波银行!M20=0,"",宁波银行!M20)</f>
        <v/>
      </c>
      <c r="N20" t="str">
        <f>IF(宁波银行!N20=0,"",宁波银行!N20)</f>
        <v/>
      </c>
      <c r="O20" t="str">
        <f>IF(工商银行!O20=0,"",工商银行!O20)</f>
        <v/>
      </c>
      <c r="P20" t="str">
        <f>IF(工商银行!P20=0,"",工商银行!P20)</f>
        <v/>
      </c>
    </row>
    <row r="21" spans="1:16">
      <c r="A21" s="29" t="str">
        <f>IF(宁波银行!A21=0,"",宁波银行!A21)</f>
        <v>计提</v>
      </c>
      <c r="B21" s="252">
        <f>IF(宁波银行!B21=0,"",宁波银行!B21)</f>
        <v>0.98621000000000003</v>
      </c>
      <c r="C21" s="253">
        <f>IF(宁波银行!C21=0,"",宁波银行!C21)</f>
        <v>2.5722999999999998</v>
      </c>
      <c r="D21" s="253">
        <f>IF(宁波银行!D21=0,"",宁波银行!D21)</f>
        <v>4.2176900000000002</v>
      </c>
      <c r="E21" s="253">
        <f>IF(宁波银行!E21=0,"",宁波银行!E21)</f>
        <v>3.65801</v>
      </c>
      <c r="F21" s="253">
        <f>IF(宁波银行!F21=0,"",宁波银行!F21)</f>
        <v>6.3628600000000004</v>
      </c>
      <c r="G21" s="253">
        <f>IF(宁波银行!G21=0,"",宁波银行!G21)</f>
        <v>10.76</v>
      </c>
      <c r="H21" s="253">
        <f>IF(宁波银行!H21=0,"",宁波银行!H21)</f>
        <v>13.19</v>
      </c>
      <c r="I21" s="253">
        <f>IF(宁波银行!I21=0,"",宁波银行!I21)</f>
        <v>24.2</v>
      </c>
      <c r="J21" s="253">
        <f>IF(宁波银行!J21=0,NA(),宁波银行!J21)</f>
        <v>38.36</v>
      </c>
      <c r="K21" s="253">
        <f>IF(宁波银行!K21=0,NA(),宁波银行!K21)</f>
        <v>50.42</v>
      </c>
      <c r="L21" s="260">
        <f>IF(宁波银行!L21=0,NA(),宁波银行!L21)</f>
        <v>29.375879999999999</v>
      </c>
      <c r="M21" t="str">
        <f>IF(宁波银行!M21=0,"",宁波银行!M21)</f>
        <v/>
      </c>
      <c r="N21" t="str">
        <f>IF(宁波银行!N21=0,"",宁波银行!N21)</f>
        <v/>
      </c>
      <c r="O21" t="str">
        <f>IF(工商银行!O21=0,"",工商银行!O21)</f>
        <v/>
      </c>
      <c r="P21" t="str">
        <f>IF(工商银行!P21=0,"",工商银行!P21)</f>
        <v/>
      </c>
    </row>
    <row r="22" spans="1:16">
      <c r="A22" s="29" t="str">
        <f>IF(宁波银行!A22=0,"",宁波银行!A22)</f>
        <v>核销+转出</v>
      </c>
      <c r="B22" s="311">
        <f>IF(宁波银行!B22=0,"",宁波银行!B22)</f>
        <v>-2.4539999999999999E-2</v>
      </c>
      <c r="C22" s="312">
        <f>IF(宁波银行!C22=0,"",宁波银行!C22)</f>
        <v>-0.35515999999999998</v>
      </c>
      <c r="D22" s="312">
        <f>IF(宁波银行!D22=0,"",宁波银行!D22)</f>
        <v>4.3970000000000009E-2</v>
      </c>
      <c r="E22" s="312">
        <f>IF(宁波银行!E22=0,"",宁波银行!E22)</f>
        <v>-0.70311000000000001</v>
      </c>
      <c r="F22" s="312" t="str">
        <f>IF(宁波银行!F22=0,"",宁波银行!F22)</f>
        <v/>
      </c>
      <c r="G22" s="312">
        <f>IF(宁波银行!G22=0,"",宁波银行!G22)</f>
        <v>-0.15</v>
      </c>
      <c r="H22" s="312">
        <f>IF(宁波银行!H22=0,"",宁波银行!H22)</f>
        <v>-4.57</v>
      </c>
      <c r="I22" s="312">
        <f>IF(宁波银行!I22=0,"",宁波银行!I22)</f>
        <v>-9.83</v>
      </c>
      <c r="J22" s="312">
        <f>IF(宁波银行!J22=0,NA(),宁波银行!J22)</f>
        <v>-19.28</v>
      </c>
      <c r="K22" s="312">
        <f>IF(宁波银行!K22=0,NA(),宁波银行!K22)</f>
        <v>-28.49</v>
      </c>
      <c r="L22" s="313">
        <f>IF(宁波银行!L22=0,NA(),宁波银行!L22)</f>
        <v>-11.562530000000001</v>
      </c>
      <c r="M22" t="str">
        <f>IF(宁波银行!M22=0,"",宁波银行!M22)</f>
        <v/>
      </c>
      <c r="N22" t="str">
        <f>IF(宁波银行!N22=0,"",宁波银行!N22)</f>
        <v/>
      </c>
      <c r="O22" t="str">
        <f>IF(工商银行!O22=0,"",工商银行!O22)</f>
        <v/>
      </c>
      <c r="P22" t="str">
        <f>IF(工商银行!P22=0,"",工商银行!P22)</f>
        <v/>
      </c>
    </row>
    <row r="23" spans="1:16">
      <c r="A23" s="30" t="str">
        <f>IF(宁波银行!A23=0,"",宁波银行!A23)</f>
        <v/>
      </c>
      <c r="B23" s="314" t="str">
        <f>IF(宁波银行!B23=0,"",宁波银行!B23)</f>
        <v/>
      </c>
      <c r="C23" s="315" t="str">
        <f>IF(宁波银行!C23=0,"",宁波银行!C23)</f>
        <v/>
      </c>
      <c r="D23" s="315" t="str">
        <f>IF(宁波银行!D23=0,"",宁波银行!D23)</f>
        <v/>
      </c>
      <c r="E23" s="315" t="str">
        <f>IF(宁波银行!E23=0,"",宁波银行!E23)</f>
        <v/>
      </c>
      <c r="F23" s="315" t="str">
        <f>IF(宁波银行!F23=0,"",宁波银行!F23)</f>
        <v/>
      </c>
      <c r="G23" s="315" t="str">
        <f>IF(宁波银行!G23=0,"",宁波银行!G23)</f>
        <v/>
      </c>
      <c r="H23" s="315" t="str">
        <f>IF(宁波银行!H23=0,"",宁波银行!H23)</f>
        <v/>
      </c>
      <c r="I23" s="315" t="str">
        <f>IF(宁波银行!I23=0,"",宁波银行!I23)</f>
        <v/>
      </c>
      <c r="J23" s="315" t="e">
        <f>IF(宁波银行!J23=0,NA(),宁波银行!J23)</f>
        <v>#N/A</v>
      </c>
      <c r="K23" s="315" t="e">
        <f>IF(宁波银行!K23=0,NA(),宁波银行!K23)</f>
        <v>#N/A</v>
      </c>
      <c r="L23" s="316" t="e">
        <f>IF(宁波银行!L23=0,NA(),宁波银行!L23)</f>
        <v>#N/A</v>
      </c>
      <c r="M23" t="str">
        <f>IF(宁波银行!M23=0,"",宁波银行!M23)</f>
        <v/>
      </c>
      <c r="N23" t="str">
        <f>IF(宁波银行!N23=0,"",宁波银行!N23)</f>
        <v/>
      </c>
      <c r="O23" t="str">
        <f>IF(工商银行!O23=0,"",工商银行!O23)</f>
        <v/>
      </c>
      <c r="P23" t="str">
        <f>IF(工商银行!P23=0,"",工商银行!P23)</f>
        <v/>
      </c>
    </row>
    <row r="24" spans="1:16">
      <c r="A24" s="24" t="str">
        <f>IF(宁波银行!A24=0,"",宁波银行!A24)</f>
        <v/>
      </c>
      <c r="B24" s="148" t="str">
        <f>IF(宁波银行!B24=0,"",宁波银行!B24)</f>
        <v/>
      </c>
      <c r="C24" s="148" t="str">
        <f>IF(宁波银行!C24=0,"",宁波银行!C24)</f>
        <v/>
      </c>
      <c r="D24" s="25" t="str">
        <f>IF(宁波银行!D24=0,"",宁波银行!D24)</f>
        <v/>
      </c>
      <c r="E24" s="25" t="str">
        <f>IF(宁波银行!E24=0,"",宁波银行!E24)</f>
        <v/>
      </c>
      <c r="F24" s="25" t="str">
        <f>IF(宁波银行!F24=0,"",宁波银行!F24)</f>
        <v/>
      </c>
      <c r="G24" s="25" t="str">
        <f>IF(宁波银行!G24=0,"",宁波银行!G24)</f>
        <v/>
      </c>
      <c r="H24" s="25" t="str">
        <f>IF(宁波银行!H24=0,"",宁波银行!H24)</f>
        <v/>
      </c>
      <c r="I24" t="str">
        <f>IF(宁波银行!I24=0,"",宁波银行!I24)</f>
        <v/>
      </c>
      <c r="J24" t="str">
        <f>IF(宁波银行!J24=0,"",宁波银行!J24)</f>
        <v/>
      </c>
      <c r="K24" t="str">
        <f>IF(宁波银行!K24=0,"",宁波银行!K24)</f>
        <v/>
      </c>
      <c r="L24" t="str">
        <f>IF(宁波银行!L24=0,"",宁波银行!L24)</f>
        <v/>
      </c>
      <c r="M24" t="str">
        <f>IF(宁波银行!M24=0,"",宁波银行!M24)</f>
        <v/>
      </c>
      <c r="N24" t="str">
        <f>IF(宁波银行!N24=0,"",宁波银行!N24)</f>
        <v/>
      </c>
      <c r="O24" t="str">
        <f>IF(工商银行!O24=0,"",工商银行!O24)</f>
        <v/>
      </c>
      <c r="P24" t="str">
        <f>IF(工商银行!P24=0,"",工商银行!P24)</f>
        <v/>
      </c>
    </row>
    <row r="25" spans="1:16">
      <c r="A25" s="31" t="str">
        <f>IF(宁波银行!A25=0,"",宁波银行!A25)</f>
        <v/>
      </c>
      <c r="B25" s="203">
        <f>IF(宁波银行!B25=0,"",宁波银行!B25)</f>
        <v>2007</v>
      </c>
      <c r="C25" s="203">
        <f>IF(宁波银行!C25=0,"",宁波银行!C25)</f>
        <v>2008</v>
      </c>
      <c r="D25" s="32">
        <f>IF(宁波银行!D25=0,"",宁波银行!D25)</f>
        <v>2009</v>
      </c>
      <c r="E25" s="32">
        <f>IF(宁波银行!E25=0,"",宁波银行!E25)</f>
        <v>2010</v>
      </c>
      <c r="F25" s="32">
        <f>IF(宁波银行!F25=0,"",宁波银行!F25)</f>
        <v>2011</v>
      </c>
      <c r="G25" s="32">
        <f>IF(宁波银行!G25=0,"",宁波银行!G25)</f>
        <v>2012</v>
      </c>
      <c r="H25" s="32">
        <f>IF(宁波银行!H25=0,"",宁波银行!H25)</f>
        <v>2013</v>
      </c>
      <c r="I25" s="32">
        <f>IF(宁波银行!I25=0,"",宁波银行!I25)</f>
        <v>2014</v>
      </c>
      <c r="J25" s="32">
        <f>IF(宁波银行!J25=0,"",宁波银行!J25)</f>
        <v>2015</v>
      </c>
      <c r="K25" s="32">
        <f>IF(宁波银行!K25=0,"",宁波银行!K25)</f>
        <v>2016</v>
      </c>
      <c r="L25" s="33" t="str">
        <f>IF(宁波银行!L25=0,"",宁波银行!L25)</f>
        <v>2017H</v>
      </c>
      <c r="M25" t="str">
        <f>IF(宁波银行!M25=0,"",宁波银行!M25)</f>
        <v/>
      </c>
      <c r="N25" t="str">
        <f>IF(宁波银行!N25=0,"",宁波银行!N25)</f>
        <v/>
      </c>
      <c r="O25" t="str">
        <f>IF(工商银行!O25=0,"",工商银行!O25)</f>
        <v/>
      </c>
      <c r="P25" t="str">
        <f>IF(工商银行!P25=0,"",工商银行!P25)</f>
        <v/>
      </c>
    </row>
    <row r="26" spans="1:16">
      <c r="A26" s="29" t="str">
        <f>IF(宁波银行!A26=0,"",宁波银行!A26)</f>
        <v>不良生成额</v>
      </c>
      <c r="B26" s="312">
        <f>IF(宁波银行!B26=0,"",宁波银行!B26)</f>
        <v>0.40683999999999998</v>
      </c>
      <c r="C26" s="312">
        <f>IF(宁波银行!C26=0,"",宁波银行!C26)</f>
        <v>3.5762104376000003</v>
      </c>
      <c r="D26" s="312">
        <f>IF(宁波银行!D26=0,"",宁波银行!D26)</f>
        <v>1.8791295624</v>
      </c>
      <c r="E26" s="312">
        <f>IF(宁波银行!E26=0,"",宁波银行!E26)</f>
        <v>22.808060000000001</v>
      </c>
      <c r="F26" s="312">
        <f>IF(宁波银行!F26=0,"",宁波银行!F26)</f>
        <v>-20.22898</v>
      </c>
      <c r="G26" s="312">
        <f>IF(宁波银行!G26=0,"",宁波银行!G26)</f>
        <v>2.9148199999999984</v>
      </c>
      <c r="H26" s="312">
        <f>IF(宁波银行!H26=0,"",宁波银行!H26)</f>
        <v>8.7363700000000009</v>
      </c>
      <c r="I26" s="312">
        <f>IF(宁波银行!I26=0,"",宁波银行!I26)</f>
        <v>13.20609</v>
      </c>
      <c r="J26" s="312">
        <f>IF(宁波银行!J26=0,NA(),宁波银行!J26)</f>
        <v>24.267810000000001</v>
      </c>
      <c r="K26" s="312">
        <f>IF(宁波银行!K26=0,NA(),宁波银行!K26)</f>
        <v>32.528579999999998</v>
      </c>
      <c r="L26" s="313">
        <f>IF(宁波银行!L26=0,NA(),宁波银行!L26)</f>
        <v>13.457840000000003</v>
      </c>
      <c r="M26" t="str">
        <f>IF(宁波银行!M26=0,"",宁波银行!M26)</f>
        <v/>
      </c>
      <c r="N26" t="str">
        <f>IF(宁波银行!N26=0,"",宁波银行!N26)</f>
        <v/>
      </c>
      <c r="O26" t="str">
        <f>IF(工商银行!O26=0,"",工商银行!O26)</f>
        <v/>
      </c>
      <c r="P26" t="str">
        <f>IF(工商银行!P26=0,"",工商银行!P26)</f>
        <v/>
      </c>
    </row>
    <row r="27" spans="1:16">
      <c r="A27" s="30" t="str">
        <f>IF(宁波银行!A27=0,"",宁波银行!A27)</f>
        <v>不良生成率</v>
      </c>
      <c r="B27" s="34">
        <f>IF(宁波银行!B27=0,"",宁波银行!B27)</f>
        <v>1.4460332699257246E-3</v>
      </c>
      <c r="C27" s="34">
        <f>IF(宁波银行!C27=0,"",宁波银行!C27)</f>
        <v>9.7971775118365391E-3</v>
      </c>
      <c r="D27" s="34">
        <f>IF(宁波银行!D27=0,"",宁波银行!D27)</f>
        <v>3.8227904329831142E-3</v>
      </c>
      <c r="E27" s="34">
        <f>IF(宁波银行!E27=0,"",宁波银行!E27)</f>
        <v>2.7860967055189402E-2</v>
      </c>
      <c r="F27" s="34">
        <f>IF(宁波银行!F27=0,"",宁波银行!F27)</f>
        <v>-6.2128698579229603E-3</v>
      </c>
      <c r="G27" s="34">
        <f>IF(宁波银行!G27=0,"",宁波银行!G27)</f>
        <v>2.3746933788238067E-3</v>
      </c>
      <c r="H27" s="34">
        <f>IF(宁波银行!H27=0,"",宁波银行!H27)</f>
        <v>5.9995312515333408E-3</v>
      </c>
      <c r="I27" s="34">
        <f>IF(宁波银行!I27=0,"",宁波银行!I27)</f>
        <v>7.7143032687498779E-3</v>
      </c>
      <c r="J27" s="34">
        <f>IF(宁波银行!J27=0,NA(),宁波银行!J27)</f>
        <v>1.1552679196677107E-2</v>
      </c>
      <c r="K27" s="34">
        <f>IF(宁波银行!K27=0,NA(),宁波银行!K27)</f>
        <v>1.2721952619080601E-2</v>
      </c>
      <c r="L27" s="35">
        <f>IF(宁波银行!L27=0,NA(),宁波银行!L27)</f>
        <v>8.8975490319588933E-3</v>
      </c>
      <c r="M27" t="str">
        <f>IF(宁波银行!M27=0,"",宁波银行!M27)</f>
        <v/>
      </c>
      <c r="N27" t="str">
        <f>IF(宁波银行!N27=0,"",宁波银行!N27)</f>
        <v/>
      </c>
      <c r="O27" t="str">
        <f>IF(工商银行!O27=0,"",工商银行!O27)</f>
        <v/>
      </c>
      <c r="P27" t="str">
        <f>IF(工商银行!P27=0,"",工商银行!P27)</f>
        <v/>
      </c>
    </row>
    <row r="28" spans="1:16">
      <c r="B28" s="25" t="str">
        <f>IF(宁波银行!B28=0,"",宁波银行!B28)</f>
        <v/>
      </c>
      <c r="C28" s="25" t="str">
        <f>IF(宁波银行!C28=0,"",宁波银行!C28)</f>
        <v/>
      </c>
      <c r="D28" s="25" t="str">
        <f>IF(宁波银行!D28=0,"",宁波银行!D28)</f>
        <v/>
      </c>
      <c r="E28" s="25" t="str">
        <f>IF(宁波银行!E28=0,"",宁波银行!E28)</f>
        <v/>
      </c>
      <c r="F28" s="25" t="str">
        <f>IF(宁波银行!F28=0,"",宁波银行!F28)</f>
        <v/>
      </c>
      <c r="G28" s="25" t="str">
        <f>IF(宁波银行!G28=0,"",宁波银行!G28)</f>
        <v/>
      </c>
      <c r="H28" s="25" t="str">
        <f>IF(宁波银行!H28=0,"",宁波银行!H28)</f>
        <v/>
      </c>
      <c r="I28" s="25" t="str">
        <f>IF(宁波银行!I28=0,"",宁波银行!I28)</f>
        <v/>
      </c>
      <c r="J28" t="str">
        <f>IF(宁波银行!J28=0,"",宁波银行!J28)</f>
        <v/>
      </c>
      <c r="K28" t="str">
        <f>IF(宁波银行!K28=0,"",宁波银行!K28)</f>
        <v/>
      </c>
      <c r="L28" t="str">
        <f>IF(宁波银行!L28=0,"",宁波银行!L28)</f>
        <v/>
      </c>
      <c r="M28" t="str">
        <f>IF(宁波银行!M28=0,"",宁波银行!M28)</f>
        <v/>
      </c>
      <c r="N28" t="str">
        <f>IF(宁波银行!N28=0,"",宁波银行!N28)</f>
        <v/>
      </c>
      <c r="O28" t="str">
        <f>IF(工商银行!O28=0,"",工商银行!O28)</f>
        <v/>
      </c>
      <c r="P28" t="str">
        <f>IF(工商银行!P28=0,"",工商银行!P28)</f>
        <v/>
      </c>
    </row>
    <row r="29" spans="1:16" ht="30">
      <c r="A29" s="210" t="s">
        <v>191</v>
      </c>
      <c r="B29" s="25" t="str">
        <f>IF(宁波银行!B29=0,"",宁波银行!B29)</f>
        <v/>
      </c>
      <c r="C29" s="25" t="str">
        <f>IF(宁波银行!C29=0,"",宁波银行!C29)</f>
        <v/>
      </c>
      <c r="D29" s="25" t="str">
        <f>IF(宁波银行!D29=0,"",宁波银行!D29)</f>
        <v/>
      </c>
      <c r="E29" s="25" t="str">
        <f>IF(宁波银行!E29=0,"",宁波银行!E29)</f>
        <v/>
      </c>
      <c r="F29" s="25" t="str">
        <f>IF(宁波银行!F29=0,"",宁波银行!F29)</f>
        <v/>
      </c>
      <c r="G29" s="25" t="str">
        <f>IF(宁波银行!G29=0,"",宁波银行!G29)</f>
        <v/>
      </c>
      <c r="H29" s="25" t="str">
        <f>IF(宁波银行!H29=0,"",宁波银行!H29)</f>
        <v/>
      </c>
      <c r="I29" s="25" t="str">
        <f>IF(宁波银行!I29=0,"",宁波银行!I29)</f>
        <v/>
      </c>
      <c r="J29" t="str">
        <f>IF(宁波银行!J29=0,"",宁波银行!J29)</f>
        <v/>
      </c>
      <c r="K29" t="str">
        <f>IF(宁波银行!K29=0,"",宁波银行!K29)</f>
        <v/>
      </c>
      <c r="L29" t="str">
        <f>IF(宁波银行!L29=0,"",宁波银行!L29)</f>
        <v/>
      </c>
      <c r="M29" t="str">
        <f>IF(宁波银行!M29=0,"",宁波银行!M29)</f>
        <v/>
      </c>
      <c r="N29" t="str">
        <f>IF(宁波银行!N29=0,"",宁波银行!N29)</f>
        <v/>
      </c>
      <c r="O29" t="str">
        <f>IF(工商银行!O29=0,"",工商银行!O29)</f>
        <v/>
      </c>
      <c r="P29" t="str">
        <f>IF(工商银行!P29=0,"",工商银行!P29)</f>
        <v/>
      </c>
    </row>
    <row r="30" spans="1:16">
      <c r="B30" s="25" t="str">
        <f>IF(宁波银行!B30=0,"",宁波银行!B30)</f>
        <v/>
      </c>
      <c r="C30" s="25" t="str">
        <f>IF(宁波银行!C30=0,"",宁波银行!C30)</f>
        <v/>
      </c>
      <c r="D30" s="25" t="str">
        <f>IF(宁波银行!D30=0,"",宁波银行!D30)</f>
        <v/>
      </c>
      <c r="E30" s="25" t="str">
        <f>IF(宁波银行!E30=0,"",宁波银行!E30)</f>
        <v/>
      </c>
      <c r="F30" s="25" t="str">
        <f>IF(宁波银行!F30=0,"",宁波银行!F30)</f>
        <v/>
      </c>
      <c r="G30" s="25" t="str">
        <f>IF(宁波银行!G30=0,"",宁波银行!G30)</f>
        <v/>
      </c>
      <c r="H30" s="25" t="str">
        <f>IF(宁波银行!H30=0,"",宁波银行!H30)</f>
        <v/>
      </c>
      <c r="I30" s="25" t="str">
        <f>IF(宁波银行!I30=0,"",宁波银行!I30)</f>
        <v/>
      </c>
      <c r="J30" t="str">
        <f>IF(宁波银行!J30=0,"",宁波银行!J30)</f>
        <v/>
      </c>
      <c r="K30" t="str">
        <f>IF(宁波银行!K30=0,"",宁波银行!K30)</f>
        <v/>
      </c>
      <c r="L30" t="str">
        <f>IF(宁波银行!Q31=0,"",宁波银行!Q31)</f>
        <v/>
      </c>
      <c r="M30" t="str">
        <f>IF(宁波银行!R31=0,"",宁波银行!R31)</f>
        <v/>
      </c>
    </row>
    <row r="31" spans="1:16">
      <c r="A31" s="24" t="s">
        <v>192</v>
      </c>
    </row>
    <row r="32" spans="1:16" hidden="1">
      <c r="A32" s="24" t="str">
        <f>A2</f>
        <v>宁波银行</v>
      </c>
    </row>
    <row r="33" spans="1:1">
      <c r="A33" s="211" t="s">
        <v>78</v>
      </c>
    </row>
    <row r="34" spans="1:1" ht="17.649999999999999" customHeight="1"/>
    <row r="35" spans="1:1" ht="17.649999999999999" customHeight="1"/>
    <row r="36" spans="1:1" ht="17.649999999999999" customHeight="1"/>
    <row r="37" spans="1:1" ht="17.649999999999999" customHeight="1"/>
    <row r="38" spans="1:1" ht="17.649999999999999" customHeight="1"/>
    <row r="39" spans="1:1" ht="17.649999999999999" customHeight="1"/>
    <row r="40" spans="1:1" ht="17.649999999999999" customHeight="1"/>
    <row r="42" spans="1:1" hidden="1">
      <c r="A42" s="24" t="s">
        <v>12</v>
      </c>
    </row>
    <row r="43" spans="1:1" hidden="1">
      <c r="A43" s="24" t="s">
        <v>65</v>
      </c>
    </row>
    <row r="44" spans="1:1" hidden="1">
      <c r="A44" s="24" t="s">
        <v>66</v>
      </c>
    </row>
    <row r="45" spans="1:1" hidden="1">
      <c r="A45" s="24" t="s">
        <v>67</v>
      </c>
    </row>
    <row r="46" spans="1:1" hidden="1">
      <c r="A46" s="24" t="s">
        <v>68</v>
      </c>
    </row>
    <row r="47" spans="1:1" hidden="1">
      <c r="A47" s="24" t="s">
        <v>13</v>
      </c>
    </row>
    <row r="48" spans="1:1" hidden="1">
      <c r="A48" s="24" t="s">
        <v>69</v>
      </c>
    </row>
    <row r="49" spans="1:14" hidden="1">
      <c r="A49" s="24" t="s">
        <v>70</v>
      </c>
    </row>
    <row r="50" spans="1:14" hidden="1">
      <c r="A50" s="24" t="s">
        <v>71</v>
      </c>
    </row>
    <row r="51" spans="1:14" hidden="1">
      <c r="A51" s="24" t="s">
        <v>72</v>
      </c>
    </row>
    <row r="52" spans="1:14" hidden="1">
      <c r="A52" s="24" t="s">
        <v>73</v>
      </c>
    </row>
    <row r="53" spans="1:14" hidden="1">
      <c r="A53" s="24" t="s">
        <v>74</v>
      </c>
    </row>
    <row r="54" spans="1:14" hidden="1">
      <c r="A54" s="24" t="s">
        <v>75</v>
      </c>
    </row>
    <row r="55" spans="1:14" hidden="1">
      <c r="A55" s="24" t="s">
        <v>76</v>
      </c>
    </row>
    <row r="56" spans="1:14" hidden="1">
      <c r="A56" s="24" t="s">
        <v>77</v>
      </c>
    </row>
    <row r="57" spans="1:14" hidden="1">
      <c r="A57" s="24" t="s">
        <v>78</v>
      </c>
    </row>
    <row r="58" spans="1:14" hidden="1"/>
    <row r="59" spans="1:14" hidden="1"/>
    <row r="62" spans="1:14">
      <c r="A62" s="147" t="s">
        <v>148</v>
      </c>
    </row>
    <row r="63" spans="1:14" ht="15.75" thickBot="1">
      <c r="A63" s="143"/>
      <c r="B63" s="144" t="s">
        <v>147</v>
      </c>
      <c r="C63" s="268">
        <v>2007</v>
      </c>
      <c r="D63" s="268">
        <v>2008</v>
      </c>
      <c r="E63" s="268">
        <v>2009</v>
      </c>
      <c r="F63" s="268">
        <v>2010</v>
      </c>
      <c r="G63" s="268">
        <v>2011</v>
      </c>
      <c r="H63" s="268">
        <v>2012</v>
      </c>
      <c r="I63" s="268">
        <v>2013</v>
      </c>
      <c r="J63" s="268">
        <v>2014</v>
      </c>
      <c r="K63" s="268">
        <v>2015</v>
      </c>
      <c r="L63" s="268">
        <v>2016</v>
      </c>
      <c r="M63" s="268" t="s">
        <v>60</v>
      </c>
      <c r="N63" s="25"/>
    </row>
    <row r="64" spans="1:14" ht="14.25" customHeight="1" thickTop="1">
      <c r="A64" s="390" t="s">
        <v>12</v>
      </c>
      <c r="B64" s="30" t="s">
        <v>119</v>
      </c>
      <c r="C64" s="28">
        <f>工商银行!B$26</f>
        <v>-128.34000000000003</v>
      </c>
      <c r="D64" s="28">
        <f>工商银行!C$26</f>
        <v>76.14999999999992</v>
      </c>
      <c r="E64" s="28">
        <f>工商银行!D$26</f>
        <v>-39.069999999999979</v>
      </c>
      <c r="F64" s="28">
        <f>工商银行!E$26</f>
        <v>-83.219999999999985</v>
      </c>
      <c r="G64" s="28">
        <f>工商银行!F$26</f>
        <v>43.160000000000046</v>
      </c>
      <c r="H64" s="28">
        <f>工商银行!G$26</f>
        <v>90.919999999999987</v>
      </c>
      <c r="I64" s="28">
        <f>工商银行!H$26</f>
        <v>356.14</v>
      </c>
      <c r="J64" s="28">
        <f>工商银行!I$26</f>
        <v>691.72</v>
      </c>
      <c r="K64" s="28">
        <f>工商银行!J$26</f>
        <v>1153.17</v>
      </c>
      <c r="L64" s="28">
        <f>工商银行!K$26</f>
        <v>1064.2700000000002</v>
      </c>
      <c r="M64" s="28">
        <f>工商银行!L$26</f>
        <v>386.1299999999996</v>
      </c>
      <c r="N64" s="25"/>
    </row>
    <row r="65" spans="1:14" ht="14.25" customHeight="1" thickBot="1">
      <c r="A65" s="388"/>
      <c r="B65" s="138" t="s">
        <v>120</v>
      </c>
      <c r="C65" s="139">
        <f>工商银行!B$27</f>
        <v>-3.5343970305997717E-3</v>
      </c>
      <c r="D65" s="139">
        <f>工商银行!C$27</f>
        <v>1.8695241539329096E-3</v>
      </c>
      <c r="E65" s="139">
        <f>工商银行!D$27</f>
        <v>-8.545505527785027E-4</v>
      </c>
      <c r="F65" s="139">
        <f>工商银行!E$27</f>
        <v>-1.4527043657589095E-3</v>
      </c>
      <c r="G65" s="139">
        <f>工商银行!F$27</f>
        <v>6.3559328273916622E-4</v>
      </c>
      <c r="H65" s="139">
        <f>工商银行!G$27</f>
        <v>1.1673026360471833E-3</v>
      </c>
      <c r="I65" s="139">
        <f>工商银行!H$27</f>
        <v>4.0453482470763401E-3</v>
      </c>
      <c r="J65" s="139">
        <f>工商银行!I$27</f>
        <v>6.9713155339639482E-3</v>
      </c>
      <c r="K65" s="139">
        <f>工商银行!J$27</f>
        <v>1.0458329248414546E-2</v>
      </c>
      <c r="L65" s="139">
        <f>工商银行!K$27</f>
        <v>8.9183645388523341E-3</v>
      </c>
      <c r="M65" s="139">
        <f>工商银行!L$27</f>
        <v>5.9145983647199271E-3</v>
      </c>
      <c r="N65" s="25"/>
    </row>
    <row r="66" spans="1:14">
      <c r="A66" s="387" t="s">
        <v>65</v>
      </c>
      <c r="B66" s="140" t="s">
        <v>119</v>
      </c>
      <c r="C66" s="141">
        <f>建设银行!B$26</f>
        <v>-22.629999999999967</v>
      </c>
      <c r="D66" s="141">
        <f>建设银行!C$26</f>
        <v>121.36000000000001</v>
      </c>
      <c r="E66" s="141">
        <f>建设银行!D$26</f>
        <v>-44.440000000000097</v>
      </c>
      <c r="F66" s="141">
        <f>建设银行!E$26</f>
        <v>22.34000000000006</v>
      </c>
      <c r="G66" s="141">
        <f>建设银行!F$26</f>
        <v>103.25999999999996</v>
      </c>
      <c r="H66" s="141">
        <f>建设银行!G$26</f>
        <v>105.92999999999998</v>
      </c>
      <c r="I66" s="141">
        <f>建设银行!H$26</f>
        <v>273.75000000000006</v>
      </c>
      <c r="J66" s="141">
        <f>建设银行!I$26</f>
        <v>635.68000000000006</v>
      </c>
      <c r="K66" s="141">
        <f>建设银行!J$26</f>
        <v>1452.4499999999998</v>
      </c>
      <c r="L66" s="141">
        <f>建设银行!K$26</f>
        <v>845.0300000000002</v>
      </c>
      <c r="M66" s="141">
        <f>建设银行!L$26</f>
        <v>371.95999999999987</v>
      </c>
      <c r="N66" s="25"/>
    </row>
    <row r="67" spans="1:14" ht="15.75" thickBot="1">
      <c r="A67" s="388"/>
      <c r="B67" s="138" t="s">
        <v>120</v>
      </c>
      <c r="C67" s="139">
        <f>建设银行!B$27</f>
        <v>-7.8753694080701024E-4</v>
      </c>
      <c r="D67" s="139">
        <f>建设银行!C$27</f>
        <v>3.7088684925570508E-3</v>
      </c>
      <c r="E67" s="139">
        <f>建设银行!D$27</f>
        <v>-1.1713407397000981E-3</v>
      </c>
      <c r="F67" s="139">
        <f>建设银行!E$27</f>
        <v>4.6350730625695566E-4</v>
      </c>
      <c r="G67" s="139">
        <f>建设银行!F$27</f>
        <v>1.8214441444962958E-3</v>
      </c>
      <c r="H67" s="139">
        <f>建设银行!G$27</f>
        <v>1.6305926456931369E-3</v>
      </c>
      <c r="I67" s="139">
        <f>建设银行!H$27</f>
        <v>3.6440179800838954E-3</v>
      </c>
      <c r="J67" s="139">
        <f>建设银行!I$27</f>
        <v>7.4001837240428095E-3</v>
      </c>
      <c r="K67" s="139">
        <f>建设银行!J$27</f>
        <v>1.5330059360244308E-2</v>
      </c>
      <c r="L67" s="139">
        <f>建设银行!K$27</f>
        <v>8.0593106052947346E-3</v>
      </c>
      <c r="M67" s="139">
        <f>建设银行!L$27</f>
        <v>6.3274472673035143E-3</v>
      </c>
      <c r="N67" s="25"/>
    </row>
    <row r="68" spans="1:14" ht="14.25" customHeight="1">
      <c r="A68" s="390" t="s">
        <v>66</v>
      </c>
      <c r="B68" s="30" t="s">
        <v>119</v>
      </c>
      <c r="C68" s="28"/>
      <c r="D68" s="28"/>
      <c r="E68" s="28"/>
      <c r="F68" s="28">
        <f>农业银行!B$26</f>
        <v>-194.81000000000012</v>
      </c>
      <c r="G68" s="28">
        <f>农业银行!C$26</f>
        <v>-127.63999999999992</v>
      </c>
      <c r="H68" s="28">
        <f>农业银行!D$26</f>
        <v>24.989999999999981</v>
      </c>
      <c r="I68" s="28">
        <f>农业银行!E$26</f>
        <v>117.16999999999993</v>
      </c>
      <c r="J68" s="28">
        <f>农业银行!F$26</f>
        <v>664.11000000000013</v>
      </c>
      <c r="K68" s="28">
        <f>农业银行!G$26</f>
        <v>1292.26</v>
      </c>
      <c r="L68" s="28">
        <f>农业银行!H$26</f>
        <v>1007.1300000000001</v>
      </c>
      <c r="M68" s="28">
        <f>农业银行!I$26</f>
        <v>259.16999999999979</v>
      </c>
      <c r="N68" s="25"/>
    </row>
    <row r="69" spans="1:14" ht="14.25" customHeight="1" thickBot="1">
      <c r="A69" s="388"/>
      <c r="B69" s="138" t="s">
        <v>120</v>
      </c>
      <c r="C69" s="139"/>
      <c r="D69" s="139"/>
      <c r="E69" s="139"/>
      <c r="F69" s="139">
        <f>农业银行!B$27</f>
        <v>-4.7076171279838274E-3</v>
      </c>
      <c r="G69" s="139">
        <f>农业银行!C$27</f>
        <v>-2.5750790690899504E-3</v>
      </c>
      <c r="H69" s="139">
        <f>农业银行!D$27</f>
        <v>4.4397423563679353E-4</v>
      </c>
      <c r="I69" s="139">
        <f>农业银行!E$27</f>
        <v>1.8212767465534149E-3</v>
      </c>
      <c r="J69" s="139">
        <f>农业银行!F$27</f>
        <v>9.1921990534433694E-3</v>
      </c>
      <c r="K69" s="139">
        <f>农业银行!G$27</f>
        <v>1.5957635322108352E-2</v>
      </c>
      <c r="L69" s="139">
        <f>农业银行!H$27</f>
        <v>1.1303471030822059E-2</v>
      </c>
      <c r="M69" s="139">
        <f>农业银行!I$27</f>
        <v>5.3329141133739598E-3</v>
      </c>
      <c r="N69" s="25"/>
    </row>
    <row r="70" spans="1:14" ht="14.25" customHeight="1">
      <c r="A70" s="387" t="s">
        <v>67</v>
      </c>
      <c r="B70" s="140" t="s">
        <v>119</v>
      </c>
      <c r="C70" s="141">
        <f>中国银行!B$26</f>
        <v>-26.20000000000006</v>
      </c>
      <c r="D70" s="141">
        <f>中国银行!C$26</f>
        <v>42.629999999999995</v>
      </c>
      <c r="E70" s="141">
        <f>中国银行!D$26</f>
        <v>-37.340000000000032</v>
      </c>
      <c r="F70" s="141">
        <f>中国银行!E$26</f>
        <v>-67.309999999999903</v>
      </c>
      <c r="G70" s="141">
        <f>中国银行!F$26</f>
        <v>26.129999999999963</v>
      </c>
      <c r="H70" s="141">
        <f>中国银行!G$26</f>
        <v>63.830000000000013</v>
      </c>
      <c r="I70" s="141">
        <f>中国银行!H$26</f>
        <v>169.19</v>
      </c>
      <c r="J70" s="141">
        <f>中国银行!I$26</f>
        <v>529.54</v>
      </c>
      <c r="K70" s="141">
        <f>中国银行!J$26</f>
        <v>756</v>
      </c>
      <c r="L70" s="141">
        <f>中国银行!K$26</f>
        <v>675.81999999999994</v>
      </c>
      <c r="M70" s="141">
        <f>中国银行!L$26</f>
        <v>414.14000000000004</v>
      </c>
      <c r="N70" s="25"/>
    </row>
    <row r="71" spans="1:14" ht="14.25" customHeight="1" thickBot="1">
      <c r="A71" s="388"/>
      <c r="B71" s="138" t="s">
        <v>120</v>
      </c>
      <c r="C71" s="139">
        <f>中国银行!B$27</f>
        <v>-1.0773885745820209E-3</v>
      </c>
      <c r="D71" s="139">
        <f>中国银行!C$27</f>
        <v>1.4954950972808508E-3</v>
      </c>
      <c r="E71" s="139">
        <f>中国银行!D$27</f>
        <v>-1.1328381691830408E-3</v>
      </c>
      <c r="F71" s="139">
        <f>中国银行!E$27</f>
        <v>-1.3707758171603761E-3</v>
      </c>
      <c r="G71" s="139">
        <f>中国银行!F$27</f>
        <v>4.6161013076127095E-4</v>
      </c>
      <c r="H71" s="139">
        <f>中国银行!G$27</f>
        <v>1.0063356737246279E-3</v>
      </c>
      <c r="I71" s="139">
        <f>中国银行!H$27</f>
        <v>2.4646393664045719E-3</v>
      </c>
      <c r="J71" s="139">
        <f>中国银行!I$27</f>
        <v>6.9604961545342127E-3</v>
      </c>
      <c r="K71" s="139">
        <f>中国银行!J$27</f>
        <v>8.9116526341536731E-3</v>
      </c>
      <c r="L71" s="139">
        <f>中国银行!K$27</f>
        <v>7.3974426052938625E-3</v>
      </c>
      <c r="M71" s="139">
        <f>中国银行!L$27</f>
        <v>8.3049226529629643E-3</v>
      </c>
      <c r="N71" s="25"/>
    </row>
    <row r="72" spans="1:14" ht="14.25" customHeight="1">
      <c r="A72" s="387" t="s">
        <v>68</v>
      </c>
      <c r="B72" s="140" t="s">
        <v>119</v>
      </c>
      <c r="C72" s="141">
        <f>交通银行!B$26</f>
        <v>62.604299999999995</v>
      </c>
      <c r="D72" s="141">
        <f>交通银行!C$26</f>
        <v>53.194980000000001</v>
      </c>
      <c r="E72" s="141">
        <f>交通银行!D$26</f>
        <v>28.270719999999997</v>
      </c>
      <c r="F72" s="141">
        <f>交通银行!E$26</f>
        <v>35.089999999999996</v>
      </c>
      <c r="G72" s="141">
        <f>交通银行!F$26</f>
        <v>-5.7499999999999822</v>
      </c>
      <c r="H72" s="141">
        <f>交通银行!G$26</f>
        <v>82.359999999999971</v>
      </c>
      <c r="I72" s="141">
        <f>交通银行!H$26</f>
        <v>199.03000000000003</v>
      </c>
      <c r="J72" s="141">
        <f>交通银行!I$26</f>
        <v>255.79000000000002</v>
      </c>
      <c r="K72" s="141">
        <f>交通银行!J$26</f>
        <v>299.27999999999997</v>
      </c>
      <c r="L72" s="141">
        <f>交通银行!K$26</f>
        <v>284.50000000000006</v>
      </c>
      <c r="M72" s="141">
        <f>交通银行!L$26</f>
        <v>123.69999999999997</v>
      </c>
      <c r="N72" s="25"/>
    </row>
    <row r="73" spans="1:14" ht="14.25" customHeight="1" thickBot="1">
      <c r="A73" s="388"/>
      <c r="B73" s="138" t="s">
        <v>120</v>
      </c>
      <c r="C73" s="139">
        <f>交通银行!B$27</f>
        <v>6.9764977266648827E-3</v>
      </c>
      <c r="D73" s="139">
        <f>交通银行!C$27</f>
        <v>4.8163790449631495E-3</v>
      </c>
      <c r="E73" s="139">
        <f>交通银行!D$27</f>
        <v>2.1278739114399476E-3</v>
      </c>
      <c r="F73" s="139">
        <f>交通银行!E$27</f>
        <v>1.9077764862334542E-3</v>
      </c>
      <c r="G73" s="139">
        <f>交通银行!F$27</f>
        <v>-2.5704906776126277E-4</v>
      </c>
      <c r="H73" s="139">
        <f>交通银行!G$27</f>
        <v>3.2149897530984665E-3</v>
      </c>
      <c r="I73" s="139">
        <f>交通银行!H$27</f>
        <v>6.7529626278161805E-3</v>
      </c>
      <c r="J73" s="139">
        <f>交通银行!I$27</f>
        <v>7.8310221016125569E-3</v>
      </c>
      <c r="K73" s="139">
        <f>交通银行!J$27</f>
        <v>8.7209531038964245E-3</v>
      </c>
      <c r="L73" s="139">
        <f>交通银行!K$27</f>
        <v>7.6437276028034368E-3</v>
      </c>
      <c r="M73" s="139">
        <f>交通银行!L$27</f>
        <v>6.0297945945840545E-3</v>
      </c>
      <c r="N73" s="25"/>
    </row>
    <row r="74" spans="1:14" ht="14.25" customHeight="1">
      <c r="A74" s="387" t="s">
        <v>13</v>
      </c>
      <c r="B74" s="140" t="s">
        <v>119</v>
      </c>
      <c r="C74" s="141">
        <f>招商银行!B$26</f>
        <v>-13.220000000000004</v>
      </c>
      <c r="D74" s="141">
        <f>招商银行!C$26</f>
        <v>0.37999999999999812</v>
      </c>
      <c r="E74" s="141">
        <f>招商银行!D$26</f>
        <v>7.8099999999999969</v>
      </c>
      <c r="F74" s="141">
        <f>招商银行!E$26</f>
        <v>0.72000000000000619</v>
      </c>
      <c r="G74" s="141">
        <f>招商银行!F$26</f>
        <v>0.70000000000000462</v>
      </c>
      <c r="H74" s="141">
        <f>招商银行!G$26</f>
        <v>33.989999999999995</v>
      </c>
      <c r="I74" s="141">
        <f>招商银行!H$26</f>
        <v>87.8</v>
      </c>
      <c r="J74" s="141">
        <f>招商银行!I$26</f>
        <v>245.02</v>
      </c>
      <c r="K74" s="141">
        <f>招商银行!J$26</f>
        <v>578.76</v>
      </c>
      <c r="L74" s="141">
        <f>招商银行!K$26</f>
        <v>553.53</v>
      </c>
      <c r="M74" s="141">
        <f>招商银行!L$26</f>
        <v>91.509999999999991</v>
      </c>
      <c r="N74" s="25"/>
    </row>
    <row r="75" spans="1:14" ht="14.25" customHeight="1" thickBot="1">
      <c r="A75" s="388"/>
      <c r="B75" s="138" t="s">
        <v>120</v>
      </c>
      <c r="C75" s="139">
        <f>招商银行!B$27</f>
        <v>-2.3369182649437569E-3</v>
      </c>
      <c r="D75" s="139">
        <f>招商银行!C$27</f>
        <v>5.644958828938408E-5</v>
      </c>
      <c r="E75" s="139">
        <f>招商银行!D$27</f>
        <v>8.9322271553429777E-4</v>
      </c>
      <c r="F75" s="139">
        <f>招商银行!E$27</f>
        <v>6.0717375795018667E-5</v>
      </c>
      <c r="G75" s="139">
        <f>招商银行!F$27</f>
        <v>4.8901429388781358E-5</v>
      </c>
      <c r="H75" s="139">
        <f>招商银行!G$27</f>
        <v>2.0712033270874272E-3</v>
      </c>
      <c r="I75" s="139">
        <f>招商银行!H$27</f>
        <v>4.6102234593163524E-3</v>
      </c>
      <c r="J75" s="139">
        <f>招商银行!I$27</f>
        <v>1.1152003510091059E-2</v>
      </c>
      <c r="K75" s="139">
        <f>招商银行!J$27</f>
        <v>2.3022221479689679E-2</v>
      </c>
      <c r="L75" s="139">
        <f>招商银行!K$27</f>
        <v>1.9598935801827436E-2</v>
      </c>
      <c r="M75" s="139">
        <f>招商银行!L$27</f>
        <v>5.6112170380855754E-3</v>
      </c>
      <c r="N75" s="25"/>
    </row>
    <row r="76" spans="1:14" ht="14.25" customHeight="1">
      <c r="A76" s="387" t="s">
        <v>69</v>
      </c>
      <c r="B76" s="140" t="s">
        <v>119</v>
      </c>
      <c r="C76" s="141">
        <f>中信银行!B$26</f>
        <v>0.43999999999999417</v>
      </c>
      <c r="D76" s="141">
        <f>中信银行!C$26</f>
        <v>15.569999999999993</v>
      </c>
      <c r="E76" s="141">
        <f>中信银行!D$26</f>
        <v>24.39</v>
      </c>
      <c r="F76" s="141">
        <f>中信银行!E$26</f>
        <v>-4.2599999999999945</v>
      </c>
      <c r="G76" s="141">
        <f>中信银行!F$26</f>
        <v>7.2799999999999985</v>
      </c>
      <c r="H76" s="141">
        <f>中信银行!G$26</f>
        <v>45.1</v>
      </c>
      <c r="I76" s="141">
        <f>中信银行!H$26</f>
        <v>130.57999999999998</v>
      </c>
      <c r="J76" s="141">
        <f>中信银行!I$26</f>
        <v>200.96000000000004</v>
      </c>
      <c r="K76" s="141">
        <f>中信银行!J$26</f>
        <v>338.03</v>
      </c>
      <c r="L76" s="141">
        <f>中信银行!K$26</f>
        <v>432.07</v>
      </c>
      <c r="M76" s="141">
        <f>中信银行!L$26</f>
        <v>216.53</v>
      </c>
      <c r="N76" s="25"/>
    </row>
    <row r="77" spans="1:14" ht="14.25" customHeight="1" thickBot="1">
      <c r="A77" s="388"/>
      <c r="B77" s="138" t="s">
        <v>120</v>
      </c>
      <c r="C77" s="139">
        <f>中信银行!B$27</f>
        <v>9.4998132423077238E-5</v>
      </c>
      <c r="D77" s="139">
        <f>中信银行!C$27</f>
        <v>2.7068469145074465E-3</v>
      </c>
      <c r="E77" s="139">
        <f>中信银行!D$27</f>
        <v>3.6680883830332491E-3</v>
      </c>
      <c r="F77" s="139">
        <f>中信银行!E$27</f>
        <v>-3.9975639258329847E-4</v>
      </c>
      <c r="G77" s="139">
        <f>中信银行!F$27</f>
        <v>5.7583775296718583E-4</v>
      </c>
      <c r="H77" s="139">
        <f>中信银行!G$27</f>
        <v>3.1449676681982405E-3</v>
      </c>
      <c r="I77" s="139">
        <f>中信银行!H$27</f>
        <v>7.8525420334704232E-3</v>
      </c>
      <c r="J77" s="139">
        <f>中信银行!I$27</f>
        <v>1.0352492691282343E-2</v>
      </c>
      <c r="K77" s="139">
        <f>中信银行!J$27</f>
        <v>1.5449918369510963E-2</v>
      </c>
      <c r="L77" s="139">
        <f>中信银行!K$27</f>
        <v>1.7086104761980084E-2</v>
      </c>
      <c r="M77" s="139">
        <f>中信银行!L$27</f>
        <v>1.5047636719068969E-2</v>
      </c>
      <c r="N77" s="25"/>
    </row>
    <row r="78" spans="1:14" ht="14.25" customHeight="1">
      <c r="A78" s="387" t="s">
        <v>70</v>
      </c>
      <c r="B78" s="140" t="s">
        <v>119</v>
      </c>
      <c r="C78" s="142">
        <f>浦发银行!B$26</f>
        <v>3.8826870000000024</v>
      </c>
      <c r="D78" s="142">
        <f>浦发银行!C$26</f>
        <v>27.78999</v>
      </c>
      <c r="E78" s="142">
        <f>浦发银行!D$26</f>
        <v>-1.8811899999999966</v>
      </c>
      <c r="F78" s="142">
        <f>浦发银行!E$26</f>
        <v>-11.604400000000009</v>
      </c>
      <c r="G78" s="142">
        <f>浦发银行!F$26</f>
        <v>4.5594100000000033</v>
      </c>
      <c r="H78" s="142">
        <f>浦发银行!G$26</f>
        <v>41.198820000000005</v>
      </c>
      <c r="I78" s="142">
        <f>浦发银行!H$26</f>
        <v>85.580000000000013</v>
      </c>
      <c r="J78" s="142">
        <f>浦发银行!I$26</f>
        <v>181.5</v>
      </c>
      <c r="K78" s="142">
        <f>浦发银行!J$26</f>
        <v>299.45000000000005</v>
      </c>
      <c r="L78" s="142">
        <f>浦发银行!K$26</f>
        <v>503.62999999999994</v>
      </c>
      <c r="M78" s="142">
        <f>浦发银行!L$26</f>
        <v>289.20000000000005</v>
      </c>
      <c r="N78" s="25"/>
    </row>
    <row r="79" spans="1:14" ht="14.25" customHeight="1" thickBot="1">
      <c r="A79" s="388"/>
      <c r="B79" s="138" t="s">
        <v>120</v>
      </c>
      <c r="C79" s="139">
        <f>浦发银行!B$27</f>
        <v>8.4242698048168734E-4</v>
      </c>
      <c r="D79" s="139">
        <f>浦发银行!C$27</f>
        <v>5.0436617376346908E-3</v>
      </c>
      <c r="E79" s="139">
        <f>浦发银行!D$27</f>
        <v>-2.6967965565113792E-4</v>
      </c>
      <c r="F79" s="139">
        <f>浦发银行!E$27</f>
        <v>-1.2493234275864993E-3</v>
      </c>
      <c r="G79" s="139">
        <f>浦发银行!F$27</f>
        <v>3.9768447869711112E-4</v>
      </c>
      <c r="H79" s="139">
        <f>浦发银行!G$27</f>
        <v>3.0943146075741962E-3</v>
      </c>
      <c r="I79" s="139">
        <f>浦发银行!H$27</f>
        <v>5.540761631358717E-3</v>
      </c>
      <c r="J79" s="139">
        <f>浦发银行!I$27</f>
        <v>1.0268776018475877E-2</v>
      </c>
      <c r="K79" s="139">
        <f>浦发银行!J$27</f>
        <v>1.4763012847691263E-2</v>
      </c>
      <c r="L79" s="139">
        <f>浦发银行!K$27</f>
        <v>2.2428232594884561E-2</v>
      </c>
      <c r="M79" s="139">
        <f>浦发银行!L$27</f>
        <v>2.0935237580923166E-2</v>
      </c>
      <c r="N79" s="25"/>
    </row>
    <row r="80" spans="1:14" ht="14.25" customHeight="1">
      <c r="A80" s="387" t="s">
        <v>71</v>
      </c>
      <c r="B80" s="140" t="s">
        <v>119</v>
      </c>
      <c r="C80" s="320">
        <f>民生银行!B$26</f>
        <v>20.987810000000003</v>
      </c>
      <c r="D80" s="320">
        <f>民生银行!C$26</f>
        <v>24.879599999999989</v>
      </c>
      <c r="E80" s="141">
        <f>民生银行!D$26</f>
        <v>8.2100000000000062</v>
      </c>
      <c r="F80" s="141">
        <f>民生银行!E$26</f>
        <v>7.1500000000000021</v>
      </c>
      <c r="G80" s="141">
        <f>民生银行!F$26</f>
        <v>10.63</v>
      </c>
      <c r="H80" s="141">
        <f>民生银行!G$26</f>
        <v>52.67</v>
      </c>
      <c r="I80" s="141">
        <f>民生银行!H$26</f>
        <v>142.32999999999998</v>
      </c>
      <c r="J80" s="141">
        <f>民生银行!I$26</f>
        <v>249.05</v>
      </c>
      <c r="K80" s="141">
        <f>民生银行!J$26</f>
        <v>330.06999999999994</v>
      </c>
      <c r="L80" s="141">
        <f>民生银行!K$26</f>
        <v>368.24000000000007</v>
      </c>
      <c r="M80" s="141">
        <f>民生银行!L$26</f>
        <v>153.36000000000001</v>
      </c>
      <c r="N80" s="25"/>
    </row>
    <row r="81" spans="1:14" ht="14.25" customHeight="1" thickBot="1">
      <c r="A81" s="388"/>
      <c r="B81" s="138" t="s">
        <v>120</v>
      </c>
      <c r="C81" s="139">
        <f>民生银行!B$27</f>
        <v>4.6905663391184835E-3</v>
      </c>
      <c r="D81" s="139">
        <f>民生银行!C$27</f>
        <v>4.4831458108523722E-3</v>
      </c>
      <c r="E81" s="139">
        <f>民生银行!D$27</f>
        <v>1.2470380946594578E-3</v>
      </c>
      <c r="F81" s="139">
        <f>民生银行!E$27</f>
        <v>8.0975878248520082E-4</v>
      </c>
      <c r="G81" s="139">
        <f>民生银行!F$27</f>
        <v>1.0051334614886377E-3</v>
      </c>
      <c r="H81" s="139">
        <f>民生银行!G$27</f>
        <v>4.3701528599319134E-3</v>
      </c>
      <c r="I81" s="139">
        <f>民生银行!H$27</f>
        <v>1.0279428864445583E-2</v>
      </c>
      <c r="J81" s="139">
        <f>民生银行!I$27</f>
        <v>1.5820101215616451E-2</v>
      </c>
      <c r="K81" s="139">
        <f>民生银行!J$27</f>
        <v>1.8209090919121335E-2</v>
      </c>
      <c r="L81" s="139">
        <f>民生银行!K$27</f>
        <v>1.7980047342640412E-2</v>
      </c>
      <c r="M81" s="139">
        <f>民生银行!L$27</f>
        <v>1.2460259361241087E-2</v>
      </c>
      <c r="N81" s="25"/>
    </row>
    <row r="82" spans="1:14" ht="14.25" customHeight="1">
      <c r="A82" s="387" t="s">
        <v>72</v>
      </c>
      <c r="B82" s="140" t="s">
        <v>119</v>
      </c>
      <c r="C82" s="320">
        <f>兴业银行!B$28</f>
        <v>2.2143400000000026</v>
      </c>
      <c r="D82" s="320">
        <f>兴业银行!C$28</f>
        <v>4.2563100000000027</v>
      </c>
      <c r="E82" s="141">
        <f>兴业银行!D$28</f>
        <v>-0.72140000000000271</v>
      </c>
      <c r="F82" s="141">
        <f>兴业银行!E$28</f>
        <v>-0.92000000000000259</v>
      </c>
      <c r="G82" s="141">
        <f>兴业银行!F$28</f>
        <v>1.9000000000000021</v>
      </c>
      <c r="H82" s="141">
        <f>兴业银行!G$28</f>
        <v>28.85</v>
      </c>
      <c r="I82" s="141">
        <f>兴业银行!H$28</f>
        <v>94.36</v>
      </c>
      <c r="J82" s="141">
        <f>兴业银行!I$28</f>
        <v>189.29</v>
      </c>
      <c r="K82" s="141">
        <f>兴业银行!J$28</f>
        <v>344.66999999999996</v>
      </c>
      <c r="L82" s="141">
        <f>兴业银行!K$28</f>
        <v>372.80000000000007</v>
      </c>
      <c r="M82" s="141">
        <f>兴业银行!L$28</f>
        <v>44.44</v>
      </c>
      <c r="N82" s="25"/>
    </row>
    <row r="83" spans="1:14" ht="14.25" customHeight="1" thickBot="1">
      <c r="A83" s="388"/>
      <c r="B83" s="138" t="s">
        <v>120</v>
      </c>
      <c r="C83" s="139">
        <f>兴业银行!B$29</f>
        <v>6.8236014468239076E-4</v>
      </c>
      <c r="D83" s="139">
        <f>兴业银行!C$29</f>
        <v>1.063697821040514E-3</v>
      </c>
      <c r="E83" s="139">
        <f>兴业银行!D$29</f>
        <v>-1.444572695827108E-4</v>
      </c>
      <c r="F83" s="139">
        <f>兴业银行!E$29</f>
        <v>-1.3112932288676036E-4</v>
      </c>
      <c r="G83" s="139">
        <f>兴业银行!F$29</f>
        <v>2.223941550134083E-4</v>
      </c>
      <c r="H83" s="139">
        <f>兴业银行!G$29</f>
        <v>2.934135025130841E-3</v>
      </c>
      <c r="I83" s="139">
        <f>兴业银行!H$29</f>
        <v>7.6767561718727754E-3</v>
      </c>
      <c r="J83" s="139">
        <f>兴业银行!I$29</f>
        <v>1.3948566640900124E-2</v>
      </c>
      <c r="K83" s="139">
        <f>兴业银行!J$29</f>
        <v>2.1634524852681608E-2</v>
      </c>
      <c r="L83" s="139">
        <f>兴业银行!K$29</f>
        <v>2.0950788127287279E-2</v>
      </c>
      <c r="M83" s="139">
        <f>兴业银行!L$29</f>
        <v>4.2734590689359718E-3</v>
      </c>
      <c r="N83" s="25"/>
    </row>
    <row r="84" spans="1:14" ht="14.25" customHeight="1">
      <c r="A84" s="387" t="s">
        <v>73</v>
      </c>
      <c r="B84" s="140" t="s">
        <v>119</v>
      </c>
      <c r="C84" s="142"/>
      <c r="D84" s="142"/>
      <c r="E84" s="142">
        <f>光大银行!B$26</f>
        <v>-11.619736675</v>
      </c>
      <c r="F84" s="142">
        <f>光大银行!C$26</f>
        <v>-14.465007124999993</v>
      </c>
      <c r="G84" s="142">
        <f>光大银行!D$26</f>
        <v>6.5200000000000014</v>
      </c>
      <c r="H84" s="142">
        <f>光大银行!E$26</f>
        <v>27.879999999999992</v>
      </c>
      <c r="I84" s="142">
        <f>光大银行!F$26</f>
        <v>82.760000000000019</v>
      </c>
      <c r="J84" s="142">
        <f>光大银行!G$26</f>
        <v>113.96</v>
      </c>
      <c r="K84" s="142">
        <f>光大银行!H$26</f>
        <v>180.12</v>
      </c>
      <c r="L84" s="142">
        <f>光大银行!I$26</f>
        <v>207.93999999999997</v>
      </c>
      <c r="M84" s="142">
        <f>光大银行!J$26</f>
        <v>80.160000000000025</v>
      </c>
      <c r="N84" s="25"/>
    </row>
    <row r="85" spans="1:14" ht="14.25" customHeight="1" thickBot="1">
      <c r="A85" s="388"/>
      <c r="B85" s="138" t="s">
        <v>120</v>
      </c>
      <c r="C85" s="139"/>
      <c r="D85" s="139"/>
      <c r="E85" s="139">
        <f>光大银行!B$27</f>
        <v>-2.480268753455272E-3</v>
      </c>
      <c r="F85" s="139">
        <f>光大银行!C$27</f>
        <v>-2.2289211233510373E-3</v>
      </c>
      <c r="G85" s="139">
        <f>光大银行!D$27</f>
        <v>8.3715486396862624E-4</v>
      </c>
      <c r="H85" s="139">
        <f>光大银行!E$27</f>
        <v>3.1313000847966836E-3</v>
      </c>
      <c r="I85" s="139">
        <f>光大银行!F$27</f>
        <v>8.088453039375991E-3</v>
      </c>
      <c r="J85" s="139">
        <f>光大银行!G$27</f>
        <v>9.7709871303512785E-3</v>
      </c>
      <c r="K85" s="139">
        <f>光大银行!H$27</f>
        <v>1.3861195655101563E-2</v>
      </c>
      <c r="L85" s="139">
        <f>光大银行!I$27</f>
        <v>1.3738625199284062E-2</v>
      </c>
      <c r="M85" s="139">
        <f>光大银行!J$27</f>
        <v>8.9300932780327098E-3</v>
      </c>
      <c r="N85" s="25"/>
    </row>
    <row r="86" spans="1:14" ht="14.25" customHeight="1">
      <c r="A86" s="387" t="s">
        <v>74</v>
      </c>
      <c r="B86" s="140" t="s">
        <v>119</v>
      </c>
      <c r="C86" s="142">
        <f>华夏银行!B$26</f>
        <v>13.348026880909993</v>
      </c>
      <c r="D86" s="142">
        <f>华夏银行!C$26</f>
        <v>16.549992534090002</v>
      </c>
      <c r="E86" s="142">
        <f>华夏银行!D$26</f>
        <v>21.546760000000003</v>
      </c>
      <c r="F86" s="142">
        <f>华夏银行!E$26</f>
        <v>15.666630000000005</v>
      </c>
      <c r="G86" s="142">
        <f>华夏银行!F$26</f>
        <v>3.7269999999998582E-2</v>
      </c>
      <c r="H86" s="142">
        <f>华夏银行!G$26</f>
        <v>14.403679999999996</v>
      </c>
      <c r="I86" s="142">
        <f>华夏银行!H$26</f>
        <v>27.439450000000008</v>
      </c>
      <c r="J86" s="142">
        <f>华夏银行!I$26</f>
        <v>67.66</v>
      </c>
      <c r="K86" s="142">
        <f>华夏银行!J$26</f>
        <v>115.97</v>
      </c>
      <c r="L86" s="142">
        <f>华夏银行!K$26</f>
        <v>125.39999999999999</v>
      </c>
      <c r="M86" s="142">
        <f>华夏银行!L$26</f>
        <v>71.289999999999992</v>
      </c>
      <c r="N86" s="25"/>
    </row>
    <row r="87" spans="1:14" ht="14.25" customHeight="1" thickBot="1">
      <c r="A87" s="388"/>
      <c r="B87" s="138" t="s">
        <v>120</v>
      </c>
      <c r="C87" s="139">
        <f>华夏银行!B$27</f>
        <v>5.1384584763057677E-3</v>
      </c>
      <c r="D87" s="139">
        <f>华夏银行!C$27</f>
        <v>5.4071218374375377E-3</v>
      </c>
      <c r="E87" s="139">
        <f>华夏银行!D$27</f>
        <v>6.061351143921383E-3</v>
      </c>
      <c r="F87" s="139">
        <f>华夏银行!E$27</f>
        <v>3.6414919480939108E-3</v>
      </c>
      <c r="G87" s="139">
        <f>华夏银行!F$27</f>
        <v>7.0595587176095776E-6</v>
      </c>
      <c r="H87" s="139">
        <f>华夏银行!G$27</f>
        <v>2.3556097345444685E-3</v>
      </c>
      <c r="I87" s="139">
        <f>华夏银行!H$27</f>
        <v>3.8101455610807101E-3</v>
      </c>
      <c r="J87" s="139">
        <f>华夏银行!I$27</f>
        <v>8.2194543283335489E-3</v>
      </c>
      <c r="K87" s="139">
        <f>华夏银行!J$27</f>
        <v>1.2337378416130402E-2</v>
      </c>
      <c r="L87" s="139">
        <f>华夏银行!K$27</f>
        <v>1.1728702210682659E-2</v>
      </c>
      <c r="M87" s="139">
        <f>华夏银行!L$27</f>
        <v>1.088768457634017E-2</v>
      </c>
      <c r="N87" s="25"/>
    </row>
    <row r="88" spans="1:14" ht="14.25" customHeight="1">
      <c r="A88" s="387" t="s">
        <v>75</v>
      </c>
      <c r="B88" s="140" t="s">
        <v>119</v>
      </c>
      <c r="C88" s="320">
        <f>平安银行!B$26</f>
        <v>2.1298099999999991</v>
      </c>
      <c r="D88" s="320">
        <f>平安银行!C$26</f>
        <v>0.30711999999999762</v>
      </c>
      <c r="E88" s="320">
        <f>平安银行!D$26</f>
        <v>10.21406</v>
      </c>
      <c r="F88" s="320">
        <f>平安银行!E$26</f>
        <v>258.06328000000002</v>
      </c>
      <c r="G88" s="321">
        <f>平安银行!F$26</f>
        <v>-245.06</v>
      </c>
      <c r="H88" s="141">
        <f>平安银行!G$26</f>
        <v>48.149999999999991</v>
      </c>
      <c r="I88" s="141">
        <f>平安银行!H$26</f>
        <v>46.77</v>
      </c>
      <c r="J88" s="141">
        <f>平安银行!I$26</f>
        <v>120.54</v>
      </c>
      <c r="K88" s="141">
        <f>平安银行!J$26</f>
        <v>307.27</v>
      </c>
      <c r="L88" s="141">
        <f>平安银行!K$26</f>
        <v>438.54</v>
      </c>
      <c r="M88" s="141">
        <f>平安银行!L$26</f>
        <v>212.52000000000004</v>
      </c>
      <c r="N88" s="25"/>
    </row>
    <row r="89" spans="1:14" ht="14.25" customHeight="1" thickBot="1">
      <c r="A89" s="388"/>
      <c r="B89" s="138" t="s">
        <v>120</v>
      </c>
      <c r="C89" s="139">
        <f>平安银行!B$27</f>
        <v>1.1690565588564773E-3</v>
      </c>
      <c r="D89" s="139">
        <f>平安银行!C$27</f>
        <v>1.384585989178164E-4</v>
      </c>
      <c r="E89" s="139">
        <f>平安银行!D$27</f>
        <v>3.5997782572175251E-3</v>
      </c>
      <c r="F89" s="139">
        <f>平安银行!E$27</f>
        <v>7.1780467556935845E-2</v>
      </c>
      <c r="G89" s="139">
        <f>平安银行!F$27</f>
        <v>-1.581999829573184E-2</v>
      </c>
      <c r="H89" s="139">
        <f>平安银行!G$27</f>
        <v>7.7580979368652488E-3</v>
      </c>
      <c r="I89" s="139">
        <f>平安银行!H$27</f>
        <v>6.4888033637690266E-3</v>
      </c>
      <c r="J89" s="139">
        <f>平安银行!I$27</f>
        <v>1.4226550799078003E-2</v>
      </c>
      <c r="K89" s="139">
        <f>平安银行!J$27</f>
        <v>2.9985342537673189E-2</v>
      </c>
      <c r="L89" s="139">
        <f>平安银行!K$27</f>
        <v>3.6060052395369607E-2</v>
      </c>
      <c r="M89" s="139">
        <f>平安银行!L$27</f>
        <v>2.8800630979380015E-2</v>
      </c>
      <c r="N89" s="27"/>
    </row>
    <row r="90" spans="1:14" ht="14.25" customHeight="1">
      <c r="A90" s="387" t="s">
        <v>76</v>
      </c>
      <c r="B90" s="140" t="s">
        <v>119</v>
      </c>
      <c r="C90" s="142">
        <f>北京银行!B$26</f>
        <v>19.34</v>
      </c>
      <c r="D90" s="142">
        <f>北京银行!C$26</f>
        <v>64.989999999999995</v>
      </c>
      <c r="E90" s="142">
        <f>北京银行!D$26</f>
        <v>-65.88000000000001</v>
      </c>
      <c r="F90" s="142">
        <f>北京银行!E$26</f>
        <v>90.71</v>
      </c>
      <c r="G90" s="142">
        <f>北京银行!F$26</f>
        <v>-96.182695705000015</v>
      </c>
      <c r="H90" s="142">
        <f>北京银行!G$26</f>
        <v>9.7191895109999997</v>
      </c>
      <c r="I90" s="142">
        <f>北京银行!H$26</f>
        <v>12.523506194000003</v>
      </c>
      <c r="J90" s="142">
        <f>北京银行!I$26</f>
        <v>20.929999999999996</v>
      </c>
      <c r="K90" s="142">
        <f>北京银行!J$26</f>
        <v>34.879999999999995</v>
      </c>
      <c r="L90" s="142">
        <f>北京银行!K$26</f>
        <v>59.160000000000011</v>
      </c>
      <c r="M90" s="142">
        <f>北京银行!L$26</f>
        <v>44.050000000000004</v>
      </c>
      <c r="N90" s="25"/>
    </row>
    <row r="91" spans="1:14" ht="14.25" customHeight="1" thickBot="1">
      <c r="A91" s="388"/>
      <c r="B91" s="138" t="s">
        <v>120</v>
      </c>
      <c r="C91" s="139">
        <f>北京银行!B$27</f>
        <v>1.4925451805735413E-2</v>
      </c>
      <c r="D91" s="139">
        <f>北京银行!C$27</f>
        <v>4.1340108802662777E-2</v>
      </c>
      <c r="E91" s="139">
        <f>北京银行!D$27</f>
        <v>-3.412168513888738E-2</v>
      </c>
      <c r="F91" s="139">
        <f>北京银行!E$27</f>
        <v>3.3168673230619485E-2</v>
      </c>
      <c r="G91" s="139">
        <f>北京银行!F$27</f>
        <v>-2.8734259413235506E-2</v>
      </c>
      <c r="H91" s="139">
        <f>北京银行!G$27</f>
        <v>2.3961936669557662E-3</v>
      </c>
      <c r="I91" s="139">
        <f>北京银行!H$27</f>
        <v>2.5212393892534691E-3</v>
      </c>
      <c r="J91" s="139">
        <f>北京银行!I$27</f>
        <v>3.5786229873543476E-3</v>
      </c>
      <c r="K91" s="139">
        <f>北京银行!J$27</f>
        <v>5.1652035872101973E-3</v>
      </c>
      <c r="L91" s="139">
        <f>北京银行!K$27</f>
        <v>7.6297089206721798E-3</v>
      </c>
      <c r="M91" s="139">
        <f>北京银行!L$27</f>
        <v>9.78990051194179E-3</v>
      </c>
      <c r="N91" s="27"/>
    </row>
    <row r="92" spans="1:14" ht="14.25" customHeight="1">
      <c r="A92" s="387" t="s">
        <v>77</v>
      </c>
      <c r="B92" s="140" t="s">
        <v>119</v>
      </c>
      <c r="C92" s="142">
        <f>南京银行!B$26</f>
        <v>-0.1605299999999994</v>
      </c>
      <c r="D92" s="142">
        <f>南京银行!C$26</f>
        <v>2.1126599999999991</v>
      </c>
      <c r="E92" s="142">
        <f>南京银行!D$26</f>
        <v>2.1118899999999998</v>
      </c>
      <c r="F92" s="142">
        <f>南京银行!E$26</f>
        <v>23.79139</v>
      </c>
      <c r="G92" s="142">
        <f>南京银行!F$26</f>
        <v>-23.840000000000003</v>
      </c>
      <c r="H92" s="142">
        <f>南京银行!G$26</f>
        <v>3.41</v>
      </c>
      <c r="I92" s="142">
        <f>南京银行!H$26</f>
        <v>5.2668299999999997</v>
      </c>
      <c r="J92" s="142">
        <f>南京银行!I$26</f>
        <v>14.114380000000002</v>
      </c>
      <c r="K92" s="142">
        <f>南京银行!J$26</f>
        <v>31.505599999999998</v>
      </c>
      <c r="L92" s="142">
        <f>南京银行!K$26</f>
        <v>40.728660000000005</v>
      </c>
      <c r="M92" s="142">
        <f>南京银行!L$26</f>
        <v>13.426070000000003</v>
      </c>
      <c r="N92" s="27"/>
    </row>
    <row r="93" spans="1:14" ht="14.25" customHeight="1" thickBot="1">
      <c r="A93" s="388"/>
      <c r="B93" s="138" t="s">
        <v>120</v>
      </c>
      <c r="C93" s="139">
        <f>南京银行!B$27</f>
        <v>-6.2940607285701458E-4</v>
      </c>
      <c r="D93" s="139">
        <f>南京银行!C$27</f>
        <v>6.8975273527055181E-3</v>
      </c>
      <c r="E93" s="139">
        <f>南京银行!D$27</f>
        <v>5.2561345483235775E-3</v>
      </c>
      <c r="F93" s="139">
        <f>南京银行!E$27</f>
        <v>3.5494677757963687E-2</v>
      </c>
      <c r="G93" s="139">
        <f>南京银行!F$27</f>
        <v>-6.4690893708468419E-3</v>
      </c>
      <c r="H93" s="139">
        <f>南京银行!G$27</f>
        <v>3.3169602920652599E-3</v>
      </c>
      <c r="I93" s="139">
        <f>南京银行!H$27</f>
        <v>4.2044276758619308E-3</v>
      </c>
      <c r="J93" s="139">
        <f>南京银行!I$27</f>
        <v>9.6041409512974164E-3</v>
      </c>
      <c r="K93" s="139">
        <f>南京银行!J$27</f>
        <v>1.8035642926739887E-2</v>
      </c>
      <c r="L93" s="139">
        <f>南京银行!K$27</f>
        <v>1.621379673573169E-2</v>
      </c>
      <c r="M93" s="139">
        <f>南京银行!L$27</f>
        <v>8.0932395896418617E-3</v>
      </c>
      <c r="N93" s="27"/>
    </row>
    <row r="94" spans="1:14" ht="14.25" customHeight="1">
      <c r="A94" s="387" t="s">
        <v>78</v>
      </c>
      <c r="B94" s="140" t="s">
        <v>119</v>
      </c>
      <c r="C94" s="142">
        <f>宁波银行!B$26</f>
        <v>0.40683999999999998</v>
      </c>
      <c r="D94" s="142">
        <f>宁波银行!C$26</f>
        <v>3.5762104376000003</v>
      </c>
      <c r="E94" s="142">
        <f>宁波银行!D$26</f>
        <v>1.8791295624</v>
      </c>
      <c r="F94" s="142">
        <f>宁波银行!E$26</f>
        <v>22.808060000000001</v>
      </c>
      <c r="G94" s="142">
        <f>宁波银行!F$26</f>
        <v>-20.22898</v>
      </c>
      <c r="H94" s="142">
        <f>宁波银行!G$26</f>
        <v>2.9148199999999984</v>
      </c>
      <c r="I94" s="142">
        <f>宁波银行!H$26</f>
        <v>8.7363700000000009</v>
      </c>
      <c r="J94" s="142">
        <f>宁波银行!I$26</f>
        <v>13.20609</v>
      </c>
      <c r="K94" s="142">
        <f>宁波银行!J$26</f>
        <v>24.267810000000001</v>
      </c>
      <c r="L94" s="142">
        <f>宁波银行!K$26</f>
        <v>32.528579999999998</v>
      </c>
      <c r="M94" s="142">
        <f>宁波银行!L$26</f>
        <v>13.457840000000003</v>
      </c>
      <c r="N94" s="27"/>
    </row>
    <row r="95" spans="1:14" ht="14.25" customHeight="1" thickBot="1">
      <c r="A95" s="389"/>
      <c r="B95" s="145" t="s">
        <v>120</v>
      </c>
      <c r="C95" s="146">
        <f>宁波银行!B$27</f>
        <v>1.4460332699257246E-3</v>
      </c>
      <c r="D95" s="146">
        <f>宁波银行!C$27</f>
        <v>9.7971775118365391E-3</v>
      </c>
      <c r="E95" s="146">
        <f>宁波银行!D$27</f>
        <v>3.8227904329831142E-3</v>
      </c>
      <c r="F95" s="146">
        <f>宁波银行!E$27</f>
        <v>2.7860967055189402E-2</v>
      </c>
      <c r="G95" s="146">
        <f>宁波银行!F$27</f>
        <v>-6.2128698579229603E-3</v>
      </c>
      <c r="H95" s="146">
        <f>宁波银行!G$27</f>
        <v>2.3746933788238067E-3</v>
      </c>
      <c r="I95" s="146">
        <f>宁波银行!H$27</f>
        <v>5.9995312515333408E-3</v>
      </c>
      <c r="J95" s="146">
        <f>宁波银行!I$27</f>
        <v>7.7143032687498779E-3</v>
      </c>
      <c r="K95" s="146">
        <f>宁波银行!J$27</f>
        <v>1.1552679196677107E-2</v>
      </c>
      <c r="L95" s="146">
        <f>宁波银行!K$27</f>
        <v>1.2721952619080601E-2</v>
      </c>
      <c r="M95" s="146">
        <f>宁波银行!L$27</f>
        <v>8.8975490319588933E-3</v>
      </c>
      <c r="N95" s="27"/>
    </row>
    <row r="96" spans="1:14" ht="15.75" thickTop="1">
      <c r="I96" s="27"/>
    </row>
    <row r="101" spans="1:14">
      <c r="A101" s="24" t="s">
        <v>342</v>
      </c>
    </row>
    <row r="102" spans="1:14" thickBot="1">
      <c r="B102" s="268">
        <v>2007</v>
      </c>
      <c r="C102" s="268">
        <v>2008</v>
      </c>
      <c r="D102" s="268">
        <v>2009</v>
      </c>
      <c r="E102" s="268">
        <v>2010</v>
      </c>
      <c r="F102" s="268">
        <v>2011</v>
      </c>
      <c r="G102" s="268">
        <v>2012</v>
      </c>
      <c r="H102" s="268">
        <v>2013</v>
      </c>
      <c r="I102" s="268">
        <v>2014</v>
      </c>
      <c r="J102" s="268">
        <v>2015</v>
      </c>
      <c r="K102" s="268">
        <v>2016</v>
      </c>
      <c r="L102" s="268" t="s">
        <v>60</v>
      </c>
    </row>
    <row r="103" spans="1:14" ht="15.75" thickTop="1">
      <c r="A103" s="24" t="s">
        <v>339</v>
      </c>
      <c r="B103" s="25">
        <f>SUM(C64+C66+C70+C68+C72)</f>
        <v>-114.56570000000008</v>
      </c>
      <c r="C103" s="25">
        <f t="shared" ref="C103:L103" si="0">SUM(D64+D66+D70+D68+D72)</f>
        <v>293.33497999999992</v>
      </c>
      <c r="D103" s="25">
        <f t="shared" si="0"/>
        <v>-92.579280000000111</v>
      </c>
      <c r="E103" s="25">
        <f t="shared" si="0"/>
        <v>-287.90999999999997</v>
      </c>
      <c r="F103" s="25">
        <f t="shared" si="0"/>
        <v>39.160000000000082</v>
      </c>
      <c r="G103" s="25">
        <f t="shared" si="0"/>
        <v>368.02999999999992</v>
      </c>
      <c r="H103" s="25">
        <f t="shared" si="0"/>
        <v>1115.2800000000002</v>
      </c>
      <c r="I103" s="25">
        <f t="shared" si="0"/>
        <v>2776.84</v>
      </c>
      <c r="J103" s="25">
        <f t="shared" si="0"/>
        <v>4953.16</v>
      </c>
      <c r="K103" s="25">
        <f t="shared" si="0"/>
        <v>3876.7500000000005</v>
      </c>
      <c r="L103" s="25">
        <f t="shared" si="0"/>
        <v>1555.0999999999995</v>
      </c>
    </row>
    <row r="104" spans="1:14">
      <c r="A104" s="24" t="s">
        <v>340</v>
      </c>
      <c r="B104" s="381">
        <f>SUM(C74,C76,C78,C80,C82,C84,C86,C88,)</f>
        <v>29.782673880909989</v>
      </c>
      <c r="C104" s="381">
        <f t="shared" ref="C104:L104" si="1">SUM(D74,D76,D78,D80,D82,D84,D86,D88,)</f>
        <v>89.733012534089994</v>
      </c>
      <c r="D104" s="381">
        <f t="shared" si="1"/>
        <v>57.948493325000015</v>
      </c>
      <c r="E104" s="381">
        <f t="shared" si="1"/>
        <v>250.35050287500005</v>
      </c>
      <c r="F104" s="381">
        <f t="shared" si="1"/>
        <v>-213.43331999999998</v>
      </c>
      <c r="G104" s="381">
        <f t="shared" si="1"/>
        <v>292.24250000000001</v>
      </c>
      <c r="H104" s="381">
        <f t="shared" si="1"/>
        <v>697.61944999999992</v>
      </c>
      <c r="I104" s="381">
        <f t="shared" si="1"/>
        <v>1367.98</v>
      </c>
      <c r="J104" s="381">
        <f t="shared" si="1"/>
        <v>2494.3399999999997</v>
      </c>
      <c r="K104" s="381">
        <f t="shared" si="1"/>
        <v>3002.15</v>
      </c>
      <c r="L104" s="381">
        <f t="shared" si="1"/>
        <v>1159.01</v>
      </c>
    </row>
    <row r="105" spans="1:14">
      <c r="A105" s="24" t="s">
        <v>341</v>
      </c>
      <c r="B105" s="381">
        <f>SUM(C90,C92,C94)</f>
        <v>19.586310000000001</v>
      </c>
      <c r="C105" s="381">
        <f t="shared" ref="C105:L105" si="2">SUM(D90,D92,D94)</f>
        <v>70.678870437599997</v>
      </c>
      <c r="D105" s="381">
        <f t="shared" si="2"/>
        <v>-61.888980437600004</v>
      </c>
      <c r="E105" s="381">
        <f t="shared" si="2"/>
        <v>137.30945</v>
      </c>
      <c r="F105" s="381">
        <f t="shared" si="2"/>
        <v>-140.25167570500003</v>
      </c>
      <c r="G105" s="381">
        <f t="shared" si="2"/>
        <v>16.044009510999999</v>
      </c>
      <c r="H105" s="381">
        <f t="shared" si="2"/>
        <v>26.526706194000003</v>
      </c>
      <c r="I105" s="381">
        <f t="shared" si="2"/>
        <v>48.250469999999993</v>
      </c>
      <c r="J105" s="381">
        <f t="shared" si="2"/>
        <v>90.653409999999994</v>
      </c>
      <c r="K105" s="381">
        <f t="shared" si="2"/>
        <v>132.41724000000002</v>
      </c>
      <c r="L105" s="381">
        <f t="shared" si="2"/>
        <v>70.933910000000012</v>
      </c>
    </row>
    <row r="106" spans="1:14">
      <c r="A106" s="24" t="s">
        <v>347</v>
      </c>
      <c r="B106" s="25">
        <f>SUM(B103:B105)</f>
        <v>-65.196716119090098</v>
      </c>
      <c r="C106" s="25">
        <f t="shared" ref="C106:L106" si="3">SUM(C103:C105)</f>
        <v>453.74686297168989</v>
      </c>
      <c r="D106" s="25">
        <f t="shared" si="3"/>
        <v>-96.519767112600107</v>
      </c>
      <c r="E106" s="25">
        <f t="shared" si="3"/>
        <v>99.749952875000076</v>
      </c>
      <c r="F106" s="25">
        <f t="shared" si="3"/>
        <v>-314.52499570499992</v>
      </c>
      <c r="G106" s="25">
        <f t="shared" si="3"/>
        <v>676.31650951099994</v>
      </c>
      <c r="H106" s="25">
        <f t="shared" si="3"/>
        <v>1839.4261561940002</v>
      </c>
      <c r="I106" s="25">
        <f t="shared" si="3"/>
        <v>4193.0704699999997</v>
      </c>
      <c r="J106" s="25">
        <f t="shared" si="3"/>
        <v>7538.1534099999999</v>
      </c>
      <c r="K106" s="25">
        <f t="shared" si="3"/>
        <v>7011.3172400000003</v>
      </c>
      <c r="L106" s="25">
        <f t="shared" si="3"/>
        <v>2785.0439099999999</v>
      </c>
    </row>
    <row r="108" spans="1:14">
      <c r="A108" s="24" t="s">
        <v>344</v>
      </c>
      <c r="C108" s="26">
        <v>39082</v>
      </c>
      <c r="D108" s="26">
        <v>39447</v>
      </c>
      <c r="E108" s="26">
        <v>39813</v>
      </c>
      <c r="F108" s="26">
        <v>40178</v>
      </c>
      <c r="G108" s="26">
        <v>40543</v>
      </c>
      <c r="H108" s="26">
        <v>40908</v>
      </c>
      <c r="I108" s="26">
        <v>41274</v>
      </c>
      <c r="J108" s="26">
        <v>41639</v>
      </c>
      <c r="K108" s="26">
        <v>42004</v>
      </c>
      <c r="L108" s="26">
        <v>42369</v>
      </c>
      <c r="M108" s="26">
        <v>42735</v>
      </c>
      <c r="N108" s="384">
        <v>42916</v>
      </c>
    </row>
    <row r="109" spans="1:14" ht="15.75" thickBot="1">
      <c r="A109" s="383" t="s">
        <v>12</v>
      </c>
      <c r="B109" s="25" t="str">
        <f>[1]!to_tradecode(A109)</f>
        <v>601398</v>
      </c>
      <c r="C109" s="385">
        <f>[1]!s_stmnote_bank_1n($B109,C$108,1,100000000)</f>
        <v>36311.71</v>
      </c>
      <c r="D109" s="385">
        <f>[1]!s_stmnote_bank_1n($B109,D$108,1,100000000)</f>
        <v>40732.29</v>
      </c>
      <c r="E109" s="385">
        <f>[1]!s_stmnote_bank_1n($B109,E$108,1,100000000)</f>
        <v>45719.94</v>
      </c>
      <c r="F109" s="385">
        <f>[1]!s_stmnote_bank_1n($B109,F$108,1,100000000)</f>
        <v>57286.26</v>
      </c>
      <c r="G109" s="385">
        <f>[1]!s_stmnote_bank_1n($B109,G$108,1,100000000)</f>
        <v>67905.06</v>
      </c>
      <c r="H109" s="385">
        <f>[1]!s_stmnote_bank_1n($B109,H$108,1,100000000)</f>
        <v>77888.97</v>
      </c>
      <c r="I109" s="385">
        <f>[1]!s_stmnote_bank_1n($B109,I$108,1,100000000)</f>
        <v>88036.92</v>
      </c>
      <c r="J109" s="385">
        <f>[1]!s_stmnote_bank_1n($B109,J$108,1,100000000)</f>
        <v>99223.74</v>
      </c>
      <c r="K109" s="385">
        <f>[1]!s_stmnote_bank_1n($B109,K$108,1,100000000)</f>
        <v>110263.31</v>
      </c>
      <c r="L109" s="385">
        <f>[1]!s_stmnote_bank_1n($B109,L$108,1,100000000)</f>
        <v>119334.66</v>
      </c>
      <c r="M109" s="385">
        <f>[1]!s_stmnote_bank_1n($B109,M$108,1,100000000)</f>
        <v>130568.46</v>
      </c>
      <c r="N109" s="385">
        <f>[1]!s_stmnote_bank_1n($B109,N$108,1,100000000)</f>
        <v>138659.09</v>
      </c>
    </row>
    <row r="110" spans="1:14">
      <c r="A110" s="382" t="s">
        <v>65</v>
      </c>
      <c r="B110" s="25" t="str">
        <f>[1]!to_tradecode(A110)</f>
        <v>601939</v>
      </c>
      <c r="C110" s="385">
        <f>[1]!s_stmnote_bank_1n($B110,C$108,1,100000000)</f>
        <v>28735.16</v>
      </c>
      <c r="D110" s="385">
        <f>[1]!s_stmnote_bank_1n($B110,D$108,1,100000000)</f>
        <v>32721.57</v>
      </c>
      <c r="E110" s="385">
        <f>[1]!s_stmnote_bank_1n($B110,E$108,1,100000000)</f>
        <v>37939.43</v>
      </c>
      <c r="F110" s="385">
        <f>[1]!s_stmnote_bank_1n($B110,F$108,1,100000000)</f>
        <v>48197.73</v>
      </c>
      <c r="G110" s="385">
        <f>[1]!s_stmnote_bank_1n($B110,G$108,1,100000000)</f>
        <v>56691.28</v>
      </c>
      <c r="H110" s="385">
        <f>[1]!s_stmnote_bank_1n($B110,H$108,1,100000000)</f>
        <v>64964.11</v>
      </c>
      <c r="I110" s="385">
        <f>[1]!s_stmnote_bank_1n($B110,I$108,1,100000000)</f>
        <v>75123.12</v>
      </c>
      <c r="J110" s="385">
        <f>[1]!s_stmnote_bank_1n($B110,J$108,1,100000000)</f>
        <v>85900.57</v>
      </c>
      <c r="K110" s="385">
        <f>[1]!s_stmnote_bank_1n($B110,K$108,1,100000000)</f>
        <v>94745.23</v>
      </c>
      <c r="L110" s="385">
        <f>[1]!s_stmnote_bank_1n($B110,L$108,1,100000000)</f>
        <v>104851.4</v>
      </c>
      <c r="M110" s="385">
        <f>[1]!s_stmnote_bank_1n($B110,M$108,1,100000000)</f>
        <v>117570.32</v>
      </c>
      <c r="N110" s="385">
        <f>[1]!s_stmnote_bank_1n($B110,N$108,1,100000000)</f>
        <v>125070.21</v>
      </c>
    </row>
    <row r="111" spans="1:14" ht="15.75" thickBot="1">
      <c r="A111" s="383" t="s">
        <v>66</v>
      </c>
      <c r="B111" s="25" t="str">
        <f>[1]!to_tradecode(A111)</f>
        <v>601288</v>
      </c>
      <c r="C111" s="385"/>
      <c r="D111" s="385"/>
      <c r="E111" s="385"/>
      <c r="F111" s="385">
        <f>[1]!s_stmnote_bank_1n($B111,F$108,1,100000000)</f>
        <v>41381.870000000003</v>
      </c>
      <c r="G111" s="385">
        <f>[1]!s_stmnote_bank_1n($B111,G$108,1,100000000)</f>
        <v>49567.41</v>
      </c>
      <c r="H111" s="385">
        <f>[1]!s_stmnote_bank_1n($B111,H$108,1,100000000)</f>
        <v>56287.05</v>
      </c>
      <c r="I111" s="385">
        <f>[1]!s_stmnote_bank_1n($B111,I$108,1,100000000)</f>
        <v>64333.99</v>
      </c>
      <c r="J111" s="385">
        <f>[1]!s_stmnote_bank_1n($B111,J$108,1,100000000)</f>
        <v>72247.13</v>
      </c>
      <c r="K111" s="385">
        <f>[1]!s_stmnote_bank_1n($B111,K$108,1,100000000)</f>
        <v>80980.67</v>
      </c>
      <c r="L111" s="385">
        <f>[1]!s_stmnote_bank_1n($B111,L$108,1,100000000)</f>
        <v>89099.18</v>
      </c>
      <c r="M111" s="385">
        <f>[1]!s_stmnote_bank_1n($B111,M$108,1,100000000)</f>
        <v>97196.39</v>
      </c>
      <c r="N111" s="385">
        <f>[1]!s_stmnote_bank_1n($B111,N$108,1,100000000)</f>
        <v>104119.18</v>
      </c>
    </row>
    <row r="112" spans="1:14" ht="15.75" thickBot="1">
      <c r="A112" s="382" t="s">
        <v>67</v>
      </c>
      <c r="B112" s="25" t="str">
        <f>[1]!to_tradecode(A112)</f>
        <v>601988</v>
      </c>
      <c r="C112" s="385">
        <f>[1]!s_stmnote_bank_1n($B112,C$108,1,100000000)</f>
        <v>24318.06</v>
      </c>
      <c r="D112" s="385">
        <f>[1]!s_stmnote_bank_1n($B112,D$108,1,100000000)</f>
        <v>28505.61</v>
      </c>
      <c r="E112" s="385">
        <f>[1]!s_stmnote_bank_1n($B112,E$108,1,100000000)</f>
        <v>32961.46</v>
      </c>
      <c r="F112" s="385">
        <f>[1]!s_stmnote_bank_1n($B112,F$108,1,100000000)</f>
        <v>49103.58</v>
      </c>
      <c r="G112" s="385">
        <f>[1]!s_stmnote_bank_1n($B112,G$108,1,100000000)</f>
        <v>56606.21</v>
      </c>
      <c r="H112" s="385">
        <f>[1]!s_stmnote_bank_1n($B112,H$108,1,100000000)</f>
        <v>63428.14</v>
      </c>
      <c r="I112" s="385">
        <f>[1]!s_stmnote_bank_1n($B112,I$108,1,100000000)</f>
        <v>68646.960000000006</v>
      </c>
      <c r="J112" s="385">
        <f>[1]!s_stmnote_bank_1n($B112,J$108,1,100000000)</f>
        <v>76077.91</v>
      </c>
      <c r="K112" s="385">
        <f>[1]!s_stmnote_bank_1n($B112,K$108,1,100000000)</f>
        <v>84832.75</v>
      </c>
      <c r="L112" s="385">
        <f>[1]!s_stmnote_bank_1n($B112,L$108,1,100000000)</f>
        <v>91358.6</v>
      </c>
      <c r="M112" s="385">
        <f>[1]!s_stmnote_bank_1n($B112,M$108,1,100000000)</f>
        <v>99733.62</v>
      </c>
      <c r="N112" s="385">
        <f>[1]!s_stmnote_bank_1n($B112,N$108,1,100000000)</f>
        <v>106507.03</v>
      </c>
    </row>
    <row r="113" spans="1:14" ht="15.75" thickBot="1">
      <c r="A113" s="382" t="s">
        <v>68</v>
      </c>
      <c r="B113" s="25" t="str">
        <f>[1]!to_tradecode(A113)</f>
        <v>601328</v>
      </c>
      <c r="C113" s="385">
        <f>[1]!s_stmnote_bank_1n($B113,C$108,1,100000000)</f>
        <v>8973.6</v>
      </c>
      <c r="D113" s="385">
        <f>[1]!s_stmnote_bank_1n($B113,D$108,1,100000000)</f>
        <v>11044.6</v>
      </c>
      <c r="E113" s="385">
        <f>[1]!s_stmnote_bank_1n($B113,E$108,1,100000000)</f>
        <v>13285.9</v>
      </c>
      <c r="F113" s="385">
        <f>[1]!s_stmnote_bank_1n($B113,F$108,1,100000000)</f>
        <v>18393.14</v>
      </c>
      <c r="G113" s="385">
        <f>[1]!s_stmnote_bank_1n($B113,G$108,1,100000000)</f>
        <v>22369.27</v>
      </c>
      <c r="H113" s="385">
        <f>[1]!s_stmnote_bank_1n($B113,H$108,1,100000000)</f>
        <v>25617.5</v>
      </c>
      <c r="I113" s="385">
        <f>[1]!s_stmnote_bank_1n($B113,I$108,1,100000000)</f>
        <v>29472.99</v>
      </c>
      <c r="J113" s="385">
        <f>[1]!s_stmnote_bank_1n($B113,J$108,1,100000000)</f>
        <v>32663.68</v>
      </c>
      <c r="K113" s="385">
        <f>[1]!s_stmnote_bank_1n($B113,K$108,1,100000000)</f>
        <v>34317.35</v>
      </c>
      <c r="L113" s="385">
        <f>[1]!s_stmnote_bank_1n($B113,L$108,1,100000000)</f>
        <v>37220.06</v>
      </c>
      <c r="M113" s="385">
        <f>[1]!s_stmnote_bank_1n($B113,M$108,1,100000000)</f>
        <v>41029.589999999997</v>
      </c>
      <c r="N113" s="385">
        <f>[1]!s_stmnote_bank_1n($B113,N$108,1,100000000)</f>
        <v>43701.47</v>
      </c>
    </row>
    <row r="114" spans="1:14" ht="15.75" thickBot="1">
      <c r="A114" s="382" t="s">
        <v>13</v>
      </c>
      <c r="B114" s="25" t="str">
        <f>[1]!to_tradecode(A114)</f>
        <v>600036</v>
      </c>
      <c r="C114" s="385">
        <f>[1]!s_stmnote_bank_1n($B114,C$108,1,100000000)</f>
        <v>5657.0228399999996</v>
      </c>
      <c r="D114" s="385">
        <f>[1]!s_stmnote_bank_1n($B114,D$108,1,100000000)</f>
        <v>6731.67</v>
      </c>
      <c r="E114" s="385">
        <f>[1]!s_stmnote_bank_1n($B114,E$108,1,100000000)</f>
        <v>8743.6200000000008</v>
      </c>
      <c r="F114" s="385">
        <f>[1]!s_stmnote_bank_1n($B114,F$108,1,100000000)</f>
        <v>11858.22</v>
      </c>
      <c r="G114" s="385">
        <f>[1]!s_stmnote_bank_1n($B114,G$108,1,100000000)</f>
        <v>14314.51</v>
      </c>
      <c r="H114" s="385">
        <f>[1]!s_stmnote_bank_1n($B114,H$108,1,100000000)</f>
        <v>16410.75</v>
      </c>
      <c r="I114" s="385">
        <f>[1]!s_stmnote_bank_1n($B114,I$108,1,100000000)</f>
        <v>19044.63</v>
      </c>
      <c r="J114" s="385">
        <f>[1]!s_stmnote_bank_1n($B114,J$108,1,100000000)</f>
        <v>21970.94</v>
      </c>
      <c r="K114" s="385">
        <f>[1]!s_stmnote_bank_1n($B114,K$108,1,100000000)</f>
        <v>25139.19</v>
      </c>
      <c r="L114" s="385">
        <f>[1]!s_stmnote_bank_1n($B114,L$108,1,100000000)</f>
        <v>28242.86</v>
      </c>
      <c r="M114" s="385">
        <f>[1]!s_stmnote_bank_1n($B114,M$108,1,100000000)</f>
        <v>32616.81</v>
      </c>
      <c r="N114" s="385">
        <f>[1]!s_stmnote_bank_1n($B114,N$108,1,100000000)</f>
        <v>35399.379999999997</v>
      </c>
    </row>
    <row r="115" spans="1:14" ht="15.75" thickBot="1">
      <c r="A115" s="382" t="s">
        <v>69</v>
      </c>
      <c r="B115" s="25" t="str">
        <f>[1]!to_tradecode(A115)</f>
        <v>601998</v>
      </c>
      <c r="C115" s="385">
        <f>[1]!s_stmnote_bank_1n($B115,C$108,1,100000000)</f>
        <v>4631.67</v>
      </c>
      <c r="D115" s="385">
        <f>[1]!s_stmnote_bank_1n($B115,D$108,1,100000000)</f>
        <v>5752.08</v>
      </c>
      <c r="E115" s="385">
        <f>[1]!s_stmnote_bank_1n($B115,E$108,1,100000000)</f>
        <v>6649.24</v>
      </c>
      <c r="F115" s="385">
        <f>[1]!s_stmnote_bank_1n($B115,F$108,1,100000000)</f>
        <v>10656.49</v>
      </c>
      <c r="G115" s="385">
        <f>[1]!s_stmnote_bank_1n($B115,G$108,1,100000000)</f>
        <v>12642.45</v>
      </c>
      <c r="H115" s="385">
        <f>[1]!s_stmnote_bank_1n($B115,H$108,1,100000000)</f>
        <v>14340.37</v>
      </c>
      <c r="I115" s="385">
        <f>[1]!s_stmnote_bank_1n($B115,I$108,1,100000000)</f>
        <v>16629.009999999998</v>
      </c>
      <c r="J115" s="385">
        <f>[1]!s_stmnote_bank_1n($B115,J$108,1,100000000)</f>
        <v>19411.75</v>
      </c>
      <c r="K115" s="385">
        <f>[1]!s_stmnote_bank_1n($B115,K$108,1,100000000)</f>
        <v>21879.08</v>
      </c>
      <c r="L115" s="385">
        <f>[1]!s_stmnote_bank_1n($B115,L$108,1,100000000)</f>
        <v>25287.8</v>
      </c>
      <c r="M115" s="385">
        <f>[1]!s_stmnote_bank_1n($B115,M$108,1,100000000)</f>
        <v>28779.27</v>
      </c>
      <c r="N115" s="385">
        <f>[1]!s_stmnote_bank_1n($B115,N$108,1,100000000)</f>
        <v>30910.95</v>
      </c>
    </row>
    <row r="116" spans="1:14" ht="15.75" thickBot="1">
      <c r="A116" s="382" t="s">
        <v>70</v>
      </c>
      <c r="B116" s="25" t="str">
        <f>[1]!to_tradecode(A116)</f>
        <v>600000</v>
      </c>
      <c r="C116" s="385">
        <f>[1]!s_stmnote_bank_1n($B116,C$108,1,100000000)</f>
        <v>4608.9300199999998</v>
      </c>
      <c r="D116" s="385">
        <f>[1]!s_stmnote_bank_1n($B116,D$108,1,100000000)</f>
        <v>5509.8837800000001</v>
      </c>
      <c r="E116" s="385">
        <f>[1]!s_stmnote_bank_1n($B116,E$108,1,100000000)</f>
        <v>6975.6467000000002</v>
      </c>
      <c r="F116" s="385">
        <f>[1]!s_stmnote_bank_1n($B116,F$108,1,100000000)</f>
        <v>9288.5475000000006</v>
      </c>
      <c r="G116" s="385">
        <f>[1]!s_stmnote_bank_1n($B116,G$108,1,100000000)</f>
        <v>11464.89301</v>
      </c>
      <c r="H116" s="385">
        <f>[1]!s_stmnote_bank_1n($B116,H$108,1,100000000)</f>
        <v>13314.36044</v>
      </c>
      <c r="I116" s="385">
        <f>[1]!s_stmnote_bank_1n($B116,I$108,1,100000000)</f>
        <v>15445.53</v>
      </c>
      <c r="J116" s="385">
        <f>[1]!s_stmnote_bank_1n($B116,J$108,1,100000000)</f>
        <v>17674.939999999999</v>
      </c>
      <c r="K116" s="385">
        <f>[1]!s_stmnote_bank_1n($B116,K$108,1,100000000)</f>
        <v>20283.8</v>
      </c>
      <c r="L116" s="385">
        <f>[1]!s_stmnote_bank_1n($B116,L$108,1,100000000)</f>
        <v>22455.18</v>
      </c>
      <c r="M116" s="385">
        <f>[1]!s_stmnote_bank_1n($B116,M$108,1,100000000)</f>
        <v>27628.06</v>
      </c>
      <c r="N116" s="385">
        <f>[1]!s_stmnote_bank_1n($B116,N$108,1,100000000)</f>
        <v>30274.86</v>
      </c>
    </row>
    <row r="117" spans="1:14" ht="15.75" thickBot="1">
      <c r="A117" s="382" t="s">
        <v>71</v>
      </c>
      <c r="B117" s="25" t="str">
        <f>[1]!to_tradecode(A117)</f>
        <v>600016</v>
      </c>
      <c r="C117" s="385">
        <f>[1]!s_stmnote_bank_1n($B117,C$108,1,100000000)</f>
        <v>4474.4724800000004</v>
      </c>
      <c r="D117" s="385">
        <f>[1]!s_stmnote_bank_1n($B117,D$108,1,100000000)</f>
        <v>5549.5852800000002</v>
      </c>
      <c r="E117" s="385">
        <f>[1]!s_stmnote_bank_1n($B117,E$108,1,100000000)</f>
        <v>6583.6</v>
      </c>
      <c r="F117" s="385">
        <f>[1]!s_stmnote_bank_1n($B117,F$108,1,100000000)</f>
        <v>8829.7900000000009</v>
      </c>
      <c r="G117" s="385">
        <f>[1]!s_stmnote_bank_1n($B117,G$108,1,100000000)</f>
        <v>10575.71</v>
      </c>
      <c r="H117" s="385">
        <f>[1]!s_stmnote_bank_1n($B117,H$108,1,100000000)</f>
        <v>12052.21</v>
      </c>
      <c r="I117" s="385">
        <f>[1]!s_stmnote_bank_1n($B117,I$108,1,100000000)</f>
        <v>13846.1</v>
      </c>
      <c r="J117" s="385">
        <f>[1]!s_stmnote_bank_1n($B117,J$108,1,100000000)</f>
        <v>15742.63</v>
      </c>
      <c r="K117" s="385">
        <f>[1]!s_stmnote_bank_1n($B117,K$108,1,100000000)</f>
        <v>18126.66</v>
      </c>
      <c r="L117" s="385">
        <f>[1]!s_stmnote_bank_1n($B117,L$108,1,100000000)</f>
        <v>20480.48</v>
      </c>
      <c r="M117" s="385">
        <f>[1]!s_stmnote_bank_1n($B117,M$108,1,100000000)</f>
        <v>24615.86</v>
      </c>
      <c r="N117" s="385">
        <f>[1]!s_stmnote_bank_1n($B117,N$108,1,100000000)</f>
        <v>27062.94</v>
      </c>
    </row>
    <row r="118" spans="1:14" ht="15.75" thickBot="1">
      <c r="A118" s="382" t="s">
        <v>72</v>
      </c>
      <c r="B118" s="25" t="str">
        <f>[1]!to_tradecode(A118)</f>
        <v>601166</v>
      </c>
      <c r="C118" s="385">
        <f>[1]!s_stmnote_bank_1n($B118,C$108,1,100000000)</f>
        <v>3245.1191899999999</v>
      </c>
      <c r="D118" s="385">
        <f>[1]!s_stmnote_bank_1n($B118,D$108,1,100000000)</f>
        <v>4001.4277699999998</v>
      </c>
      <c r="E118" s="385">
        <f>[1]!s_stmnote_bank_1n($B118,E$108,1,100000000)</f>
        <v>4993.8642900000004</v>
      </c>
      <c r="F118" s="385">
        <f>[1]!s_stmnote_bank_1n($B118,F$108,1,100000000)</f>
        <v>7015.9746100000002</v>
      </c>
      <c r="G118" s="385">
        <f>[1]!s_stmnote_bank_1n($B118,G$108,1,100000000)</f>
        <v>8543.39</v>
      </c>
      <c r="H118" s="385">
        <f>[1]!s_stmnote_bank_1n($B118,H$108,1,100000000)</f>
        <v>9832.5400000000009</v>
      </c>
      <c r="I118" s="385">
        <f>[1]!s_stmnote_bank_1n($B118,I$108,1,100000000)</f>
        <v>12291.65</v>
      </c>
      <c r="J118" s="385">
        <f>[1]!s_stmnote_bank_1n($B118,J$108,1,100000000)</f>
        <v>13570.57</v>
      </c>
      <c r="K118" s="385">
        <f>[1]!s_stmnote_bank_1n($B118,K$108,1,100000000)</f>
        <v>15931.48</v>
      </c>
      <c r="L118" s="385">
        <f>[1]!s_stmnote_bank_1n($B118,L$108,1,100000000)</f>
        <v>17794.080000000002</v>
      </c>
      <c r="M118" s="385">
        <f>[1]!s_stmnote_bank_1n($B118,M$108,1,100000000)</f>
        <v>20798.14</v>
      </c>
      <c r="N118" s="385">
        <f>[1]!s_stmnote_bank_1n($B118,N$108,1,100000000)</f>
        <v>22846.65</v>
      </c>
    </row>
    <row r="119" spans="1:14" ht="15.75" thickBot="1">
      <c r="A119" s="382" t="s">
        <v>73</v>
      </c>
      <c r="B119" s="25" t="str">
        <f>[1]!to_tradecode(A119)</f>
        <v>601818</v>
      </c>
      <c r="C119" s="385"/>
      <c r="D119" s="385"/>
      <c r="E119" s="385">
        <f>[1]!s_stmnote_bank_1n($B119,E$108,1,100000000)</f>
        <v>4684.87</v>
      </c>
      <c r="F119" s="385">
        <f>[1]!s_stmnote_bank_1n($B119,F$108,1,100000000)</f>
        <v>6489.69</v>
      </c>
      <c r="G119" s="385">
        <f>[1]!s_stmnote_bank_1n($B119,G$108,1,100000000)</f>
        <v>7788.2842000000001</v>
      </c>
      <c r="H119" s="385">
        <f>[1]!s_stmnote_bank_1n($B119,H$108,1,100000000)</f>
        <v>8903.65</v>
      </c>
      <c r="I119" s="385">
        <f>[1]!s_stmnote_bank_1n($B119,I$108,1,100000000)</f>
        <v>10231.870000000001</v>
      </c>
      <c r="J119" s="385">
        <f>[1]!s_stmnote_bank_1n($B119,J$108,1,100000000)</f>
        <v>11663.1</v>
      </c>
      <c r="K119" s="385">
        <f>[1]!s_stmnote_bank_1n($B119,K$108,1,100000000)</f>
        <v>12994.55</v>
      </c>
      <c r="L119" s="385">
        <f>[1]!s_stmnote_bank_1n($B119,L$108,1,100000000)</f>
        <v>15135.43</v>
      </c>
      <c r="M119" s="385">
        <f>[1]!s_stmnote_bank_1n($B119,M$108,1,100000000)</f>
        <v>17952.78</v>
      </c>
      <c r="N119" s="385">
        <f>[1]!s_stmnote_bank_1n($B119,N$108,1,100000000)</f>
        <v>19644.48</v>
      </c>
    </row>
    <row r="120" spans="1:14" ht="15.75" thickBot="1">
      <c r="A120" s="382" t="s">
        <v>74</v>
      </c>
      <c r="B120" s="25" t="str">
        <f>[1]!to_tradecode(A120)</f>
        <v>600015</v>
      </c>
      <c r="C120" s="385">
        <f>[1]!s_stmnote_bank_1n($B120,C$108,1,100000000)</f>
        <v>2597.6714499999998</v>
      </c>
      <c r="D120" s="385">
        <f>[1]!s_stmnote_bank_1n($B120,D$108,1,100000000)</f>
        <v>3060.7766999999999</v>
      </c>
      <c r="E120" s="385">
        <f>[1]!s_stmnote_bank_1n($B120,E$108,1,100000000)</f>
        <v>3554.7783800000002</v>
      </c>
      <c r="F120" s="385">
        <f>[1]!s_stmnote_bank_1n($B120,F$108,1,100000000)</f>
        <v>4302.2558399999998</v>
      </c>
      <c r="G120" s="385">
        <f>[1]!s_stmnote_bank_1n($B120,G$108,1,100000000)</f>
        <v>5279.3668118421001</v>
      </c>
      <c r="H120" s="385">
        <f>[1]!s_stmnote_bank_1n($B120,H$108,1,100000000)</f>
        <v>6114.6291717058994</v>
      </c>
      <c r="I120" s="385">
        <f>[1]!s_stmnote_bank_1n($B120,I$108,1,100000000)</f>
        <v>7201.6802403257998</v>
      </c>
      <c r="J120" s="385">
        <f>[1]!s_stmnote_bank_1n($B120,J$108,1,100000000)</f>
        <v>8231.69</v>
      </c>
      <c r="K120" s="385">
        <f>[1]!s_stmnote_bank_1n($B120,K$108,1,100000000)</f>
        <v>9399.89</v>
      </c>
      <c r="L120" s="385">
        <f>[1]!s_stmnote_bank_1n($B120,L$108,1,100000000)</f>
        <v>10691.72</v>
      </c>
      <c r="M120" s="385">
        <f>[1]!s_stmnote_bank_1n($B120,M$108,1,100000000)</f>
        <v>12166.54</v>
      </c>
      <c r="N120" s="385">
        <f>[1]!s_stmnote_bank_1n($B120,N$108,1,100000000)</f>
        <v>13095.53</v>
      </c>
    </row>
    <row r="121" spans="1:14" ht="15.75" thickBot="1">
      <c r="A121" s="382" t="s">
        <v>75</v>
      </c>
      <c r="B121" s="25" t="str">
        <f>[1]!to_tradecode(A121)</f>
        <v>000001</v>
      </c>
      <c r="C121" s="385">
        <f>[1]!s_stmnote_bank_1n($B121,C$108,1,100000000)</f>
        <v>1821.8194696099999</v>
      </c>
      <c r="D121" s="385">
        <f>[1]!s_stmnote_bank_1n($B121,D$108,1,100000000)</f>
        <v>2218.13598</v>
      </c>
      <c r="E121" s="385">
        <f>[1]!s_stmnote_bank_1n($B121,E$108,1,100000000)</f>
        <v>2837.4136600000002</v>
      </c>
      <c r="F121" s="385">
        <f>[1]!s_stmnote_bank_1n($B121,F$108,1,100000000)</f>
        <v>3595.1741299999999</v>
      </c>
      <c r="G121" s="385">
        <f>[1]!s_stmnote_bank_1n($B121,G$108,1,100000000)</f>
        <v>4073.9113499999999</v>
      </c>
      <c r="H121" s="385">
        <f>[1]!s_stmnote_bank_1n($B121,H$108,1,100000000)</f>
        <v>6206.4181699999999</v>
      </c>
      <c r="I121" s="385">
        <f>[1]!s_stmnote_bank_1n($B121,I$108,1,100000000)</f>
        <v>7207.8004799999999</v>
      </c>
      <c r="J121" s="385">
        <f>[1]!s_stmnote_bank_1n($B121,J$108,1,100000000)</f>
        <v>8472.89</v>
      </c>
      <c r="K121" s="385">
        <f>[1]!s_stmnote_bank_1n($B121,K$108,1,100000000)</f>
        <v>10247.34</v>
      </c>
      <c r="L121" s="385">
        <f>[1]!s_stmnote_bank_1n($B121,L$108,1,100000000)</f>
        <v>12161.38</v>
      </c>
      <c r="M121" s="385">
        <f>[1]!s_stmnote_bank_1n($B121,M$108,1,100000000)</f>
        <v>14758.01</v>
      </c>
      <c r="N121" s="385">
        <f>[1]!s_stmnote_bank_1n($B121,N$108,1,100000000)</f>
        <v>15942.81</v>
      </c>
    </row>
    <row r="122" spans="1:14" ht="15.75" thickBot="1">
      <c r="A122" s="382" t="s">
        <v>76</v>
      </c>
      <c r="B122" s="25" t="str">
        <f>[1]!to_tradecode(A122)</f>
        <v>601169</v>
      </c>
      <c r="C122" s="385">
        <f>[1]!s_stmnote_bank_1n($B122,C$108,1,100000000)</f>
        <v>1295.7731699999999</v>
      </c>
      <c r="D122" s="385">
        <f>[1]!s_stmnote_bank_1n($B122,D$108,1,100000000)</f>
        <v>1572.0810100000001</v>
      </c>
      <c r="E122" s="385">
        <f>[1]!s_stmnote_bank_1n($B122,E$108,1,100000000)</f>
        <v>1930.7370000000001</v>
      </c>
      <c r="F122" s="385">
        <f>[1]!s_stmnote_bank_1n($B122,F$108,1,100000000)</f>
        <v>2734.80942</v>
      </c>
      <c r="G122" s="385">
        <f>[1]!s_stmnote_bank_1n($B122,G$108,1,100000000)</f>
        <v>3347.31772</v>
      </c>
      <c r="H122" s="385">
        <f>[1]!s_stmnote_bank_1n($B122,H$108,1,100000000)</f>
        <v>4056.0951500000001</v>
      </c>
      <c r="I122" s="385">
        <f>[1]!s_stmnote_bank_1n($B122,I$108,1,100000000)</f>
        <v>4967.2023399999998</v>
      </c>
      <c r="J122" s="385">
        <f>[1]!s_stmnote_bank_1n($B122,J$108,1,100000000)</f>
        <v>5848.6183300000002</v>
      </c>
      <c r="K122" s="385">
        <f>[1]!s_stmnote_bank_1n($B122,K$108,1,100000000)</f>
        <v>6752.88</v>
      </c>
      <c r="L122" s="385">
        <f>[1]!s_stmnote_bank_1n($B122,L$108,1,100000000)</f>
        <v>7753.9</v>
      </c>
      <c r="M122" s="385">
        <f>[1]!s_stmnote_bank_1n($B122,M$108,1,100000000)</f>
        <v>8999.07</v>
      </c>
      <c r="N122" s="385">
        <f>[1]!s_stmnote_bank_1n($B122,N$108,1,100000000)</f>
        <v>10295.5</v>
      </c>
    </row>
    <row r="123" spans="1:14" ht="15.75" thickBot="1">
      <c r="A123" s="382" t="s">
        <v>77</v>
      </c>
      <c r="B123" s="25" t="str">
        <f>[1]!to_tradecode(A123)</f>
        <v>601009</v>
      </c>
      <c r="C123" s="385">
        <f>[1]!s_stmnote_bank_1n($B123,C$108,1,100000000)</f>
        <v>255.04997</v>
      </c>
      <c r="D123" s="385">
        <f>[1]!s_stmnote_bank_1n($B123,D$108,1,100000000)</f>
        <v>306.29237000000001</v>
      </c>
      <c r="E123" s="385">
        <f>[1]!s_stmnote_bank_1n($B123,E$108,1,100000000)</f>
        <v>401.79527000000002</v>
      </c>
      <c r="F123" s="385">
        <f>[1]!s_stmnote_bank_1n($B123,F$108,1,100000000)</f>
        <v>670.28048999999999</v>
      </c>
      <c r="G123" s="385">
        <f>[1]!s_stmnote_bank_1n($B123,G$108,1,100000000)</f>
        <v>838.91660000000002</v>
      </c>
      <c r="H123" s="385">
        <f>[1]!s_stmnote_bank_1n($B123,H$108,1,100000000)</f>
        <v>1028.0496900000001</v>
      </c>
      <c r="I123" s="385">
        <f>[1]!s_stmnote_bank_1n($B123,I$108,1,100000000)</f>
        <v>1252.6865499999999</v>
      </c>
      <c r="J123" s="385">
        <f>[1]!s_stmnote_bank_1n($B123,J$108,1,100000000)</f>
        <v>1469.614</v>
      </c>
      <c r="K123" s="385">
        <f>[1]!s_stmnote_bank_1n($B123,K$108,1,100000000)</f>
        <v>1746.8520599999999</v>
      </c>
      <c r="L123" s="385">
        <f>[1]!s_stmnote_bank_1n($B123,L$108,1,100000000)</f>
        <v>2511.9754899999998</v>
      </c>
      <c r="M123" s="385">
        <f>[1]!s_stmnote_bank_1n($B123,M$108,1,100000000)</f>
        <v>3317.8481499999998</v>
      </c>
      <c r="N123" s="385">
        <f>[1]!s_stmnote_bank_1n($B123,N$108,1,100000000)</f>
        <v>3685.21729</v>
      </c>
    </row>
    <row r="124" spans="1:14">
      <c r="A124" s="382" t="s">
        <v>78</v>
      </c>
      <c r="B124" s="25" t="str">
        <f>[1]!to_tradecode(A124)</f>
        <v>002142</v>
      </c>
      <c r="C124" s="385">
        <f>[1]!s_stmnote_bank_1n($B124,C$108,1,100000000)</f>
        <v>281.34899000000001</v>
      </c>
      <c r="D124" s="385">
        <f>[1]!s_stmnote_bank_1n($B124,D$108,1,100000000)</f>
        <v>365.02456276610002</v>
      </c>
      <c r="E124" s="385">
        <f>[1]!s_stmnote_bank_1n($B124,E$108,1,100000000)</f>
        <v>491.55965919210001</v>
      </c>
      <c r="F124" s="385">
        <f>[1]!s_stmnote_bank_1n($B124,F$108,1,100000000)</f>
        <v>818.63849000000005</v>
      </c>
      <c r="G124" s="385">
        <f>[1]!s_stmnote_bank_1n($B124,G$108,1,100000000)</f>
        <v>1015.74407</v>
      </c>
      <c r="H124" s="385">
        <f>[1]!s_stmnote_bank_1n($B124,H$108,1,100000000)</f>
        <v>1227.4511</v>
      </c>
      <c r="I124" s="385">
        <f>[1]!s_stmnote_bank_1n($B124,I$108,1,100000000)</f>
        <v>1456.17543</v>
      </c>
      <c r="J124" s="385">
        <f>[1]!s_stmnote_bank_1n($B124,J$108,1,100000000)</f>
        <v>1711.8966600000001</v>
      </c>
      <c r="K124" s="385">
        <f>[1]!s_stmnote_bank_1n($B124,K$108,1,100000000)</f>
        <v>2100.6218199999998</v>
      </c>
      <c r="L124" s="385">
        <f>[1]!s_stmnote_bank_1n($B124,L$108,1,100000000)</f>
        <v>2556.8858</v>
      </c>
      <c r="M124" s="385">
        <f>[1]!s_stmnote_bank_1n($B124,M$108,1,100000000)</f>
        <v>3025.0667800000001</v>
      </c>
      <c r="N124" s="385">
        <f>[1]!s_stmnote_bank_1n($B124,N$108,1,100000000)</f>
        <v>3256.9820800000002</v>
      </c>
    </row>
    <row r="126" spans="1:14" thickBot="1">
      <c r="A126" s="24" t="s">
        <v>345</v>
      </c>
      <c r="B126" s="268">
        <v>2006</v>
      </c>
      <c r="C126" s="268">
        <v>2007</v>
      </c>
      <c r="D126" s="268">
        <v>2008</v>
      </c>
      <c r="E126" s="268">
        <v>2009</v>
      </c>
      <c r="F126" s="268">
        <v>2010</v>
      </c>
      <c r="G126" s="268">
        <v>2011</v>
      </c>
      <c r="H126" s="268">
        <v>2012</v>
      </c>
      <c r="I126" s="268">
        <v>2013</v>
      </c>
      <c r="J126" s="268">
        <v>2014</v>
      </c>
      <c r="K126" s="268">
        <v>2015</v>
      </c>
      <c r="L126" s="268">
        <v>2016</v>
      </c>
      <c r="M126" s="268" t="s">
        <v>60</v>
      </c>
    </row>
    <row r="127" spans="1:14" ht="15.75" thickTop="1">
      <c r="A127" s="24" t="s">
        <v>339</v>
      </c>
      <c r="B127" s="385">
        <f>SUM(C109:C113)</f>
        <v>98338.53</v>
      </c>
      <c r="C127" s="385">
        <f t="shared" ref="C127:M127" si="4">SUM(D109:D113)</f>
        <v>113004.07</v>
      </c>
      <c r="D127" s="385">
        <f t="shared" si="4"/>
        <v>129906.72999999998</v>
      </c>
      <c r="E127" s="385">
        <f t="shared" si="4"/>
        <v>214362.58000000002</v>
      </c>
      <c r="F127" s="385">
        <f t="shared" si="4"/>
        <v>253139.22999999998</v>
      </c>
      <c r="G127" s="385">
        <f t="shared" si="4"/>
        <v>288185.77</v>
      </c>
      <c r="H127" s="385">
        <f t="shared" si="4"/>
        <v>325613.98</v>
      </c>
      <c r="I127" s="385">
        <f t="shared" si="4"/>
        <v>366113.02999999997</v>
      </c>
      <c r="J127" s="385">
        <f t="shared" si="4"/>
        <v>405139.30999999994</v>
      </c>
      <c r="K127" s="385">
        <f t="shared" si="4"/>
        <v>441863.89999999997</v>
      </c>
      <c r="L127" s="385">
        <f t="shared" si="4"/>
        <v>486098.38</v>
      </c>
      <c r="M127" s="385">
        <f t="shared" si="4"/>
        <v>518056.98</v>
      </c>
    </row>
    <row r="128" spans="1:14">
      <c r="A128" s="24" t="s">
        <v>340</v>
      </c>
      <c r="B128" s="385">
        <f>SUM(C114:C121)</f>
        <v>27036.705449609999</v>
      </c>
      <c r="C128" s="385">
        <f t="shared" ref="C128:M128" si="5">SUM(D114:D121)</f>
        <v>32823.559509999999</v>
      </c>
      <c r="D128" s="385">
        <f t="shared" si="5"/>
        <v>45023.033030000006</v>
      </c>
      <c r="E128" s="385">
        <f t="shared" si="5"/>
        <v>62036.142079999998</v>
      </c>
      <c r="F128" s="385">
        <f t="shared" si="5"/>
        <v>74682.515371842092</v>
      </c>
      <c r="G128" s="385">
        <f t="shared" si="5"/>
        <v>87174.927781705905</v>
      </c>
      <c r="H128" s="385">
        <f t="shared" si="5"/>
        <v>101898.2707203258</v>
      </c>
      <c r="I128" s="385">
        <f t="shared" si="5"/>
        <v>116738.51000000002</v>
      </c>
      <c r="J128" s="385">
        <f t="shared" si="5"/>
        <v>134001.99000000002</v>
      </c>
      <c r="K128" s="385">
        <f t="shared" si="5"/>
        <v>152248.93</v>
      </c>
      <c r="L128" s="385">
        <f t="shared" si="5"/>
        <v>179315.47000000003</v>
      </c>
      <c r="M128" s="385">
        <f t="shared" si="5"/>
        <v>195177.60000000001</v>
      </c>
    </row>
    <row r="129" spans="1:13">
      <c r="A129" s="24" t="s">
        <v>341</v>
      </c>
      <c r="B129" s="385">
        <f>SUM(C122:C124)</f>
        <v>1832.1721299999999</v>
      </c>
      <c r="C129" s="385">
        <f t="shared" ref="C129:M129" si="6">SUM(D122:D124)</f>
        <v>2243.3979427661002</v>
      </c>
      <c r="D129" s="385">
        <f t="shared" si="6"/>
        <v>2824.0919291921</v>
      </c>
      <c r="E129" s="385">
        <f t="shared" si="6"/>
        <v>4223.7284</v>
      </c>
      <c r="F129" s="385">
        <f t="shared" si="6"/>
        <v>5201.9783899999993</v>
      </c>
      <c r="G129" s="385">
        <f t="shared" si="6"/>
        <v>6311.5959400000002</v>
      </c>
      <c r="H129" s="385">
        <f t="shared" si="6"/>
        <v>7676.0643200000004</v>
      </c>
      <c r="I129" s="385">
        <f t="shared" si="6"/>
        <v>9030.1289900000011</v>
      </c>
      <c r="J129" s="385">
        <f t="shared" si="6"/>
        <v>10600.353880000001</v>
      </c>
      <c r="K129" s="385">
        <f t="shared" si="6"/>
        <v>12822.761289999999</v>
      </c>
      <c r="L129" s="385">
        <f t="shared" si="6"/>
        <v>15341.984929999999</v>
      </c>
      <c r="M129" s="385">
        <f t="shared" si="6"/>
        <v>17237.699370000002</v>
      </c>
    </row>
    <row r="130" spans="1:13">
      <c r="A130" s="24" t="s">
        <v>346</v>
      </c>
      <c r="B130" s="385">
        <f>SUM(C109:C124)</f>
        <v>127207.40757960998</v>
      </c>
      <c r="C130" s="385">
        <f t="shared" ref="C130:M130" si="7">SUM(D109:D124)</f>
        <v>148071.02745276611</v>
      </c>
      <c r="D130" s="385">
        <f t="shared" si="7"/>
        <v>177753.85495919207</v>
      </c>
      <c r="E130" s="385">
        <f t="shared" si="7"/>
        <v>280622.45048</v>
      </c>
      <c r="F130" s="385">
        <f t="shared" si="7"/>
        <v>333023.72376184212</v>
      </c>
      <c r="G130" s="385">
        <f t="shared" si="7"/>
        <v>381672.29372170602</v>
      </c>
      <c r="H130" s="385">
        <f t="shared" si="7"/>
        <v>435188.3150403258</v>
      </c>
      <c r="I130" s="385">
        <f t="shared" si="7"/>
        <v>491881.66899000003</v>
      </c>
      <c r="J130" s="385">
        <f t="shared" si="7"/>
        <v>549741.65387999977</v>
      </c>
      <c r="K130" s="385">
        <f t="shared" si="7"/>
        <v>606935.59129000001</v>
      </c>
      <c r="L130" s="385">
        <f t="shared" si="7"/>
        <v>680755.83493000001</v>
      </c>
      <c r="M130" s="385">
        <f t="shared" si="7"/>
        <v>730472.27936999989</v>
      </c>
    </row>
    <row r="132" spans="1:13" thickBot="1">
      <c r="A132" s="24" t="s">
        <v>343</v>
      </c>
      <c r="B132" s="268">
        <v>2007</v>
      </c>
      <c r="C132" s="268">
        <v>2008</v>
      </c>
      <c r="D132" s="268">
        <v>2009</v>
      </c>
      <c r="E132" s="268">
        <v>2010</v>
      </c>
      <c r="F132" s="268">
        <v>2011</v>
      </c>
      <c r="G132" s="268">
        <v>2012</v>
      </c>
      <c r="H132" s="268">
        <v>2013</v>
      </c>
      <c r="I132" s="268">
        <v>2014</v>
      </c>
      <c r="J132" s="268">
        <v>2015</v>
      </c>
      <c r="K132" s="268">
        <v>2016</v>
      </c>
      <c r="L132" s="268" t="s">
        <v>60</v>
      </c>
    </row>
    <row r="133" spans="1:13" ht="15.75" thickTop="1">
      <c r="A133" s="24" t="s">
        <v>339</v>
      </c>
      <c r="B133" s="386">
        <f>B103/B127</f>
        <v>-1.1650133472607337E-3</v>
      </c>
      <c r="C133" s="386">
        <f t="shared" ref="C133:L133" si="8">C103/C127</f>
        <v>2.5957912843316165E-3</v>
      </c>
      <c r="D133" s="386">
        <f t="shared" si="8"/>
        <v>-7.1265961355504925E-4</v>
      </c>
      <c r="E133" s="386">
        <f t="shared" si="8"/>
        <v>-1.3430982217138827E-3</v>
      </c>
      <c r="F133" s="386">
        <f t="shared" si="8"/>
        <v>1.5469747616756236E-4</v>
      </c>
      <c r="G133" s="386">
        <f t="shared" si="8"/>
        <v>1.2770581975647163E-3</v>
      </c>
      <c r="H133" s="386">
        <f t="shared" si="8"/>
        <v>3.425160062230744E-3</v>
      </c>
      <c r="I133" s="386">
        <f t="shared" si="8"/>
        <v>7.5846522042659894E-3</v>
      </c>
      <c r="J133" s="386">
        <f t="shared" si="8"/>
        <v>1.2225819311386991E-2</v>
      </c>
      <c r="K133" s="386">
        <f t="shared" si="8"/>
        <v>8.7736291649985459E-3</v>
      </c>
      <c r="L133" s="386">
        <f t="shared" si="8"/>
        <v>3.1991466418793647E-3</v>
      </c>
    </row>
    <row r="134" spans="1:13">
      <c r="A134" s="24" t="s">
        <v>340</v>
      </c>
      <c r="B134" s="386">
        <f t="shared" ref="B134:L136" si="9">B104/B128</f>
        <v>1.1015644615582998E-3</v>
      </c>
      <c r="C134" s="386">
        <f t="shared" si="9"/>
        <v>2.7337989503165251E-3</v>
      </c>
      <c r="D134" s="386">
        <f t="shared" si="9"/>
        <v>1.2870855076864201E-3</v>
      </c>
      <c r="E134" s="386">
        <f t="shared" si="9"/>
        <v>4.0355588610290326E-3</v>
      </c>
      <c r="F134" s="386">
        <f t="shared" si="9"/>
        <v>-2.8578753532513151E-3</v>
      </c>
      <c r="G134" s="386">
        <f t="shared" si="9"/>
        <v>3.3523687077986722E-3</v>
      </c>
      <c r="H134" s="386">
        <f t="shared" si="9"/>
        <v>6.8462344362517696E-3</v>
      </c>
      <c r="I134" s="386">
        <f t="shared" si="9"/>
        <v>1.1718326711553879E-2</v>
      </c>
      <c r="J134" s="386">
        <f t="shared" si="9"/>
        <v>1.8614201177161619E-2</v>
      </c>
      <c r="K134" s="386">
        <f t="shared" si="9"/>
        <v>1.9718693589505031E-2</v>
      </c>
      <c r="L134" s="386">
        <f t="shared" si="9"/>
        <v>6.4635248704420197E-3</v>
      </c>
    </row>
    <row r="135" spans="1:13">
      <c r="A135" s="24" t="s">
        <v>341</v>
      </c>
      <c r="B135" s="386">
        <f t="shared" si="9"/>
        <v>1.0690212824053819E-2</v>
      </c>
      <c r="C135" s="386">
        <f t="shared" si="9"/>
        <v>3.150527558675268E-2</v>
      </c>
      <c r="D135" s="386">
        <f t="shared" si="9"/>
        <v>-2.191464796094823E-2</v>
      </c>
      <c r="E135" s="386">
        <f t="shared" si="9"/>
        <v>3.2509062372476409E-2</v>
      </c>
      <c r="F135" s="386">
        <f t="shared" si="9"/>
        <v>-2.6961218442316529E-2</v>
      </c>
      <c r="G135" s="386">
        <f t="shared" si="9"/>
        <v>2.5419893262368753E-3</v>
      </c>
      <c r="H135" s="386">
        <f t="shared" si="9"/>
        <v>3.4557691400376386E-3</v>
      </c>
      <c r="I135" s="386">
        <f t="shared" si="9"/>
        <v>5.3432758328737879E-3</v>
      </c>
      <c r="J135" s="386">
        <f t="shared" si="9"/>
        <v>8.5519229854239542E-3</v>
      </c>
      <c r="K135" s="386">
        <f t="shared" si="9"/>
        <v>1.032673361105672E-2</v>
      </c>
      <c r="L135" s="386">
        <f t="shared" si="9"/>
        <v>4.6235158177801716E-3</v>
      </c>
    </row>
    <row r="136" spans="1:13">
      <c r="A136" s="24" t="s">
        <v>346</v>
      </c>
      <c r="B136" s="386">
        <f t="shared" si="9"/>
        <v>-5.1252295255123533E-4</v>
      </c>
      <c r="C136" s="386">
        <f t="shared" si="9"/>
        <v>3.0643865364980518E-3</v>
      </c>
      <c r="D136" s="386">
        <f t="shared" si="9"/>
        <v>-5.4299675883124265E-4</v>
      </c>
      <c r="E136" s="386">
        <f t="shared" si="9"/>
        <v>3.5545963163096701E-4</v>
      </c>
      <c r="F136" s="386">
        <f t="shared" si="9"/>
        <v>-9.4445222145773814E-4</v>
      </c>
      <c r="G136" s="386">
        <f t="shared" si="9"/>
        <v>1.7719821968637103E-3</v>
      </c>
      <c r="H136" s="386">
        <f t="shared" si="9"/>
        <v>4.2267360878555614E-3</v>
      </c>
      <c r="I136" s="386">
        <f t="shared" si="9"/>
        <v>8.5245511966522275E-3</v>
      </c>
      <c r="J136" s="386">
        <f t="shared" si="9"/>
        <v>1.3712174358258587E-2</v>
      </c>
      <c r="K136" s="386">
        <f t="shared" si="9"/>
        <v>1.1551995533987265E-2</v>
      </c>
      <c r="L136" s="386">
        <f t="shared" si="9"/>
        <v>4.0911054552861485E-3</v>
      </c>
    </row>
    <row r="139" spans="1:13" ht="14.25">
      <c r="A139" s="24" t="s">
        <v>348</v>
      </c>
      <c r="B139" s="7">
        <v>2007</v>
      </c>
      <c r="C139" s="7">
        <v>2008</v>
      </c>
      <c r="D139" s="7">
        <v>2009</v>
      </c>
      <c r="E139" s="7">
        <v>2010</v>
      </c>
      <c r="F139" s="7">
        <v>2011</v>
      </c>
      <c r="G139" s="7">
        <v>2012</v>
      </c>
      <c r="H139" s="7">
        <v>2013</v>
      </c>
      <c r="I139" s="7">
        <v>2014</v>
      </c>
      <c r="J139" s="7">
        <v>2015</v>
      </c>
      <c r="K139" s="7">
        <v>2016</v>
      </c>
      <c r="L139" s="37" t="s">
        <v>6</v>
      </c>
    </row>
    <row r="140" spans="1:13" ht="15.75" thickBot="1">
      <c r="A140" s="383" t="s">
        <v>12</v>
      </c>
      <c r="B140" s="25">
        <f>工商银行!B22</f>
        <v>-131.37</v>
      </c>
      <c r="C140" s="25">
        <f>工商银行!C22</f>
        <v>-149.07</v>
      </c>
      <c r="D140" s="25">
        <f>工商银行!D22</f>
        <v>-121.08</v>
      </c>
      <c r="E140" s="25">
        <f>工商银行!E22</f>
        <v>-69.040000000000006</v>
      </c>
      <c r="F140" s="25">
        <f>工商银行!F22</f>
        <v>-45.46</v>
      </c>
      <c r="G140" s="25">
        <f>工商银行!G22</f>
        <v>-75.28</v>
      </c>
      <c r="H140" s="25">
        <f>工商银行!H22</f>
        <v>-165</v>
      </c>
      <c r="I140" s="25">
        <f>工商银行!I22</f>
        <v>-383.64</v>
      </c>
      <c r="J140" s="25">
        <f>工商银行!J22</f>
        <v>-602.96</v>
      </c>
      <c r="K140" s="25">
        <f>工商银行!K22</f>
        <v>-741.44</v>
      </c>
      <c r="L140" s="25">
        <f>工商银行!L22</f>
        <v>-333.42</v>
      </c>
    </row>
    <row r="141" spans="1:13">
      <c r="A141" s="382" t="s">
        <v>65</v>
      </c>
      <c r="B141" s="25">
        <f>建设银行!B22</f>
        <v>-69.66</v>
      </c>
      <c r="C141" s="25">
        <f>建设银行!C22</f>
        <v>-134.24</v>
      </c>
      <c r="D141" s="25">
        <f>建设银行!D22</f>
        <v>-72.820000000000007</v>
      </c>
      <c r="E141" s="25">
        <f>建设银行!E22</f>
        <v>-96.78</v>
      </c>
      <c r="F141" s="25">
        <f>建设银行!F22</f>
        <v>-41.23</v>
      </c>
      <c r="G141" s="25">
        <f>建设银行!G22</f>
        <v>-68.900000000000006</v>
      </c>
      <c r="H141" s="25">
        <f>建设银行!H22</f>
        <v>-167.29000000000002</v>
      </c>
      <c r="I141" s="25">
        <f>建设银行!I22</f>
        <v>-356.61</v>
      </c>
      <c r="J141" s="25">
        <f>建设银行!J22</f>
        <v>-924.36</v>
      </c>
      <c r="K141" s="25">
        <f>建设银行!K22</f>
        <v>-717.93000000000006</v>
      </c>
      <c r="L141" s="25">
        <f>建设银行!L22</f>
        <v>-271.33999999999997</v>
      </c>
    </row>
    <row r="142" spans="1:13" ht="15.75" thickBot="1">
      <c r="A142" s="383" t="s">
        <v>66</v>
      </c>
      <c r="E142" s="25">
        <f>农业银行!B22</f>
        <v>-3.5500000000000003</v>
      </c>
      <c r="F142" s="25">
        <f>农业银行!C22</f>
        <v>-2.83</v>
      </c>
      <c r="G142" s="25">
        <f>农业银行!D22</f>
        <v>-40.090000000000003</v>
      </c>
      <c r="H142" s="25">
        <f>农业银行!E22</f>
        <v>-97.84</v>
      </c>
      <c r="I142" s="25">
        <f>农业银行!F22</f>
        <v>-292.22000000000003</v>
      </c>
      <c r="J142" s="25">
        <f>农业银行!G22</f>
        <v>-413.29</v>
      </c>
      <c r="K142" s="25">
        <f>农业银行!H22</f>
        <v>-827.46</v>
      </c>
      <c r="L142" s="25">
        <f>农业银行!I22</f>
        <v>-283.2</v>
      </c>
      <c r="M142" s="25"/>
    </row>
    <row r="143" spans="1:13" ht="15.75" thickBot="1">
      <c r="A143" s="382" t="s">
        <v>67</v>
      </c>
      <c r="B143" s="25">
        <f>中国银行!B22</f>
        <v>-67.98</v>
      </c>
      <c r="C143" s="25">
        <f>中国银行!C22</f>
        <v>-55.75</v>
      </c>
      <c r="D143" s="25">
        <f>中国银行!D22</f>
        <v>-90.38</v>
      </c>
      <c r="E143" s="25">
        <f>中国银行!E22</f>
        <v>-55.17</v>
      </c>
      <c r="F143" s="25">
        <f>中国银行!F22</f>
        <v>-18.09</v>
      </c>
      <c r="G143" s="25">
        <f>中国银行!G22</f>
        <v>-42.09</v>
      </c>
      <c r="H143" s="25">
        <f>中国银行!H22</f>
        <v>-90.96</v>
      </c>
      <c r="I143" s="25">
        <f>中国银行!I22</f>
        <v>-257.31</v>
      </c>
      <c r="J143" s="25">
        <f>中国银行!J22</f>
        <v>-451.97</v>
      </c>
      <c r="K143" s="25">
        <f>中国银行!K22</f>
        <v>-524.76</v>
      </c>
      <c r="L143" s="25">
        <f>中国银行!L22</f>
        <v>-403.92</v>
      </c>
      <c r="M143" s="25"/>
    </row>
    <row r="144" spans="1:13" ht="15.75" thickBot="1">
      <c r="A144" s="382" t="s">
        <v>68</v>
      </c>
      <c r="B144" s="25">
        <f>交通银行!B22</f>
        <v>-16.53</v>
      </c>
      <c r="C144" s="25">
        <f>交通银行!C22</f>
        <v>-24.52</v>
      </c>
      <c r="D144" s="25">
        <f>交通银行!D22</f>
        <v>-33.269999999999996</v>
      </c>
      <c r="E144" s="25">
        <f>交通银行!E22</f>
        <v>-35.300000000000004</v>
      </c>
      <c r="F144" s="25">
        <f>交通银行!F22</f>
        <v>-24.27</v>
      </c>
      <c r="G144" s="25">
        <f>交通银行!G22</f>
        <v>-32.269999999999996</v>
      </c>
      <c r="H144" s="25">
        <f>交通银行!H22</f>
        <v>-125.88</v>
      </c>
      <c r="I144" s="25">
        <f>交通银行!I22</f>
        <v>-168.72000000000003</v>
      </c>
      <c r="J144" s="25">
        <f>交通银行!J22</f>
        <v>-167.39000000000001</v>
      </c>
      <c r="K144" s="25">
        <f>交通银行!K22</f>
        <v>-222.56</v>
      </c>
      <c r="L144" s="25">
        <f>交通银行!L22</f>
        <v>-88.17</v>
      </c>
      <c r="M144" s="25"/>
    </row>
    <row r="145" spans="1:13" ht="15.75" thickBot="1">
      <c r="A145" s="382" t="s">
        <v>13</v>
      </c>
      <c r="B145" s="25">
        <f>招商银行!B22</f>
        <v>-2.9000000000000004</v>
      </c>
      <c r="C145" s="25">
        <f>招商银行!C22</f>
        <v>-7.55</v>
      </c>
      <c r="D145" s="25">
        <f>招商银行!D22</f>
        <v>-7.26</v>
      </c>
      <c r="E145" s="25">
        <f>招商银行!E22</f>
        <v>-1.18</v>
      </c>
      <c r="F145" s="25">
        <f>招商银行!F22</f>
        <v>-5.83</v>
      </c>
      <c r="G145" s="25">
        <f>招商银行!G22</f>
        <v>-8.7799999999999994</v>
      </c>
      <c r="H145" s="25">
        <f>招商银行!H22</f>
        <v>-21.419999999999998</v>
      </c>
      <c r="I145" s="25">
        <f>招商银行!I22</f>
        <v>-149.16999999999999</v>
      </c>
      <c r="J145" s="25">
        <f>招商银行!J22</f>
        <v>-383.83</v>
      </c>
      <c r="K145" s="25">
        <f>招商银行!K22</f>
        <v>-416.42</v>
      </c>
      <c r="L145" s="25">
        <f>招商银行!L22</f>
        <v>-98.13</v>
      </c>
      <c r="M145" s="25"/>
    </row>
    <row r="146" spans="1:13" ht="15.75" thickBot="1">
      <c r="A146" s="382" t="s">
        <v>69</v>
      </c>
      <c r="B146" s="25">
        <f>中信银行!B22</f>
        <v>-31.169999999999998</v>
      </c>
      <c r="C146" s="25">
        <f>中信银行!C22</f>
        <v>-10.030000000000001</v>
      </c>
      <c r="D146" s="25">
        <f>中信银行!D22</f>
        <v>-13.28</v>
      </c>
      <c r="E146" s="25">
        <f>中信银行!E22</f>
        <v>-11.98</v>
      </c>
      <c r="F146" s="25">
        <f>中信银行!F22</f>
        <v>-7.2</v>
      </c>
      <c r="G146" s="25">
        <f>中信银行!G22</f>
        <v>-7.96</v>
      </c>
      <c r="H146" s="25">
        <f>中信银行!H22</f>
        <v>-53.47</v>
      </c>
      <c r="I146" s="25">
        <f>中信银行!I22</f>
        <v>-116.08</v>
      </c>
      <c r="J146" s="25">
        <f>中信银行!J22</f>
        <v>-262.07</v>
      </c>
      <c r="K146" s="25">
        <f>中信银行!K22</f>
        <v>-306.77</v>
      </c>
      <c r="L146" s="25">
        <f>中信银行!L22</f>
        <v>-191.14000000000001</v>
      </c>
      <c r="M146" s="25"/>
    </row>
    <row r="147" spans="1:13" ht="15.75" thickBot="1">
      <c r="A147" s="382" t="s">
        <v>70</v>
      </c>
      <c r="B147" s="381">
        <f>浦发银行!B22</f>
        <v>-8.0502400000000005</v>
      </c>
      <c r="C147" s="381">
        <f>浦发银行!C22</f>
        <v>-23.348420000000001</v>
      </c>
      <c r="D147" s="381">
        <f>浦发银行!D22</f>
        <v>-8.1898499999999999</v>
      </c>
      <c r="E147" s="381">
        <f>浦发银行!E22</f>
        <v>-4.1972899999999997</v>
      </c>
      <c r="F147" s="381">
        <f>浦发银行!F22</f>
        <v>-5.0870700000000006</v>
      </c>
      <c r="G147" s="381">
        <f>浦发银行!G22</f>
        <v>-10.07</v>
      </c>
      <c r="H147" s="381">
        <f>浦发银行!H22</f>
        <v>-44.37</v>
      </c>
      <c r="I147" s="381">
        <f>浦发银行!I22</f>
        <v>-96.26</v>
      </c>
      <c r="J147" s="381">
        <f>浦发银行!J22</f>
        <v>-164.76</v>
      </c>
      <c r="K147" s="381">
        <f>浦发银行!K22</f>
        <v>-332.39</v>
      </c>
      <c r="L147" s="381">
        <f>浦发银行!L22</f>
        <v>-177.01</v>
      </c>
      <c r="M147" s="381"/>
    </row>
    <row r="148" spans="1:13" ht="15.75" thickBot="1">
      <c r="A148" s="382" t="s">
        <v>71</v>
      </c>
      <c r="B148" s="381">
        <f>民生银行!B22</f>
        <v>-8.2774100000000015</v>
      </c>
      <c r="C148" s="381">
        <f>民生银行!C22</f>
        <v>-13.4</v>
      </c>
      <c r="D148" s="381">
        <f>民生银行!D22</f>
        <v>-13.450000000000001</v>
      </c>
      <c r="E148" s="381">
        <f>民生银行!E22</f>
        <v>-7.73</v>
      </c>
      <c r="F148" s="381">
        <f>民生银行!F22</f>
        <v>-8.6300000000000008</v>
      </c>
      <c r="G148" s="381">
        <f>民生银行!G22</f>
        <v>-22.83</v>
      </c>
      <c r="H148" s="381">
        <f>民生银行!H22</f>
        <v>-113.52000000000001</v>
      </c>
      <c r="I148" s="381">
        <f>民生银行!I22</f>
        <v>-171.75</v>
      </c>
      <c r="J148" s="381">
        <f>民生银行!J22</f>
        <v>-213.2</v>
      </c>
      <c r="K148" s="381">
        <f>民生银行!K22</f>
        <v>-282.10000000000002</v>
      </c>
      <c r="L148" s="381">
        <f>民生银行!L22</f>
        <v>-111.61</v>
      </c>
      <c r="M148" s="381"/>
    </row>
    <row r="149" spans="1:13" ht="15.75" thickBot="1">
      <c r="A149" s="382" t="s">
        <v>72</v>
      </c>
      <c r="B149" s="381">
        <f>兴业银行!B24</f>
        <v>-6.1806200000000002</v>
      </c>
      <c r="C149" s="381">
        <f>兴业银行!C24</f>
        <v>-8.6000300000000003</v>
      </c>
      <c r="D149" s="381">
        <f>兴业银行!D24</f>
        <v>-2.9786000000000001</v>
      </c>
      <c r="E149" s="381">
        <f>兴业银行!E24</f>
        <v>-0.71</v>
      </c>
      <c r="F149" s="381">
        <f>兴业银行!F24</f>
        <v>-0.91</v>
      </c>
      <c r="G149" s="381">
        <f>兴业银行!G24</f>
        <v>-13.14</v>
      </c>
      <c r="H149" s="381">
        <f>兴业银行!H24</f>
        <v>-43.91</v>
      </c>
      <c r="I149" s="381">
        <f>兴业银行!I24</f>
        <v>-117.16</v>
      </c>
      <c r="J149" s="381">
        <f>兴业银行!J24</f>
        <v>-260.27999999999997</v>
      </c>
      <c r="K149" s="381">
        <f>兴业银行!K24</f>
        <v>-288.47000000000003</v>
      </c>
      <c r="L149" s="381">
        <f>兴业银行!L24</f>
        <v>-22.37</v>
      </c>
      <c r="M149" s="381"/>
    </row>
    <row r="150" spans="1:13" ht="15.75" thickBot="1">
      <c r="A150" s="382" t="s">
        <v>73</v>
      </c>
      <c r="D150" s="25">
        <f>光大银行!B22</f>
        <v>-0.31</v>
      </c>
      <c r="E150" s="25">
        <f>光大银行!C22</f>
        <v>-8.2100000000000009</v>
      </c>
      <c r="F150" s="25">
        <f>光大银行!D22</f>
        <v>-7.49</v>
      </c>
      <c r="G150" s="25">
        <f>光大银行!E22</f>
        <v>-9.09</v>
      </c>
      <c r="H150" s="25">
        <f>光大银行!F22</f>
        <v>-58.6</v>
      </c>
      <c r="I150" s="25">
        <f>光大银行!G22</f>
        <v>-59</v>
      </c>
      <c r="J150" s="25">
        <f>光大银行!H22</f>
        <v>-91.62</v>
      </c>
      <c r="K150" s="25">
        <f>光大银行!I22</f>
        <v>-164.67</v>
      </c>
      <c r="L150" s="25">
        <f>光大银行!J22</f>
        <v>-56.57</v>
      </c>
    </row>
    <row r="151" spans="1:13" ht="15.75" thickBot="1">
      <c r="A151" s="382" t="s">
        <v>74</v>
      </c>
      <c r="B151" s="310">
        <f>华夏银行!B22</f>
        <v>-15.367990000000001</v>
      </c>
      <c r="C151" s="310">
        <f>华夏银行!C22</f>
        <v>-20.574660000000002</v>
      </c>
      <c r="D151" s="310">
        <f>华夏银行!D22</f>
        <v>-21.84591</v>
      </c>
      <c r="E151" s="310">
        <f>华夏银行!E22</f>
        <v>-17.698909999999998</v>
      </c>
      <c r="F151" s="310">
        <f>华夏银行!F22</f>
        <v>-6.5807700000000002</v>
      </c>
      <c r="G151" s="310">
        <f>华夏银行!G22</f>
        <v>-7.01</v>
      </c>
      <c r="H151" s="310">
        <f>华夏银行!H22</f>
        <v>-16.399999999999999</v>
      </c>
      <c r="I151" s="310">
        <f>华夏银行!I22</f>
        <v>-39.64</v>
      </c>
      <c r="J151" s="310">
        <f>华夏银行!J22</f>
        <v>-55.449999999999996</v>
      </c>
      <c r="K151" s="310">
        <f>华夏银行!K22</f>
        <v>-84.89</v>
      </c>
      <c r="L151" s="310">
        <f>华夏银行!L22</f>
        <v>-54.26</v>
      </c>
    </row>
    <row r="152" spans="1:13" ht="15.75" thickBot="1">
      <c r="A152" s="382" t="s">
        <v>75</v>
      </c>
      <c r="B152" s="381">
        <f>平安银行!B22</f>
        <v>-23.01981</v>
      </c>
      <c r="C152" s="381">
        <f>平安银行!C22</f>
        <v>-106.06712</v>
      </c>
      <c r="D152" s="381">
        <f>平安银行!D22</f>
        <v>-4.7773399999999997</v>
      </c>
      <c r="E152" s="381">
        <f>平安银行!E22</f>
        <v>-2.13</v>
      </c>
      <c r="F152" s="381">
        <f>平安银行!F22</f>
        <v>-2.36</v>
      </c>
      <c r="G152" s="381">
        <f>平安银行!G22</f>
        <v>-12.44</v>
      </c>
      <c r="H152" s="381">
        <f>平安银行!H22</f>
        <v>-40.020000000000003</v>
      </c>
      <c r="I152" s="381">
        <f>平安银行!I22</f>
        <v>-90.94</v>
      </c>
      <c r="J152" s="381">
        <f>平安银行!J22</f>
        <v>-235.83</v>
      </c>
      <c r="K152" s="381">
        <f>平安银行!K22</f>
        <v>-357.97</v>
      </c>
      <c r="L152" s="381">
        <f>平安银行!L22</f>
        <v>-189.17000000000002</v>
      </c>
    </row>
    <row r="153" spans="1:13" ht="15.75" thickBot="1">
      <c r="A153" s="382" t="s">
        <v>76</v>
      </c>
      <c r="B153" s="25">
        <f>北京银行!B22</f>
        <v>-4.87</v>
      </c>
      <c r="C153" s="25">
        <f>北京银行!C22</f>
        <v>-3.09</v>
      </c>
      <c r="D153" s="25">
        <f>北京银行!D22</f>
        <v>-0.46</v>
      </c>
      <c r="E153" s="25">
        <f>北京银行!E22</f>
        <v>-0.99</v>
      </c>
      <c r="F153" s="25">
        <f>北京银行!F22</f>
        <v>0</v>
      </c>
      <c r="G153" s="25">
        <f>北京银行!G22</f>
        <v>-1.91</v>
      </c>
      <c r="H153" s="25">
        <f>北京银行!H22</f>
        <v>-3.95</v>
      </c>
      <c r="I153" s="25">
        <f>北京银行!I22</f>
        <v>-0.98</v>
      </c>
      <c r="J153" s="25">
        <f>北京银行!J22</f>
        <v>-6.16</v>
      </c>
      <c r="K153" s="25">
        <f>北京银行!K22</f>
        <v>-31.45</v>
      </c>
      <c r="L153" s="25">
        <f>北京银行!L22</f>
        <v>-39.630000000000003</v>
      </c>
    </row>
    <row r="154" spans="1:13" ht="15.75" thickBot="1">
      <c r="A154" s="382" t="s">
        <v>77</v>
      </c>
      <c r="B154" s="381">
        <f>南京银行!B22</f>
        <v>-0.65541000000000005</v>
      </c>
      <c r="C154" s="381">
        <f>南京银行!C22</f>
        <v>-0.99378999999999995</v>
      </c>
      <c r="D154" s="381">
        <f>南京银行!D22</f>
        <v>-0.55735999999999997</v>
      </c>
      <c r="E154" s="381">
        <f>南京银行!E22</f>
        <v>-7.4789999999999995E-2</v>
      </c>
      <c r="F154" s="381">
        <f>南京银行!F22</f>
        <v>0</v>
      </c>
      <c r="G154" s="381">
        <f>南京银行!G22</f>
        <v>-1</v>
      </c>
      <c r="H154" s="381">
        <f>南京银行!H22</f>
        <v>-2.63</v>
      </c>
      <c r="I154" s="381">
        <f>南京银行!I22</f>
        <v>-10.8</v>
      </c>
      <c r="J154" s="381">
        <f>南京银行!J22</f>
        <v>-27.08</v>
      </c>
      <c r="K154" s="381">
        <f>南京银行!K22</f>
        <v>-32.590000000000003</v>
      </c>
      <c r="L154" s="381">
        <f>南京银行!L22</f>
        <v>-10.51154</v>
      </c>
    </row>
    <row r="155" spans="1:13">
      <c r="A155" s="382" t="s">
        <v>78</v>
      </c>
      <c r="B155" s="381">
        <f>宁波银行!B22</f>
        <v>-2.4539999999999999E-2</v>
      </c>
      <c r="C155" s="381">
        <f>宁波银行!C22</f>
        <v>-0.35515999999999998</v>
      </c>
      <c r="D155" s="381">
        <f>宁波银行!D22</f>
        <v>4.3970000000000009E-2</v>
      </c>
      <c r="E155" s="381">
        <f>宁波银行!E22</f>
        <v>-0.70311000000000001</v>
      </c>
      <c r="F155" s="381">
        <f>宁波银行!F22</f>
        <v>0</v>
      </c>
      <c r="G155" s="381">
        <f>宁波银行!G22</f>
        <v>-0.15</v>
      </c>
      <c r="H155" s="381">
        <f>宁波银行!H22</f>
        <v>-4.57</v>
      </c>
      <c r="I155" s="381">
        <f>宁波银行!I22</f>
        <v>-9.83</v>
      </c>
      <c r="J155" s="381">
        <f>宁波银行!J22</f>
        <v>-19.28</v>
      </c>
      <c r="K155" s="381">
        <f>宁波银行!K22</f>
        <v>-28.49</v>
      </c>
      <c r="L155" s="381">
        <f>宁波银行!L22</f>
        <v>-11.562530000000001</v>
      </c>
    </row>
    <row r="157" spans="1:13" ht="14.25">
      <c r="B157" s="7">
        <v>2006</v>
      </c>
      <c r="C157" s="7">
        <v>2007</v>
      </c>
      <c r="D157" s="7">
        <v>2008</v>
      </c>
      <c r="E157" s="7">
        <v>2009</v>
      </c>
      <c r="F157" s="7">
        <v>2010</v>
      </c>
      <c r="G157" s="7">
        <v>2011</v>
      </c>
      <c r="H157" s="7">
        <v>2012</v>
      </c>
      <c r="I157" s="7">
        <v>2013</v>
      </c>
      <c r="J157" s="7">
        <v>2014</v>
      </c>
      <c r="K157" s="7">
        <v>2015</v>
      </c>
      <c r="L157" s="7">
        <v>2016</v>
      </c>
    </row>
    <row r="158" spans="1:13" ht="15.75" thickBot="1">
      <c r="A158" s="383" t="s">
        <v>12</v>
      </c>
      <c r="B158" s="25">
        <f>工商银行!B15</f>
        <v>1377.45</v>
      </c>
      <c r="C158" s="25">
        <f>工商银行!C15</f>
        <v>1117.74</v>
      </c>
      <c r="D158" s="25">
        <f>工商银行!D15</f>
        <v>1044.82</v>
      </c>
      <c r="E158" s="25">
        <f>工商银行!E15</f>
        <v>884.67</v>
      </c>
      <c r="F158" s="25">
        <f>工商银行!F15</f>
        <v>732.41</v>
      </c>
      <c r="G158" s="25">
        <f>工商银行!G15</f>
        <v>730.11</v>
      </c>
      <c r="H158" s="25">
        <f>工商银行!H15</f>
        <v>745.75</v>
      </c>
      <c r="I158" s="25">
        <f>工商银行!I15</f>
        <v>936.89</v>
      </c>
      <c r="J158" s="25">
        <f>工商银行!J15</f>
        <v>1244.97</v>
      </c>
      <c r="K158" s="25">
        <f>工商银行!K15</f>
        <v>1795.18</v>
      </c>
      <c r="L158" s="25">
        <f>工商银行!M15</f>
        <v>2118.0100000000002</v>
      </c>
    </row>
    <row r="159" spans="1:13">
      <c r="A159" s="382" t="s">
        <v>65</v>
      </c>
      <c r="B159" s="25">
        <f>建设银行!B13</f>
        <v>943.99</v>
      </c>
      <c r="C159" s="25">
        <f>建设银行!C13</f>
        <v>851.7</v>
      </c>
      <c r="D159" s="25">
        <f>建设银行!D13</f>
        <v>838.82</v>
      </c>
      <c r="E159" s="25">
        <f>建设银行!E13</f>
        <v>721.56</v>
      </c>
      <c r="F159" s="25">
        <f>建设银行!F13</f>
        <v>647.12</v>
      </c>
      <c r="G159" s="25">
        <f>建设银行!G13</f>
        <v>709.15</v>
      </c>
      <c r="H159" s="25">
        <f>建设银行!H13</f>
        <v>746.18</v>
      </c>
      <c r="I159" s="25">
        <f>建设银行!I13</f>
        <v>852.64</v>
      </c>
      <c r="J159" s="25">
        <f>建设银行!J13</f>
        <v>1131.71</v>
      </c>
      <c r="K159" s="25">
        <f>建设银行!K13</f>
        <v>1659.8</v>
      </c>
      <c r="L159" s="25">
        <f>建设银行!M13</f>
        <v>1786.9</v>
      </c>
    </row>
    <row r="160" spans="1:13" ht="15.75" thickBot="1">
      <c r="A160" s="383" t="s">
        <v>66</v>
      </c>
      <c r="E160" s="25">
        <f>农业银行!B14</f>
        <v>1202.4100000000001</v>
      </c>
      <c r="F160" s="25">
        <f>农业银行!C14</f>
        <v>1004.05</v>
      </c>
      <c r="G160" s="25">
        <f>农业银行!D14</f>
        <v>873.58</v>
      </c>
      <c r="H160" s="25">
        <f>农业银行!E14</f>
        <v>858.48</v>
      </c>
      <c r="I160" s="25">
        <f>农业银行!F14</f>
        <v>877.81</v>
      </c>
      <c r="J160" s="25">
        <f>农业银行!G14</f>
        <v>1249.7</v>
      </c>
      <c r="K160" s="25">
        <f>农业银行!H14</f>
        <v>2128.67</v>
      </c>
      <c r="L160" s="25">
        <f>农业银行!J14</f>
        <v>2308.34</v>
      </c>
    </row>
    <row r="161" spans="1:13" ht="15.75" thickBot="1">
      <c r="A161" s="382" t="s">
        <v>67</v>
      </c>
      <c r="B161" s="25">
        <f>中国银行!B12</f>
        <v>982.2</v>
      </c>
      <c r="C161" s="25">
        <f>中国银行!C12</f>
        <v>888.02</v>
      </c>
      <c r="D161" s="25">
        <f>中国银行!D12</f>
        <v>874.9</v>
      </c>
      <c r="E161" s="25">
        <f>中国银行!E12</f>
        <v>747.18</v>
      </c>
      <c r="F161" s="25">
        <f>中国银行!F12</f>
        <v>624.70000000000005</v>
      </c>
      <c r="G161" s="25">
        <f>中国银行!G12</f>
        <v>632.74</v>
      </c>
      <c r="H161" s="25">
        <f>中国银行!H12</f>
        <v>654.48</v>
      </c>
      <c r="I161" s="25">
        <f>中国银行!I12</f>
        <v>732.71</v>
      </c>
      <c r="J161" s="25">
        <f>中国银行!J12</f>
        <v>1004.94</v>
      </c>
      <c r="K161" s="25">
        <f>中国银行!K12</f>
        <v>1308.97</v>
      </c>
      <c r="L161" s="25">
        <f>中国银行!M12</f>
        <v>1460.03</v>
      </c>
      <c r="M161" s="25"/>
    </row>
    <row r="162" spans="1:13" ht="15.75" thickBot="1">
      <c r="A162" s="382" t="s">
        <v>68</v>
      </c>
      <c r="B162" s="25">
        <f>交通银行!B14</f>
        <v>180.34</v>
      </c>
      <c r="C162" s="25">
        <f>交通银行!C14</f>
        <v>226.4143</v>
      </c>
      <c r="D162" s="25">
        <f>交通银行!D14</f>
        <v>255.08928</v>
      </c>
      <c r="E162" s="25">
        <f>交通银行!E14</f>
        <v>250.09</v>
      </c>
      <c r="F162" s="25">
        <f>交通银行!F14</f>
        <v>249.88</v>
      </c>
      <c r="G162" s="25">
        <f>交通银行!G14</f>
        <v>219.86</v>
      </c>
      <c r="H162" s="25">
        <f>交通银行!H14</f>
        <v>269.95</v>
      </c>
      <c r="I162" s="25">
        <f>交通银行!I14</f>
        <v>343.1</v>
      </c>
      <c r="J162" s="25">
        <f>交通银行!J14</f>
        <v>430.17</v>
      </c>
      <c r="K162" s="25">
        <f>交通银行!K14</f>
        <v>562.05999999999995</v>
      </c>
      <c r="L162" s="25">
        <f>交通银行!M14</f>
        <v>624</v>
      </c>
      <c r="M162" s="25"/>
    </row>
    <row r="163" spans="1:13" ht="15.75" thickBot="1">
      <c r="A163" s="382" t="s">
        <v>13</v>
      </c>
      <c r="B163" s="25">
        <f>招商银行!B13</f>
        <v>120.06</v>
      </c>
      <c r="C163" s="25">
        <f>招商银行!C13</f>
        <v>103.94</v>
      </c>
      <c r="D163" s="25">
        <f>招商银行!D13</f>
        <v>96.77</v>
      </c>
      <c r="E163" s="25">
        <f>招商银行!E13</f>
        <v>97.32</v>
      </c>
      <c r="F163" s="25">
        <f>招商银行!F13</f>
        <v>96.86</v>
      </c>
      <c r="G163" s="25">
        <f>招商银行!G13</f>
        <v>91.73</v>
      </c>
      <c r="H163" s="25">
        <f>招商银行!H13</f>
        <v>116.94</v>
      </c>
      <c r="I163" s="25">
        <f>招商银行!I13</f>
        <v>183.32</v>
      </c>
      <c r="J163" s="25">
        <f>招商银行!J13</f>
        <v>279.17</v>
      </c>
      <c r="K163" s="25">
        <f>招商银行!K13</f>
        <v>474.1</v>
      </c>
      <c r="L163" s="25">
        <f>招商银行!M13</f>
        <v>611.21</v>
      </c>
      <c r="M163" s="25"/>
    </row>
    <row r="164" spans="1:13" ht="15.75" thickBot="1">
      <c r="A164" s="382" t="s">
        <v>69</v>
      </c>
      <c r="B164" s="25">
        <f>中信银行!B11</f>
        <v>115.65</v>
      </c>
      <c r="C164" s="25">
        <f>中信银行!C11</f>
        <v>84.92</v>
      </c>
      <c r="D164" s="25">
        <f>中信银行!D11</f>
        <v>90.46</v>
      </c>
      <c r="E164" s="25">
        <f>中信银行!E11</f>
        <v>101.57</v>
      </c>
      <c r="F164" s="25">
        <f>中信银行!F11</f>
        <v>85.33</v>
      </c>
      <c r="G164" s="25">
        <f>中信银行!G11</f>
        <v>85.41</v>
      </c>
      <c r="H164" s="25">
        <f>中信银行!H11</f>
        <v>122.55</v>
      </c>
      <c r="I164" s="25">
        <f>中信银行!I11</f>
        <v>199.66</v>
      </c>
      <c r="J164" s="25">
        <f>中信银行!J11</f>
        <v>284.54000000000002</v>
      </c>
      <c r="K164" s="25">
        <f>中信银行!K11</f>
        <v>360.5</v>
      </c>
      <c r="L164" s="25">
        <f>中信银行!M11</f>
        <v>485.8</v>
      </c>
      <c r="M164" s="25"/>
    </row>
    <row r="165" spans="1:13" ht="15.75" thickBot="1">
      <c r="A165" s="382" t="s">
        <v>70</v>
      </c>
      <c r="B165" s="148">
        <f>浦发银行!B11</f>
        <v>84.397553000000002</v>
      </c>
      <c r="C165" s="148">
        <f>浦发银行!C11</f>
        <v>80.23</v>
      </c>
      <c r="D165" s="148">
        <f>浦发银行!D11</f>
        <v>84.671570000000003</v>
      </c>
      <c r="E165" s="148">
        <f>浦发银行!E11</f>
        <v>74.600530000000006</v>
      </c>
      <c r="F165" s="148">
        <f>浦发银行!F11</f>
        <v>58.798839999999998</v>
      </c>
      <c r="G165" s="148">
        <f>浦发银行!G11</f>
        <v>58.271180000000001</v>
      </c>
      <c r="H165" s="148">
        <f>浦发银行!H11</f>
        <v>89.4</v>
      </c>
      <c r="I165" s="148">
        <f>浦发银行!I11</f>
        <v>130.61000000000001</v>
      </c>
      <c r="J165" s="148">
        <f>浦发银行!J11</f>
        <v>215.85</v>
      </c>
      <c r="K165" s="148">
        <f>浦发银行!K11</f>
        <v>350.54</v>
      </c>
      <c r="L165" s="148">
        <f>浦发银行!M11</f>
        <v>521.78</v>
      </c>
      <c r="M165" s="148"/>
    </row>
    <row r="166" spans="1:13" ht="15.75" thickBot="1">
      <c r="A166" s="382" t="s">
        <v>71</v>
      </c>
      <c r="B166" s="25">
        <f>民生银行!B11</f>
        <v>55.02</v>
      </c>
      <c r="C166" s="25">
        <f>民生银行!C11</f>
        <v>67.730400000000003</v>
      </c>
      <c r="D166" s="25">
        <f>民生银行!D11</f>
        <v>79.209999999999994</v>
      </c>
      <c r="E166" s="25">
        <f>民生银行!E11</f>
        <v>73.97</v>
      </c>
      <c r="F166" s="25">
        <f>民生银行!F11</f>
        <v>73.39</v>
      </c>
      <c r="G166" s="25">
        <f>民生银行!G11</f>
        <v>75.39</v>
      </c>
      <c r="H166" s="25">
        <f>民生银行!H11</f>
        <v>105.23</v>
      </c>
      <c r="I166" s="25">
        <f>民生银行!I11</f>
        <v>134.04</v>
      </c>
      <c r="J166" s="25">
        <f>民生银行!J11</f>
        <v>211.34</v>
      </c>
      <c r="K166" s="25">
        <f>民生银行!K11</f>
        <v>328.21</v>
      </c>
      <c r="L166" s="25">
        <f>民生银行!M11</f>
        <v>414.35</v>
      </c>
      <c r="M166" s="25"/>
    </row>
    <row r="167" spans="1:13" ht="15.75" thickBot="1">
      <c r="A167" s="382" t="s">
        <v>72</v>
      </c>
      <c r="B167" s="25">
        <f>兴业银行!B15</f>
        <v>49.8</v>
      </c>
      <c r="C167" s="25">
        <f>兴业银行!C15</f>
        <v>45.83372</v>
      </c>
      <c r="D167" s="25">
        <f>兴业银行!D15</f>
        <v>41.49</v>
      </c>
      <c r="E167" s="25">
        <f>兴业银行!E15</f>
        <v>37.79</v>
      </c>
      <c r="F167" s="25">
        <f>兴业银行!F15</f>
        <v>36.159999999999997</v>
      </c>
      <c r="G167" s="25">
        <f>兴业银行!G15</f>
        <v>37.15</v>
      </c>
      <c r="H167" s="25">
        <f>兴业银行!H15</f>
        <v>52.86</v>
      </c>
      <c r="I167" s="25">
        <f>兴业银行!I15</f>
        <v>103.31</v>
      </c>
      <c r="J167" s="25">
        <f>兴业银行!J15</f>
        <v>175.44</v>
      </c>
      <c r="K167" s="25">
        <f>兴业银行!K15</f>
        <v>259.83</v>
      </c>
      <c r="L167" s="25">
        <f>兴业银行!M15</f>
        <v>344.16</v>
      </c>
      <c r="M167" s="25"/>
    </row>
    <row r="168" spans="1:13" ht="15.75" thickBot="1">
      <c r="A168" s="382" t="s">
        <v>73</v>
      </c>
      <c r="B168" s="148">
        <f>光大银行!B11</f>
        <v>92.914743799999997</v>
      </c>
      <c r="C168" s="148">
        <f>光大银行!C11</f>
        <v>80.985007124999996</v>
      </c>
      <c r="D168" s="148">
        <f>光大银行!D11</f>
        <v>58.31</v>
      </c>
      <c r="E168" s="148">
        <f>光大银行!E11</f>
        <v>57.34</v>
      </c>
      <c r="F168" s="148">
        <f>光大银行!F11</f>
        <v>76.13</v>
      </c>
      <c r="G168" s="148">
        <f>光大银行!G11</f>
        <v>100.29</v>
      </c>
      <c r="H168" s="148">
        <f>光大银行!H11</f>
        <v>155.25</v>
      </c>
      <c r="I168" s="148">
        <f>光大银行!I11</f>
        <v>243.75</v>
      </c>
      <c r="J168" s="148">
        <f>光大银行!J11</f>
        <v>255.07</v>
      </c>
      <c r="K168" s="148">
        <f>光大银行!K11</f>
        <v>287.02</v>
      </c>
      <c r="L168" s="148">
        <f>光大银行!M11</f>
        <v>0</v>
      </c>
      <c r="M168" s="148"/>
    </row>
    <row r="169" spans="1:13" ht="15.75" thickBot="1">
      <c r="A169" s="382" t="s">
        <v>74</v>
      </c>
      <c r="B169" s="148">
        <f>华夏银行!B13</f>
        <v>70.916430585000001</v>
      </c>
      <c r="C169" s="148">
        <f>华夏银行!C13</f>
        <v>68.896467465909993</v>
      </c>
      <c r="D169" s="148">
        <f>华夏银行!D13</f>
        <v>64.871799999999993</v>
      </c>
      <c r="E169" s="148">
        <f>华夏银行!E13</f>
        <v>64.572649999999996</v>
      </c>
      <c r="F169" s="148">
        <f>华夏银行!F13</f>
        <v>62.540370000000003</v>
      </c>
      <c r="G169" s="148">
        <f>华夏银行!G13</f>
        <v>55.996870000000001</v>
      </c>
      <c r="H169" s="148">
        <f>华夏银行!H13</f>
        <v>63.390549999999998</v>
      </c>
      <c r="I169" s="148">
        <f>华夏银行!I13</f>
        <v>74.430000000000007</v>
      </c>
      <c r="J169" s="148">
        <f>华夏银行!J13</f>
        <v>102.45</v>
      </c>
      <c r="K169" s="148">
        <f>华夏银行!K13</f>
        <v>162.97</v>
      </c>
      <c r="L169" s="148">
        <f>华夏银行!M13</f>
        <v>203.48</v>
      </c>
      <c r="M169" s="148"/>
    </row>
    <row r="170" spans="1:13" ht="15.75" thickBot="1">
      <c r="A170" s="382" t="s">
        <v>75</v>
      </c>
      <c r="B170" s="148">
        <f>平安银行!B13</f>
        <v>145.65</v>
      </c>
      <c r="C170" s="148">
        <f>平安银行!C13</f>
        <v>124.76</v>
      </c>
      <c r="D170" s="148">
        <f>平安银行!D13</f>
        <v>19</v>
      </c>
      <c r="E170" s="148">
        <f>平安银行!E13</f>
        <v>24.436720000000001</v>
      </c>
      <c r="F170" s="148">
        <f>平安银行!F13</f>
        <v>280.37</v>
      </c>
      <c r="G170" s="148">
        <f>平安银行!G13</f>
        <v>32.950000000000003</v>
      </c>
      <c r="H170" s="148">
        <f>平安银行!H13</f>
        <v>68.66</v>
      </c>
      <c r="I170" s="148">
        <f>平安银行!I13</f>
        <v>75.41</v>
      </c>
      <c r="J170" s="148">
        <f>平安银行!J13</f>
        <v>105.01</v>
      </c>
      <c r="K170" s="148">
        <f>平安银行!K13</f>
        <v>176.45</v>
      </c>
      <c r="L170" s="148">
        <f>平安银行!M13</f>
        <v>257.02</v>
      </c>
      <c r="M170" s="148"/>
    </row>
    <row r="171" spans="1:13" ht="15.75" thickBot="1">
      <c r="A171" s="382" t="s">
        <v>76</v>
      </c>
      <c r="B171" s="148">
        <f>北京银行!B10</f>
        <v>17.93</v>
      </c>
      <c r="C171" s="148">
        <f>北京银行!C10</f>
        <v>32.4</v>
      </c>
      <c r="D171" s="148">
        <f>北京银行!D10</f>
        <v>94.3</v>
      </c>
      <c r="E171" s="148">
        <f>北京银行!E10</f>
        <v>27.96</v>
      </c>
      <c r="F171" s="148">
        <f>北京银行!F10</f>
        <v>117.68</v>
      </c>
      <c r="G171" s="148">
        <f>北京银行!G10</f>
        <v>21.497304294999999</v>
      </c>
      <c r="H171" s="148">
        <f>北京银行!H10</f>
        <v>29.306493805999999</v>
      </c>
      <c r="I171" s="148">
        <f>北京银行!I10</f>
        <v>37.880000000000003</v>
      </c>
      <c r="J171" s="148">
        <f>北京银行!J10</f>
        <v>57.83</v>
      </c>
      <c r="K171" s="148">
        <f>北京银行!K10</f>
        <v>86.55</v>
      </c>
      <c r="L171" s="148">
        <f>北京银行!M10</f>
        <v>114.26</v>
      </c>
      <c r="M171" s="148"/>
    </row>
    <row r="172" spans="1:13" ht="15.75" thickBot="1">
      <c r="A172" s="382" t="s">
        <v>77</v>
      </c>
      <c r="B172" s="148">
        <f>南京银行!B10</f>
        <v>6.2959399999999999</v>
      </c>
      <c r="C172" s="148">
        <f>南京银行!C10</f>
        <v>5.48</v>
      </c>
      <c r="D172" s="148">
        <f>南京银行!D10</f>
        <v>6.5988699999999998</v>
      </c>
      <c r="E172" s="148">
        <f>南京银行!E10</f>
        <v>8.1533999999999995</v>
      </c>
      <c r="F172" s="148">
        <f>南京银行!F10</f>
        <v>31.87</v>
      </c>
      <c r="G172" s="148">
        <f>南京银行!G10</f>
        <v>8.0299999999999994</v>
      </c>
      <c r="H172" s="148">
        <f>南京银行!H10</f>
        <v>10.44</v>
      </c>
      <c r="I172" s="148">
        <f>南京银行!I10</f>
        <v>13.076829999999999</v>
      </c>
      <c r="J172" s="148">
        <f>南京银行!J10</f>
        <v>16.391210000000001</v>
      </c>
      <c r="K172" s="148">
        <f>南京银行!K10</f>
        <v>20.81681</v>
      </c>
      <c r="L172" s="148">
        <f>南京银行!M10</f>
        <v>28.955469999999998</v>
      </c>
      <c r="M172" s="148"/>
    </row>
    <row r="173" spans="1:13">
      <c r="A173" s="382" t="s">
        <v>78</v>
      </c>
      <c r="B173" s="148">
        <f>宁波银行!B12</f>
        <v>0.91859999999999997</v>
      </c>
      <c r="C173" s="148">
        <f>宁波银行!C12</f>
        <v>1.3008999999999999</v>
      </c>
      <c r="D173" s="148">
        <f>宁波银行!D12</f>
        <v>4.5219504376000001</v>
      </c>
      <c r="E173" s="148">
        <f>宁波银行!E12</f>
        <v>6.4450500000000002</v>
      </c>
      <c r="F173" s="148">
        <f>宁波银行!F12</f>
        <v>28.55</v>
      </c>
      <c r="G173" s="148">
        <f>宁波银行!G12</f>
        <v>8.3210200000000007</v>
      </c>
      <c r="H173" s="148">
        <f>宁波银行!H12</f>
        <v>11.085839999999999</v>
      </c>
      <c r="I173" s="148">
        <f>宁波银行!I12</f>
        <v>15.25221</v>
      </c>
      <c r="J173" s="148">
        <f>宁波银行!J12</f>
        <v>18.628299999999999</v>
      </c>
      <c r="K173" s="148">
        <f>宁波银行!K12</f>
        <v>23.616109999999999</v>
      </c>
      <c r="L173" s="148">
        <f>宁波银行!M12</f>
        <v>27.654689999999999</v>
      </c>
      <c r="M173" s="148"/>
    </row>
    <row r="176" spans="1:13" ht="14.25">
      <c r="A176" s="24" t="s">
        <v>350</v>
      </c>
      <c r="B176" s="7">
        <v>2007</v>
      </c>
      <c r="C176" s="7">
        <v>2008</v>
      </c>
      <c r="D176" s="7">
        <v>2009</v>
      </c>
      <c r="E176" s="7">
        <v>2010</v>
      </c>
      <c r="F176" s="7">
        <v>2011</v>
      </c>
      <c r="G176" s="7">
        <v>2012</v>
      </c>
      <c r="H176" s="7">
        <v>2013</v>
      </c>
      <c r="I176" s="7">
        <v>2014</v>
      </c>
      <c r="J176" s="7">
        <v>2015</v>
      </c>
      <c r="K176" s="7">
        <v>2016</v>
      </c>
      <c r="L176" s="37" t="s">
        <v>6</v>
      </c>
    </row>
    <row r="177" spans="1:13">
      <c r="A177" s="24" t="s">
        <v>351</v>
      </c>
      <c r="B177" s="386">
        <f>-SUM(B140:B144)/SUM(B158:B162)</f>
        <v>8.1957990573998676E-2</v>
      </c>
      <c r="C177" s="386">
        <f t="shared" ref="C177:K177" si="10">-SUM(C140:C144)/SUM(C158:C162)</f>
        <v>0.1178971529416747</v>
      </c>
      <c r="D177" s="386">
        <f t="shared" si="10"/>
        <v>0.1053712884021355</v>
      </c>
      <c r="E177" s="386">
        <f t="shared" si="10"/>
        <v>6.8272765251937123E-2</v>
      </c>
      <c r="F177" s="386">
        <f t="shared" si="10"/>
        <v>4.0476833550224668E-2</v>
      </c>
      <c r="G177" s="386">
        <f t="shared" si="10"/>
        <v>8.1704281237363521E-2</v>
      </c>
      <c r="H177" s="386">
        <f t="shared" si="10"/>
        <v>0.19755774327906098</v>
      </c>
      <c r="I177" s="386">
        <f t="shared" si="10"/>
        <v>0.38964508502197348</v>
      </c>
      <c r="J177" s="386">
        <f t="shared" si="10"/>
        <v>0.50577399145310964</v>
      </c>
      <c r="K177" s="386">
        <f t="shared" si="10"/>
        <v>0.40701277586697215</v>
      </c>
      <c r="L177" s="386">
        <f>-SUM(L140:L144)*2/SUM(L158:L162)</f>
        <v>0.33265118207412558</v>
      </c>
    </row>
    <row r="178" spans="1:13">
      <c r="A178" s="24" t="s">
        <v>352</v>
      </c>
      <c r="B178" s="386">
        <f>-SUM(B145:B152)/SUM(B163:B170)</f>
        <v>0.12930956081927908</v>
      </c>
      <c r="C178" s="386">
        <f t="shared" ref="C178:K178" si="11">-SUM(C145:C152)/SUM(C163:C170)</f>
        <v>0.28840940295360623</v>
      </c>
      <c r="D178" s="386">
        <f t="shared" si="11"/>
        <v>0.1348054259802432</v>
      </c>
      <c r="E178" s="386">
        <f t="shared" si="11"/>
        <v>0.10127202807976451</v>
      </c>
      <c r="F178" s="386">
        <f t="shared" si="11"/>
        <v>5.7288241973168695E-2</v>
      </c>
      <c r="G178" s="386">
        <f t="shared" si="11"/>
        <v>0.16999633554767277</v>
      </c>
      <c r="H178" s="386">
        <f t="shared" si="11"/>
        <v>0.50590189822022524</v>
      </c>
      <c r="I178" s="386">
        <f t="shared" si="11"/>
        <v>0.73392571623286407</v>
      </c>
      <c r="J178" s="386">
        <f t="shared" si="11"/>
        <v>1.0234334231706641</v>
      </c>
      <c r="K178" s="386">
        <f t="shared" si="11"/>
        <v>0.93084738416916046</v>
      </c>
      <c r="L178" s="386">
        <f>-SUM(L145:L152)*2/SUM(L163:L170)</f>
        <v>0.63447741207978015</v>
      </c>
    </row>
    <row r="179" spans="1:13">
      <c r="A179" s="24" t="s">
        <v>353</v>
      </c>
      <c r="B179" s="386">
        <f>-SUM(B153:B155)/SUM(B171:B173)</f>
        <v>0.22072187441090588</v>
      </c>
      <c r="C179" s="386">
        <f t="shared" ref="C179:K179" si="12">-SUM(C153:C155)/SUM(C171:C173)</f>
        <v>0.1132937221962742</v>
      </c>
      <c r="D179" s="386">
        <f t="shared" si="12"/>
        <v>9.2333753044178072E-3</v>
      </c>
      <c r="E179" s="386">
        <f t="shared" si="12"/>
        <v>4.1540516630657366E-2</v>
      </c>
      <c r="F179" s="386">
        <f t="shared" si="12"/>
        <v>0</v>
      </c>
      <c r="G179" s="386">
        <f t="shared" si="12"/>
        <v>8.0849021905158566E-2</v>
      </c>
      <c r="H179" s="386">
        <f t="shared" si="12"/>
        <v>0.21934857530944035</v>
      </c>
      <c r="I179" s="386">
        <f t="shared" si="12"/>
        <v>0.32639047477504579</v>
      </c>
      <c r="J179" s="386">
        <f t="shared" si="12"/>
        <v>0.56564649614198281</v>
      </c>
      <c r="K179" s="386">
        <f t="shared" si="12"/>
        <v>0.70642798312940336</v>
      </c>
      <c r="L179" s="386">
        <f>-SUM(L153:L155)*2/SUM(L171:L173)</f>
        <v>0.72223341980835054</v>
      </c>
    </row>
    <row r="180" spans="1:13">
      <c r="A180" s="24" t="s">
        <v>354</v>
      </c>
      <c r="B180" s="386">
        <f>-SUM(B140:B155)/SUM(B158:B173)</f>
        <v>9.0975136914126245E-2</v>
      </c>
      <c r="C180" s="386">
        <f t="shared" ref="C180:K180" si="13">-SUM(C140:C155)/SUM(C158:C173)</f>
        <v>0.14749667697448149</v>
      </c>
      <c r="D180" s="386">
        <f t="shared" si="13"/>
        <v>0.10690555362207517</v>
      </c>
      <c r="E180" s="386">
        <f t="shared" si="13"/>
        <v>7.2018077069505082E-2</v>
      </c>
      <c r="F180" s="386">
        <f t="shared" si="13"/>
        <v>4.18389365864512E-2</v>
      </c>
      <c r="G180" s="386">
        <f t="shared" si="13"/>
        <v>9.437567963961134E-2</v>
      </c>
      <c r="H180" s="386">
        <f t="shared" si="13"/>
        <v>0.25605904012863662</v>
      </c>
      <c r="I180" s="386">
        <f t="shared" si="13"/>
        <v>0.46834113183931952</v>
      </c>
      <c r="J180" s="386">
        <f t="shared" si="13"/>
        <v>0.63090045998004252</v>
      </c>
      <c r="K180" s="386">
        <f t="shared" si="13"/>
        <v>0.53682605119415083</v>
      </c>
      <c r="L180" s="386">
        <f>-SUM(L140:L155)*2/SUM(L158:L173)</f>
        <v>0.41429761087855371</v>
      </c>
    </row>
    <row r="192" spans="1:13">
      <c r="A192" s="24" t="s">
        <v>355</v>
      </c>
      <c r="B192" s="24"/>
      <c r="C192" s="26">
        <v>39447</v>
      </c>
      <c r="D192" s="26">
        <v>39813</v>
      </c>
      <c r="E192" s="26">
        <v>40178</v>
      </c>
      <c r="F192" s="26">
        <v>40543</v>
      </c>
      <c r="G192" s="26">
        <v>40908</v>
      </c>
      <c r="H192" s="26">
        <v>41274</v>
      </c>
      <c r="I192" s="26">
        <v>41639</v>
      </c>
      <c r="J192" s="26">
        <v>42004</v>
      </c>
      <c r="K192" s="26">
        <v>42369</v>
      </c>
      <c r="L192" s="26">
        <v>42735</v>
      </c>
      <c r="M192" s="26">
        <v>42916</v>
      </c>
    </row>
    <row r="193" spans="1:13" ht="15.75" thickBot="1">
      <c r="A193" s="383" t="s">
        <v>12</v>
      </c>
      <c r="B193" s="398" t="str">
        <f>[1]!to_tradecode(A193)</f>
        <v>601398</v>
      </c>
      <c r="C193" s="399">
        <f>[1]!s_stmnote_bank_23n($B193,C$192,1)</f>
        <v>103.5</v>
      </c>
      <c r="D193" s="399">
        <f>[1]!s_stmnote_bank_23n($B193,D$192,1)</f>
        <v>130.15</v>
      </c>
      <c r="E193" s="399">
        <f>[1]!s_stmnote_bank_23n($B193,E$192,1)</f>
        <v>164.41</v>
      </c>
      <c r="F193" s="399">
        <f>[1]!s_stmnote_bank_23n($B193,F$192,1)</f>
        <v>228.2</v>
      </c>
      <c r="G193" s="399">
        <f>[1]!s_stmnote_bank_23n($B193,G$192,1)</f>
        <v>266.92</v>
      </c>
      <c r="H193" s="399">
        <f>[1]!s_stmnote_bank_23n($B193,H$192,1)</f>
        <v>295.55</v>
      </c>
      <c r="I193" s="399">
        <f>[1]!s_stmnote_bank_23n($B193,I$192,1)</f>
        <v>257.19</v>
      </c>
      <c r="J193" s="399">
        <f>[1]!s_stmnote_bank_23n($B193,J$192,1)</f>
        <v>206.9</v>
      </c>
      <c r="K193" s="399">
        <f>[1]!s_stmnote_bank_23n($B193,K$192,1)</f>
        <v>156.34</v>
      </c>
      <c r="L193" s="399">
        <f>[1]!s_stmnote_bank_23n($B193,L$192,1)</f>
        <v>136.69</v>
      </c>
      <c r="M193" s="399">
        <f>[1]!s_stmnote_bank_23n($B193,M$192,1)</f>
        <v>145.81</v>
      </c>
    </row>
    <row r="194" spans="1:13">
      <c r="A194" s="382" t="s">
        <v>65</v>
      </c>
      <c r="B194" s="398" t="str">
        <f>[1]!to_tradecode(A194)</f>
        <v>601939</v>
      </c>
      <c r="C194" s="399">
        <f>[1]!s_stmnote_bank_23n($B194,C$192,1)</f>
        <v>104.41</v>
      </c>
      <c r="D194" s="399">
        <f>[1]!s_stmnote_bank_23n($B194,D$192,1)</f>
        <v>131.58000000000001</v>
      </c>
      <c r="E194" s="399">
        <f>[1]!s_stmnote_bank_23n($B194,E$192,1)</f>
        <v>175.77</v>
      </c>
      <c r="F194" s="399">
        <f>[1]!s_stmnote_bank_23n($B194,F$192,1)</f>
        <v>221.14</v>
      </c>
      <c r="G194" s="399">
        <f>[1]!s_stmnote_bank_23n($B194,G$192,1)</f>
        <v>241.44</v>
      </c>
      <c r="H194" s="399">
        <f>[1]!s_stmnote_bank_23n($B194,H$192,1)</f>
        <v>271.29000000000002</v>
      </c>
      <c r="I194" s="399">
        <f>[1]!s_stmnote_bank_23n($B194,I$192,1)</f>
        <v>268.22000000000003</v>
      </c>
      <c r="J194" s="399">
        <f>[1]!s_stmnote_bank_23n($B194,J$192,1)</f>
        <v>222.33</v>
      </c>
      <c r="K194" s="399">
        <f>[1]!s_stmnote_bank_23n($B194,K$192,1)</f>
        <v>150.99</v>
      </c>
      <c r="L194" s="399">
        <f>[1]!s_stmnote_bank_23n($B194,L$192,1)</f>
        <v>150.36000000000001</v>
      </c>
      <c r="M194" s="399">
        <f>[1]!s_stmnote_bank_23n($B194,M$192,1)</f>
        <v>160.15</v>
      </c>
    </row>
    <row r="195" spans="1:13" ht="15.75" thickBot="1">
      <c r="A195" s="383" t="s">
        <v>66</v>
      </c>
      <c r="B195" s="398" t="str">
        <f>[1]!to_tradecode(A195)</f>
        <v>601288</v>
      </c>
      <c r="C195" s="399">
        <f>[1]!s_stmnote_bank_23n($B195,C$192,1)</f>
        <v>93.421199999999999</v>
      </c>
      <c r="D195" s="399">
        <f>[1]!s_stmnote_bank_23n($B195,D$192,1)</f>
        <v>63.531700000000001</v>
      </c>
      <c r="E195" s="399">
        <f>[1]!s_stmnote_bank_23n($B195,E$192,1)</f>
        <v>105.37</v>
      </c>
      <c r="F195" s="399">
        <f>[1]!s_stmnote_bank_23n($B195,F$192,1)</f>
        <v>168.05</v>
      </c>
      <c r="G195" s="399">
        <f>[1]!s_stmnote_bank_23n($B195,G$192,1)</f>
        <v>263.10000000000002</v>
      </c>
      <c r="H195" s="399">
        <f>[1]!s_stmnote_bank_23n($B195,H$192,1)</f>
        <v>326.14</v>
      </c>
      <c r="I195" s="399">
        <f>[1]!s_stmnote_bank_23n($B195,I$192,1)</f>
        <v>367.04</v>
      </c>
      <c r="J195" s="399">
        <f>[1]!s_stmnote_bank_23n($B195,J$192,1)</f>
        <v>286.52999999999997</v>
      </c>
      <c r="K195" s="399">
        <f>[1]!s_stmnote_bank_23n($B195,K$192,1)</f>
        <v>189.43</v>
      </c>
      <c r="L195" s="399">
        <f>[1]!s_stmnote_bank_23n($B195,L$192,1)</f>
        <v>173.4</v>
      </c>
      <c r="M195" s="399">
        <f>[1]!s_stmnote_bank_23n($B195,M$192,1)</f>
        <v>181.8</v>
      </c>
    </row>
    <row r="196" spans="1:13" ht="15.75" thickBot="1">
      <c r="A196" s="382" t="s">
        <v>67</v>
      </c>
      <c r="B196" s="398" t="str">
        <f>[1]!to_tradecode(A196)</f>
        <v>601988</v>
      </c>
      <c r="C196" s="399">
        <f>[1]!s_stmnote_bank_23n($B196,C$192,1)</f>
        <v>108.18</v>
      </c>
      <c r="D196" s="399">
        <f>[1]!s_stmnote_bank_23n($B196,D$192,1)</f>
        <v>121.72</v>
      </c>
      <c r="E196" s="399">
        <f>[1]!s_stmnote_bank_23n($B196,E$192,1)</f>
        <v>151.16999999999999</v>
      </c>
      <c r="F196" s="399">
        <f>[1]!s_stmnote_bank_23n($B196,F$192,1)</f>
        <v>196.67</v>
      </c>
      <c r="G196" s="399">
        <f>[1]!s_stmnote_bank_23n($B196,G$192,1)</f>
        <v>220.75</v>
      </c>
      <c r="H196" s="399">
        <f>[1]!s_stmnote_bank_23n($B196,H$192,1)</f>
        <v>236.3</v>
      </c>
      <c r="I196" s="399">
        <f>[1]!s_stmnote_bank_23n($B196,I$192,1)</f>
        <v>229.35</v>
      </c>
      <c r="J196" s="399">
        <f>[1]!s_stmnote_bank_23n($B196,J$192,1)</f>
        <v>187.6</v>
      </c>
      <c r="K196" s="399">
        <f>[1]!s_stmnote_bank_23n($B196,K$192,1)</f>
        <v>153.30000000000001</v>
      </c>
      <c r="L196" s="399">
        <f>[1]!s_stmnote_bank_23n($B196,L$192,1)</f>
        <v>162.82</v>
      </c>
      <c r="M196" s="399">
        <f>[1]!s_stmnote_bank_23n($B196,M$192,1)</f>
        <v>152.46</v>
      </c>
    </row>
    <row r="197" spans="1:13" ht="15.75" thickBot="1">
      <c r="A197" s="382" t="s">
        <v>68</v>
      </c>
      <c r="B197" s="398" t="str">
        <f>[1]!to_tradecode(A197)</f>
        <v>601328</v>
      </c>
      <c r="C197" s="399">
        <f>[1]!s_stmnote_bank_23n($B197,C$192,1)</f>
        <v>95.63</v>
      </c>
      <c r="D197" s="399">
        <f>[1]!s_stmnote_bank_23n($B197,D$192,1)</f>
        <v>116.83</v>
      </c>
      <c r="E197" s="399">
        <f>[1]!s_stmnote_bank_23n($B197,E$192,1)</f>
        <v>151.05000000000001</v>
      </c>
      <c r="F197" s="399">
        <f>[1]!s_stmnote_bank_23n($B197,F$192,1)</f>
        <v>185.84</v>
      </c>
      <c r="G197" s="399">
        <f>[1]!s_stmnote_bank_23n($B197,G$192,1)</f>
        <v>256.37</v>
      </c>
      <c r="H197" s="399">
        <f>[1]!s_stmnote_bank_23n($B197,H$192,1)</f>
        <v>250.68</v>
      </c>
      <c r="I197" s="399">
        <f>[1]!s_stmnote_bank_23n($B197,I$192,1)</f>
        <v>213.65</v>
      </c>
      <c r="J197" s="399">
        <f>[1]!s_stmnote_bank_23n($B197,J$192,1)</f>
        <v>178.88</v>
      </c>
      <c r="K197" s="399">
        <f>[1]!s_stmnote_bank_23n($B197,K$192,1)</f>
        <v>155.57</v>
      </c>
      <c r="L197" s="399">
        <f>[1]!s_stmnote_bank_23n($B197,L$192,1)</f>
        <v>150.5</v>
      </c>
      <c r="M197" s="399">
        <f>[1]!s_stmnote_bank_23n($B197,M$192,1)</f>
        <v>151.02000000000001</v>
      </c>
    </row>
    <row r="198" spans="1:13" ht="15.75" thickBot="1">
      <c r="A198" s="382" t="s">
        <v>13</v>
      </c>
      <c r="B198" s="398" t="str">
        <f>[1]!to_tradecode(A198)</f>
        <v>600036</v>
      </c>
      <c r="C198" s="399">
        <f>[1]!s_stmnote_bank_23n($B198,C$192,1)</f>
        <v>180.39</v>
      </c>
      <c r="D198" s="399">
        <f>[1]!s_stmnote_bank_23n($B198,D$192,1)</f>
        <v>223.29</v>
      </c>
      <c r="E198" s="399">
        <f>[1]!s_stmnote_bank_23n($B198,E$192,1)</f>
        <v>246.66</v>
      </c>
      <c r="F198" s="399">
        <f>[1]!s_stmnote_bank_23n($B198,F$192,1)</f>
        <v>302.41000000000003</v>
      </c>
      <c r="G198" s="399">
        <f>[1]!s_stmnote_bank_23n($B198,G$192,1)</f>
        <v>400.13</v>
      </c>
      <c r="H198" s="399">
        <f>[1]!s_stmnote_bank_23n($B198,H$192,1)</f>
        <v>351.79</v>
      </c>
      <c r="I198" s="399">
        <f>[1]!s_stmnote_bank_23n($B198,I$192,1)</f>
        <v>266</v>
      </c>
      <c r="J198" s="399">
        <f>[1]!s_stmnote_bank_23n($B198,J$192,1)</f>
        <v>233.42</v>
      </c>
      <c r="K198" s="399">
        <f>[1]!s_stmnote_bank_23n($B198,K$192,1)</f>
        <v>178.95</v>
      </c>
      <c r="L198" s="399">
        <f>[1]!s_stmnote_bank_23n($B198,L$192,1)</f>
        <v>180.02</v>
      </c>
      <c r="M198" s="399">
        <f>[1]!s_stmnote_bank_23n($B198,M$192,1)</f>
        <v>224.69</v>
      </c>
    </row>
    <row r="199" spans="1:13" ht="15.75" thickBot="1">
      <c r="A199" s="382" t="s">
        <v>69</v>
      </c>
      <c r="B199" s="398" t="str">
        <f>[1]!to_tradecode(A199)</f>
        <v>601998</v>
      </c>
      <c r="C199" s="399">
        <f>[1]!s_stmnote_bank_23n($B199,C$192,1)</f>
        <v>110.01</v>
      </c>
      <c r="D199" s="399">
        <f>[1]!s_stmnote_bank_23n($B199,D$192,1)</f>
        <v>150.03</v>
      </c>
      <c r="E199" s="399">
        <f>[1]!s_stmnote_bank_23n($B199,E$192,1)</f>
        <v>149.36000000000001</v>
      </c>
      <c r="F199" s="399">
        <f>[1]!s_stmnote_bank_23n($B199,F$192,1)</f>
        <v>213.51</v>
      </c>
      <c r="G199" s="399">
        <f>[1]!s_stmnote_bank_23n($B199,G$192,1)</f>
        <v>272.31</v>
      </c>
      <c r="H199" s="399">
        <f>[1]!s_stmnote_bank_23n($B199,H$192,1)</f>
        <v>288.25</v>
      </c>
      <c r="I199" s="399">
        <f>[1]!s_stmnote_bank_23n($B199,I$192,1)</f>
        <v>206.62</v>
      </c>
      <c r="J199" s="399">
        <f>[1]!s_stmnote_bank_23n($B199,J$192,1)</f>
        <v>181.26</v>
      </c>
      <c r="K199" s="399">
        <f>[1]!s_stmnote_bank_23n($B199,K$192,1)</f>
        <v>167.81</v>
      </c>
      <c r="L199" s="399">
        <f>[1]!s_stmnote_bank_23n($B199,L$192,1)</f>
        <v>155.5</v>
      </c>
      <c r="M199" s="399">
        <f>[1]!s_stmnote_bank_23n($B199,M$192,1)</f>
        <v>152.97</v>
      </c>
    </row>
    <row r="200" spans="1:13" ht="15.75" thickBot="1">
      <c r="A200" s="382" t="s">
        <v>70</v>
      </c>
      <c r="B200" s="398" t="str">
        <f>[1]!to_tradecode(A200)</f>
        <v>600000</v>
      </c>
      <c r="C200" s="399">
        <f>[1]!s_stmnote_bank_23n($B200,C$192,1)</f>
        <v>191.08</v>
      </c>
      <c r="D200" s="399">
        <f>[1]!s_stmnote_bank_23n($B200,D$192,1)</f>
        <v>192.49</v>
      </c>
      <c r="E200" s="399">
        <f>[1]!s_stmnote_bank_23n($B200,E$192,1)</f>
        <v>245.93</v>
      </c>
      <c r="F200" s="399">
        <f>[1]!s_stmnote_bank_23n($B200,F$192,1)</f>
        <v>380.56</v>
      </c>
      <c r="G200" s="399">
        <f>[1]!s_stmnote_bank_23n($B200,G$192,1)</f>
        <v>499.6</v>
      </c>
      <c r="H200" s="399">
        <f>[1]!s_stmnote_bank_23n($B200,H$192,1)</f>
        <v>399.85</v>
      </c>
      <c r="I200" s="399">
        <f>[1]!s_stmnote_bank_23n($B200,I$192,1)</f>
        <v>319.64999999999998</v>
      </c>
      <c r="J200" s="399">
        <f>[1]!s_stmnote_bank_23n($B200,J$192,1)</f>
        <v>249.09</v>
      </c>
      <c r="K200" s="399">
        <f>[1]!s_stmnote_bank_23n($B200,K$192,1)</f>
        <v>211.4</v>
      </c>
      <c r="L200" s="399">
        <f>[1]!s_stmnote_bank_23n($B200,L$192,1)</f>
        <v>169.13</v>
      </c>
      <c r="M200" s="399">
        <f>[1]!s_stmnote_bank_23n($B200,M$192,1)</f>
        <v>154.21</v>
      </c>
    </row>
    <row r="201" spans="1:13" ht="15.75" thickBot="1">
      <c r="A201" s="382" t="s">
        <v>71</v>
      </c>
      <c r="B201" s="398" t="str">
        <f>[1]!to_tradecode(A201)</f>
        <v>600016</v>
      </c>
      <c r="C201" s="399">
        <f>[1]!s_stmnote_bank_23n($B201,C$192,1)</f>
        <v>113.14</v>
      </c>
      <c r="D201" s="399">
        <f>[1]!s_stmnote_bank_23n($B201,D$192,1)</f>
        <v>150.04</v>
      </c>
      <c r="E201" s="399">
        <f>[1]!s_stmnote_bank_23n($B201,E$192,1)</f>
        <v>206.04</v>
      </c>
      <c r="F201" s="399">
        <f>[1]!s_stmnote_bank_23n($B201,F$192,1)</f>
        <v>270.45</v>
      </c>
      <c r="G201" s="399">
        <f>[1]!s_stmnote_bank_23n($B201,G$192,1)</f>
        <v>357.29</v>
      </c>
      <c r="H201" s="399">
        <f>[1]!s_stmnote_bank_23n($B201,H$192,1)</f>
        <v>314.52999999999997</v>
      </c>
      <c r="I201" s="399">
        <f>[1]!s_stmnote_bank_23n($B201,I$192,1)</f>
        <v>259.74</v>
      </c>
      <c r="J201" s="399">
        <f>[1]!s_stmnote_bank_23n($B201,J$192,1)</f>
        <v>182.2</v>
      </c>
      <c r="K201" s="399">
        <f>[1]!s_stmnote_bank_23n($B201,K$192,1)</f>
        <v>153.63</v>
      </c>
      <c r="L201" s="399">
        <f>[1]!s_stmnote_bank_23n($B201,L$192,1)</f>
        <v>155.41</v>
      </c>
      <c r="M201" s="399">
        <f>[1]!s_stmnote_bank_23n($B201,M$192,1)</f>
        <v>153.33000000000001</v>
      </c>
    </row>
    <row r="202" spans="1:13" ht="15.75" thickBot="1">
      <c r="A202" s="382" t="s">
        <v>72</v>
      </c>
      <c r="B202" s="398" t="str">
        <f>[1]!to_tradecode(A202)</f>
        <v>601166</v>
      </c>
      <c r="C202" s="399">
        <f>[1]!s_stmnote_bank_23n($B202,C$192,1)</f>
        <v>155.21</v>
      </c>
      <c r="D202" s="399">
        <f>[1]!s_stmnote_bank_23n($B202,D$192,1)</f>
        <v>226.58</v>
      </c>
      <c r="E202" s="399">
        <f>[1]!s_stmnote_bank_23n($B202,E$192,1)</f>
        <v>254.93</v>
      </c>
      <c r="F202" s="399">
        <f>[1]!s_stmnote_bank_23n($B202,F$192,1)</f>
        <v>325.51</v>
      </c>
      <c r="G202" s="399">
        <f>[1]!s_stmnote_bank_23n($B202,G$192,1)</f>
        <v>385.3</v>
      </c>
      <c r="H202" s="399">
        <f>[1]!s_stmnote_bank_23n($B202,H$192,1)</f>
        <v>465.82</v>
      </c>
      <c r="I202" s="399">
        <f>[1]!s_stmnote_bank_23n($B202,I$192,1)</f>
        <v>352.1</v>
      </c>
      <c r="J202" s="399">
        <f>[1]!s_stmnote_bank_23n($B202,J$192,1)</f>
        <v>250.21</v>
      </c>
      <c r="K202" s="399">
        <f>[1]!s_stmnote_bank_23n($B202,K$192,1)</f>
        <v>210.08</v>
      </c>
      <c r="L202" s="399">
        <f>[1]!s_stmnote_bank_23n($B202,L$192,1)</f>
        <v>210.51</v>
      </c>
      <c r="M202" s="399">
        <f>[1]!s_stmnote_bank_23n($B202,M$192,1)</f>
        <v>222.51</v>
      </c>
    </row>
    <row r="203" spans="1:13" ht="15.75" thickBot="1">
      <c r="A203" s="382" t="s">
        <v>73</v>
      </c>
      <c r="B203" s="398" t="str">
        <f>[1]!to_tradecode(A203)</f>
        <v>601818</v>
      </c>
      <c r="C203" s="399">
        <f>[1]!s_stmnote_bank_23n($B203,C$192,1)</f>
        <v>92.8065</v>
      </c>
      <c r="D203" s="399">
        <f>[1]!s_stmnote_bank_23n($B203,D$192,1)</f>
        <v>151.2467</v>
      </c>
      <c r="E203" s="399">
        <f>[1]!s_stmnote_bank_23n($B203,E$192,1)</f>
        <v>194.66220000000001</v>
      </c>
      <c r="F203" s="399">
        <f>[1]!s_stmnote_bank_23n($B203,F$192,1)</f>
        <v>313.38</v>
      </c>
      <c r="G203" s="399">
        <f>[1]!s_stmnote_bank_23n($B203,G$192,1)</f>
        <v>367</v>
      </c>
      <c r="H203" s="399">
        <f>[1]!s_stmnote_bank_23n($B203,H$192,1)</f>
        <v>339.63</v>
      </c>
      <c r="I203" s="399">
        <f>[1]!s_stmnote_bank_23n($B203,I$192,1)</f>
        <v>241.02</v>
      </c>
      <c r="J203" s="399">
        <f>[1]!s_stmnote_bank_23n($B203,J$192,1)</f>
        <v>180.52</v>
      </c>
      <c r="K203" s="399">
        <f>[1]!s_stmnote_bank_23n($B203,K$192,1)</f>
        <v>156.38999999999999</v>
      </c>
      <c r="L203" s="399">
        <f>[1]!s_stmnote_bank_23n($B203,L$192,1)</f>
        <v>152.02000000000001</v>
      </c>
      <c r="M203" s="399">
        <f>[1]!s_stmnote_bank_23n($B203,M$192,1)</f>
        <v>152.16999999999999</v>
      </c>
    </row>
    <row r="204" spans="1:13" ht="15.75" thickBot="1">
      <c r="A204" s="382" t="s">
        <v>74</v>
      </c>
      <c r="B204" s="398" t="str">
        <f>[1]!to_tradecode(A204)</f>
        <v>600015</v>
      </c>
      <c r="C204" s="399">
        <f>[1]!s_stmnote_bank_23n($B204,C$192,1)</f>
        <v>109.27</v>
      </c>
      <c r="D204" s="399">
        <f>[1]!s_stmnote_bank_23n($B204,D$192,1)</f>
        <v>151.22</v>
      </c>
      <c r="E204" s="399">
        <f>[1]!s_stmnote_bank_23n($B204,E$192,1)</f>
        <v>166.84</v>
      </c>
      <c r="F204" s="399">
        <f>[1]!s_stmnote_bank_23n($B204,F$192,1)</f>
        <v>209.04</v>
      </c>
      <c r="G204" s="399">
        <f>[1]!s_stmnote_bank_23n($B204,G$192,1)</f>
        <v>308.20999999999998</v>
      </c>
      <c r="H204" s="399">
        <f>[1]!s_stmnote_bank_23n($B204,H$192,1)</f>
        <v>320.33999999999997</v>
      </c>
      <c r="I204" s="399">
        <f>[1]!s_stmnote_bank_23n($B204,I$192,1)</f>
        <v>301.52999999999997</v>
      </c>
      <c r="J204" s="399">
        <f>[1]!s_stmnote_bank_23n($B204,J$192,1)</f>
        <v>233.13</v>
      </c>
      <c r="K204" s="399">
        <f>[1]!s_stmnote_bank_23n($B204,K$192,1)</f>
        <v>167.12</v>
      </c>
      <c r="L204" s="399">
        <f>[1]!s_stmnote_bank_23n($B204,L$192,1)</f>
        <v>158.72999999999999</v>
      </c>
      <c r="M204" s="399">
        <f>[1]!s_stmnote_bank_23n($B204,M$192,1)</f>
        <v>157.63</v>
      </c>
    </row>
    <row r="205" spans="1:13" ht="15.75" thickBot="1">
      <c r="A205" s="382" t="s">
        <v>75</v>
      </c>
      <c r="B205" s="398" t="str">
        <f>[1]!to_tradecode(A205)</f>
        <v>000001</v>
      </c>
      <c r="C205" s="399">
        <f>[1]!s_stmnote_bank_23n($B205,C$192,1)</f>
        <v>48.28</v>
      </c>
      <c r="D205" s="399">
        <f>[1]!s_stmnote_bank_23n($B205,D$192,1)</f>
        <v>105.14</v>
      </c>
      <c r="E205" s="399">
        <f>[1]!s_stmnote_bank_23n($B205,E$192,1)</f>
        <v>161.84</v>
      </c>
      <c r="F205" s="399">
        <f>[1]!s_stmnote_bank_23n($B205,F$192,1)</f>
        <v>271.5</v>
      </c>
      <c r="G205" s="399">
        <f>[1]!s_stmnote_bank_23n($B205,G$192,1)</f>
        <v>320.66000000000003</v>
      </c>
      <c r="H205" s="399">
        <f>[1]!s_stmnote_bank_23n($B205,H$192,1)</f>
        <v>182.32</v>
      </c>
      <c r="I205" s="399">
        <f>[1]!s_stmnote_bank_23n($B205,I$192,1)</f>
        <v>201.06</v>
      </c>
      <c r="J205" s="399">
        <f>[1]!s_stmnote_bank_23n($B205,J$192,1)</f>
        <v>200.9</v>
      </c>
      <c r="K205" s="399">
        <f>[1]!s_stmnote_bank_23n($B205,K$192,1)</f>
        <v>165.86</v>
      </c>
      <c r="L205" s="399">
        <f>[1]!s_stmnote_bank_23n($B205,L$192,1)</f>
        <v>155.37</v>
      </c>
      <c r="M205" s="399">
        <f>[1]!s_stmnote_bank_23n($B205,M$192,1)</f>
        <v>161.32</v>
      </c>
    </row>
    <row r="206" spans="1:13" ht="15.75" thickBot="1">
      <c r="A206" s="382" t="s">
        <v>76</v>
      </c>
      <c r="B206" s="398" t="str">
        <f>[1]!to_tradecode(A206)</f>
        <v>601169</v>
      </c>
      <c r="C206" s="399">
        <f>[1]!s_stmnote_bank_23n($B206,C$192,1)</f>
        <v>119.88</v>
      </c>
      <c r="D206" s="399">
        <f>[1]!s_stmnote_bank_23n($B206,D$192,1)</f>
        <v>180.23</v>
      </c>
      <c r="E206" s="399">
        <f>[1]!s_stmnote_bank_23n($B206,E$192,1)</f>
        <v>215.69</v>
      </c>
      <c r="F206" s="399">
        <f>[1]!s_stmnote_bank_23n($B206,F$192,1)</f>
        <v>307.12</v>
      </c>
      <c r="G206" s="399">
        <f>[1]!s_stmnote_bank_23n($B206,G$192,1)</f>
        <v>446.39</v>
      </c>
      <c r="H206" s="399">
        <f>[1]!s_stmnote_bank_23n($B206,H$192,1)</f>
        <v>419.96</v>
      </c>
      <c r="I206" s="399">
        <f>[1]!s_stmnote_bank_23n($B206,I$192,1)</f>
        <v>385.91</v>
      </c>
      <c r="J206" s="399">
        <f>[1]!s_stmnote_bank_23n($B206,J$192,1)</f>
        <v>324.22000000000003</v>
      </c>
      <c r="K206" s="399">
        <f>[1]!s_stmnote_bank_23n($B206,K$192,1)</f>
        <v>278.39</v>
      </c>
      <c r="L206" s="399">
        <f>[1]!s_stmnote_bank_23n($B206,L$192,1)</f>
        <v>256.06</v>
      </c>
      <c r="M206" s="399">
        <f>[1]!s_stmnote_bank_23n($B206,M$192,1)</f>
        <v>0</v>
      </c>
    </row>
    <row r="207" spans="1:13" ht="15.75" thickBot="1">
      <c r="A207" s="382" t="s">
        <v>77</v>
      </c>
      <c r="B207" s="398" t="str">
        <f>[1]!to_tradecode(A207)</f>
        <v>601009</v>
      </c>
      <c r="C207" s="399">
        <f>[1]!s_stmnote_bank_23n($B207,C$192,1)</f>
        <v>146.88</v>
      </c>
      <c r="D207" s="399">
        <f>[1]!s_stmnote_bank_23n($B207,D$192,1)</f>
        <v>170.05</v>
      </c>
      <c r="E207" s="399">
        <f>[1]!s_stmnote_bank_23n($B207,E$192,1)</f>
        <v>173.74</v>
      </c>
      <c r="F207" s="399">
        <f>[1]!s_stmnote_bank_23n($B207,F$192,1)</f>
        <v>234.71</v>
      </c>
      <c r="G207" s="399">
        <f>[1]!s_stmnote_bank_23n($B207,G$192,1)</f>
        <v>323.98</v>
      </c>
      <c r="H207" s="399">
        <f>[1]!s_stmnote_bank_23n($B207,H$192,1)</f>
        <v>316.74</v>
      </c>
      <c r="I207" s="399">
        <f>[1]!s_stmnote_bank_23n($B207,I$192,1)</f>
        <v>298.51</v>
      </c>
      <c r="J207" s="399">
        <f>[1]!s_stmnote_bank_23n($B207,J$192,1)</f>
        <v>325.72000000000003</v>
      </c>
      <c r="K207" s="399">
        <f>[1]!s_stmnote_bank_23n($B207,K$192,1)</f>
        <v>430.95</v>
      </c>
      <c r="L207" s="399">
        <f>[1]!s_stmnote_bank_23n($B207,L$192,1)</f>
        <v>457.32</v>
      </c>
      <c r="M207" s="399">
        <f>[1]!s_stmnote_bank_23n($B207,M$192,1)</f>
        <v>450.19</v>
      </c>
    </row>
    <row r="208" spans="1:13">
      <c r="A208" s="382" t="s">
        <v>78</v>
      </c>
      <c r="B208" s="398" t="str">
        <f>[1]!to_tradecode(A208)</f>
        <v>002142</v>
      </c>
      <c r="C208" s="399">
        <f>[1]!s_stmnote_bank_23n($B208,C$192,1)</f>
        <v>359.94</v>
      </c>
      <c r="D208" s="399">
        <f>[1]!s_stmnote_bank_23n($B208,D$192,1)</f>
        <v>152.5</v>
      </c>
      <c r="E208" s="399">
        <f>[1]!s_stmnote_bank_23n($B208,E$192,1)</f>
        <v>170.06</v>
      </c>
      <c r="F208" s="399">
        <f>[1]!s_stmnote_bank_23n($B208,F$192,1)</f>
        <v>196.15</v>
      </c>
      <c r="G208" s="399">
        <f>[1]!s_stmnote_bank_23n($B208,G$192,1)</f>
        <v>240.74</v>
      </c>
      <c r="H208" s="399">
        <f>[1]!s_stmnote_bank_23n($B208,H$192,1)</f>
        <v>275.39</v>
      </c>
      <c r="I208" s="399">
        <f>[1]!s_stmnote_bank_23n($B208,I$192,1)</f>
        <v>254.88</v>
      </c>
      <c r="J208" s="399">
        <f>[1]!s_stmnote_bank_23n($B208,J$192,1)</f>
        <v>285.17</v>
      </c>
      <c r="K208" s="399">
        <f>[1]!s_stmnote_bank_23n($B208,K$192,1)</f>
        <v>308.67</v>
      </c>
      <c r="L208" s="399">
        <f>[1]!s_stmnote_bank_23n($B208,L$192,1)</f>
        <v>351.42</v>
      </c>
      <c r="M208" s="399">
        <f>[1]!s_stmnote_bank_23n($B208,M$192,1)</f>
        <v>398.52</v>
      </c>
    </row>
  </sheetData>
  <mergeCells count="16">
    <mergeCell ref="A74:A75"/>
    <mergeCell ref="A64:A65"/>
    <mergeCell ref="A66:A67"/>
    <mergeCell ref="A68:A69"/>
    <mergeCell ref="A70:A71"/>
    <mergeCell ref="A72:A73"/>
    <mergeCell ref="A88:A89"/>
    <mergeCell ref="A90:A91"/>
    <mergeCell ref="A92:A93"/>
    <mergeCell ref="A94:A95"/>
    <mergeCell ref="A76:A77"/>
    <mergeCell ref="A78:A79"/>
    <mergeCell ref="A80:A81"/>
    <mergeCell ref="A82:A83"/>
    <mergeCell ref="A84:A85"/>
    <mergeCell ref="A86:A87"/>
  </mergeCells>
  <phoneticPr fontId="3" type="noConversion"/>
  <conditionalFormatting sqref="A20:L27">
    <cfRule type="expression" dxfId="7" priority="1">
      <formula>ISNA(A20)</formula>
    </cfRule>
  </conditionalFormatting>
  <dataValidations disablePrompts="1" count="1">
    <dataValidation type="list" allowBlank="1" showInputMessage="1" showErrorMessage="1" sqref="A33">
      <formula1>$A$42:$A$57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按钮 7">
              <controlPr defaultSize="0" print="0" autoFill="0" autoPict="0" macro="[0]!宏5">
                <anchor moveWithCells="1" sizeWithCells="1">
                  <from>
                    <xdr:col>1</xdr:col>
                    <xdr:colOff>104775</xdr:colOff>
                    <xdr:row>30</xdr:row>
                    <xdr:rowOff>142875</xdr:rowOff>
                  </from>
                  <to>
                    <xdr:col>1</xdr:col>
                    <xdr:colOff>666750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C000"/>
  </sheetPr>
  <dimension ref="A1:X69"/>
  <sheetViews>
    <sheetView showGridLines="0" topLeftCell="A13" workbookViewId="0">
      <pane xSplit="2" topLeftCell="C1" activePane="topRight" state="frozenSplit"/>
      <selection pane="topRight" activeCell="D43" sqref="D43"/>
    </sheetView>
  </sheetViews>
  <sheetFormatPr defaultColWidth="9" defaultRowHeight="12"/>
  <cols>
    <col min="1" max="1" width="6.625" style="41" customWidth="1"/>
    <col min="2" max="10" width="9" style="41"/>
    <col min="11" max="13" width="10" style="41" bestFit="1" customWidth="1"/>
    <col min="14" max="14" width="11.125" style="41" bestFit="1" customWidth="1"/>
    <col min="15" max="17" width="10" style="41" bestFit="1" customWidth="1"/>
    <col min="18" max="18" width="11.125" style="41" bestFit="1" customWidth="1"/>
    <col min="19" max="21" width="10" style="41" bestFit="1" customWidth="1"/>
    <col min="22" max="22" width="11.125" style="41" bestFit="1" customWidth="1"/>
    <col min="23" max="23" width="9.375" style="41" customWidth="1"/>
    <col min="24" max="24" width="10" style="41" bestFit="1" customWidth="1"/>
    <col min="25" max="16384" width="9" style="41"/>
  </cols>
  <sheetData>
    <row r="1" spans="2:24" ht="12.75" thickBot="1"/>
    <row r="2" spans="2:24" ht="15" customHeight="1" thickBot="1">
      <c r="B2" s="212" t="s">
        <v>193</v>
      </c>
      <c r="C2" s="213">
        <v>40999</v>
      </c>
      <c r="D2" s="214">
        <v>41090</v>
      </c>
      <c r="E2" s="214">
        <v>41182</v>
      </c>
      <c r="F2" s="215">
        <v>41274</v>
      </c>
      <c r="G2" s="214">
        <v>41364</v>
      </c>
      <c r="H2" s="214">
        <v>41455</v>
      </c>
      <c r="I2" s="214">
        <v>41547</v>
      </c>
      <c r="J2" s="215">
        <v>41639</v>
      </c>
      <c r="K2" s="216">
        <v>41729</v>
      </c>
      <c r="L2" s="216">
        <v>41820</v>
      </c>
      <c r="M2" s="216">
        <v>41912</v>
      </c>
      <c r="N2" s="217">
        <v>42004</v>
      </c>
      <c r="O2" s="218">
        <v>42094</v>
      </c>
      <c r="P2" s="216">
        <v>42185</v>
      </c>
      <c r="Q2" s="216">
        <v>42277</v>
      </c>
      <c r="R2" s="217">
        <v>42369</v>
      </c>
      <c r="S2" s="218">
        <v>42460</v>
      </c>
      <c r="T2" s="216">
        <v>42551</v>
      </c>
      <c r="U2" s="216">
        <v>42643</v>
      </c>
      <c r="V2" s="216">
        <v>42735</v>
      </c>
      <c r="W2" s="218">
        <v>42825</v>
      </c>
      <c r="X2" s="217">
        <v>42916</v>
      </c>
    </row>
    <row r="3" spans="2:24" ht="15" customHeight="1">
      <c r="B3" s="219" t="s">
        <v>194</v>
      </c>
      <c r="C3" s="220"/>
      <c r="D3" s="221">
        <v>2.6600000000000002E-2</v>
      </c>
      <c r="E3" s="221"/>
      <c r="F3" s="222">
        <v>2.6600000000000002E-2</v>
      </c>
      <c r="G3" s="221"/>
      <c r="H3" s="221">
        <v>2.5699999999999997E-2</v>
      </c>
      <c r="I3" s="221"/>
      <c r="J3" s="222">
        <v>2.5699999999999997E-2</v>
      </c>
      <c r="K3" s="221"/>
      <c r="L3" s="221">
        <v>2.6200000000000001E-2</v>
      </c>
      <c r="M3" s="221"/>
      <c r="N3" s="222">
        <v>2.6600000000000002E-2</v>
      </c>
      <c r="O3" s="220"/>
      <c r="P3" s="221">
        <v>2.53E-2</v>
      </c>
      <c r="Q3" s="221"/>
      <c r="R3" s="222">
        <v>2.4700000000000003E-2</v>
      </c>
      <c r="S3" s="220">
        <v>2.2799999999999997E-2</v>
      </c>
      <c r="T3" s="221">
        <v>2.2099999999999998E-2</v>
      </c>
      <c r="U3" s="221">
        <v>2.18E-2</v>
      </c>
      <c r="V3" s="221">
        <v>2.1600000000000001E-2</v>
      </c>
      <c r="W3" s="220">
        <v>2.12E-2</v>
      </c>
      <c r="X3" s="222">
        <v>2.1600000000000001E-2</v>
      </c>
    </row>
    <row r="4" spans="2:24" ht="15" customHeight="1">
      <c r="B4" s="223" t="s">
        <v>195</v>
      </c>
      <c r="C4" s="224">
        <v>2.6499999999999999E-2</v>
      </c>
      <c r="D4" s="225">
        <v>2.7099999999999999E-2</v>
      </c>
      <c r="E4" s="225">
        <v>2.7400000000000001E-2</v>
      </c>
      <c r="F4" s="226">
        <v>2.75E-2</v>
      </c>
      <c r="G4" s="225">
        <v>2.7099999999999999E-2</v>
      </c>
      <c r="H4" s="225">
        <v>2.7099999999999999E-2</v>
      </c>
      <c r="I4" s="225">
        <v>2.7099999999999999E-2</v>
      </c>
      <c r="J4" s="226">
        <v>2.7400000000000001E-2</v>
      </c>
      <c r="K4" s="225">
        <v>2.81E-2</v>
      </c>
      <c r="L4" s="225">
        <v>2.7999999999999997E-2</v>
      </c>
      <c r="M4" s="225">
        <v>2.7999999999999997E-2</v>
      </c>
      <c r="N4" s="226">
        <v>2.7999999999999997E-2</v>
      </c>
      <c r="O4" s="224">
        <v>2.7200000000000002E-2</v>
      </c>
      <c r="P4" s="225">
        <v>2.6699999999999998E-2</v>
      </c>
      <c r="Q4" s="225">
        <v>2.6399999999999996E-2</v>
      </c>
      <c r="R4" s="226">
        <v>2.63E-2</v>
      </c>
      <c r="S4" s="224">
        <v>2.4E-2</v>
      </c>
      <c r="T4" s="225">
        <v>2.3199999999999998E-2</v>
      </c>
      <c r="U4" s="225">
        <v>2.2599999999999999E-2</v>
      </c>
      <c r="V4" s="225">
        <v>2.2000000000000002E-2</v>
      </c>
      <c r="W4" s="224">
        <v>2.1299999999999999E-2</v>
      </c>
      <c r="X4" s="226">
        <v>2.1400000000000002E-2</v>
      </c>
    </row>
    <row r="5" spans="2:24" ht="15" customHeight="1">
      <c r="B5" s="223" t="s">
        <v>196</v>
      </c>
      <c r="C5" s="224">
        <v>2.9700000000000001E-2</v>
      </c>
      <c r="D5" s="225">
        <v>2.8500000000000001E-2</v>
      </c>
      <c r="E5" s="225">
        <v>2.8199999999999999E-2</v>
      </c>
      <c r="F5" s="226">
        <v>2.81E-2</v>
      </c>
      <c r="G5" s="225">
        <v>2.7799999999999998E-2</v>
      </c>
      <c r="H5" s="225">
        <v>2.7400000000000001E-2</v>
      </c>
      <c r="I5" s="225">
        <v>2.75E-2</v>
      </c>
      <c r="J5" s="226">
        <v>2.7900000000000001E-2</v>
      </c>
      <c r="K5" s="225">
        <v>2.9600000000000001E-2</v>
      </c>
      <c r="L5" s="225">
        <v>2.9300000000000003E-2</v>
      </c>
      <c r="M5" s="225">
        <v>2.9100000000000001E-2</v>
      </c>
      <c r="N5" s="226">
        <v>2.92E-2</v>
      </c>
      <c r="O5" s="224"/>
      <c r="P5" s="225">
        <v>2.7799999999999998E-2</v>
      </c>
      <c r="Q5" s="225"/>
      <c r="R5" s="226">
        <v>2.6600000000000002E-2</v>
      </c>
      <c r="S5" s="224"/>
      <c r="T5" s="225">
        <v>2.3099999999999999E-2</v>
      </c>
      <c r="U5" s="225"/>
      <c r="V5" s="225">
        <v>2.2499999999999999E-2</v>
      </c>
      <c r="W5" s="224"/>
      <c r="X5" s="226">
        <v>2.2400000000000003E-2</v>
      </c>
    </row>
    <row r="6" spans="2:24" ht="15" customHeight="1">
      <c r="B6" s="223" t="s">
        <v>197</v>
      </c>
      <c r="C6" s="224">
        <v>2.1099999999999997E-2</v>
      </c>
      <c r="D6" s="225">
        <v>2.1000000000000001E-2</v>
      </c>
      <c r="E6" s="225">
        <v>2.12E-2</v>
      </c>
      <c r="F6" s="226">
        <v>2.1499999999999998E-2</v>
      </c>
      <c r="G6" s="225">
        <v>2.2200000000000001E-2</v>
      </c>
      <c r="H6" s="225">
        <v>2.23E-2</v>
      </c>
      <c r="I6" s="225">
        <v>2.2200000000000001E-2</v>
      </c>
      <c r="J6" s="226">
        <v>2.2400000000000003E-2</v>
      </c>
      <c r="K6" s="225">
        <v>2.29E-2</v>
      </c>
      <c r="L6" s="225">
        <v>2.2700000000000001E-2</v>
      </c>
      <c r="M6" s="225">
        <v>2.2599999999999999E-2</v>
      </c>
      <c r="N6" s="226">
        <v>2.2499999999999999E-2</v>
      </c>
      <c r="O6" s="224">
        <v>2.2200000000000001E-2</v>
      </c>
      <c r="P6" s="225">
        <v>2.18E-2</v>
      </c>
      <c r="Q6" s="225">
        <v>2.1400000000000002E-2</v>
      </c>
      <c r="R6" s="226">
        <v>2.12E-2</v>
      </c>
      <c r="S6" s="224">
        <v>1.9699999999999999E-2</v>
      </c>
      <c r="T6" s="225">
        <v>1.9E-2</v>
      </c>
      <c r="U6" s="225">
        <v>1.8500000000000003E-2</v>
      </c>
      <c r="V6" s="225">
        <v>1.83E-2</v>
      </c>
      <c r="W6" s="224">
        <v>1.8000000000000002E-2</v>
      </c>
      <c r="X6" s="226">
        <v>1.84E-2</v>
      </c>
    </row>
    <row r="7" spans="2:24" ht="15" customHeight="1" thickBot="1">
      <c r="B7" s="227" t="s">
        <v>198</v>
      </c>
      <c r="C7" s="228">
        <v>2.6000000000000002E-2</v>
      </c>
      <c r="D7" s="229">
        <v>2.6099999999999998E-2</v>
      </c>
      <c r="E7" s="229">
        <v>2.6000000000000002E-2</v>
      </c>
      <c r="F7" s="230">
        <v>2.5899999999999999E-2</v>
      </c>
      <c r="G7" s="225">
        <v>2.5699999999999997E-2</v>
      </c>
      <c r="H7" s="225">
        <v>2.5600000000000001E-2</v>
      </c>
      <c r="I7" s="225">
        <v>2.53E-2</v>
      </c>
      <c r="J7" s="226">
        <v>2.52E-2</v>
      </c>
      <c r="K7" s="229">
        <v>2.3300000000000001E-2</v>
      </c>
      <c r="L7" s="229">
        <v>2.3900000000000001E-2</v>
      </c>
      <c r="M7" s="229">
        <v>2.4E-2</v>
      </c>
      <c r="N7" s="230">
        <v>2.3599999999999999E-2</v>
      </c>
      <c r="O7" s="228">
        <v>2.29E-2</v>
      </c>
      <c r="P7" s="229">
        <v>2.2700000000000001E-2</v>
      </c>
      <c r="Q7" s="229">
        <v>2.2400000000000003E-2</v>
      </c>
      <c r="R7" s="230">
        <v>2.2200000000000001E-2</v>
      </c>
      <c r="S7" s="228">
        <v>2.0099999999999996E-2</v>
      </c>
      <c r="T7" s="229">
        <v>1.9699999999999999E-2</v>
      </c>
      <c r="U7" s="229">
        <v>1.9099999999999999E-2</v>
      </c>
      <c r="V7" s="229">
        <v>1.8799999999999997E-2</v>
      </c>
      <c r="W7" s="224">
        <v>1.5700000000000002E-2</v>
      </c>
      <c r="X7" s="226">
        <v>1.5700000000000002E-2</v>
      </c>
    </row>
    <row r="8" spans="2:24" ht="15" customHeight="1">
      <c r="B8" s="219" t="s">
        <v>199</v>
      </c>
      <c r="C8" s="220">
        <v>3.2099999999999997E-2</v>
      </c>
      <c r="D8" s="221">
        <v>3.1099999999999999E-2</v>
      </c>
      <c r="E8" s="221">
        <v>3.04E-2</v>
      </c>
      <c r="F8" s="221">
        <v>3.0299999999999997E-2</v>
      </c>
      <c r="G8" s="220">
        <v>2.9300000000000003E-2</v>
      </c>
      <c r="H8" s="221">
        <v>2.8900000000000002E-2</v>
      </c>
      <c r="I8" s="221">
        <v>2.8300000000000002E-2</v>
      </c>
      <c r="J8" s="222">
        <v>2.8199999999999999E-2</v>
      </c>
      <c r="K8" s="221">
        <v>2.6499999999999999E-2</v>
      </c>
      <c r="L8" s="221">
        <v>2.6800000000000001E-2</v>
      </c>
      <c r="M8" s="221">
        <v>2.5000000000000001E-2</v>
      </c>
      <c r="N8" s="222">
        <v>2.64E-2</v>
      </c>
      <c r="O8" s="220">
        <v>2.8999999999999998E-2</v>
      </c>
      <c r="P8" s="221">
        <v>2.7799999999999998E-2</v>
      </c>
      <c r="Q8" s="221">
        <v>2.75E-2</v>
      </c>
      <c r="R8" s="222">
        <v>2.7699999999999999E-2</v>
      </c>
      <c r="S8" s="220">
        <v>2.6200000000000001E-2</v>
      </c>
      <c r="T8" s="221">
        <v>2.58E-2</v>
      </c>
      <c r="U8" s="221">
        <v>2.5600000000000001E-2</v>
      </c>
      <c r="V8" s="221">
        <v>2.5000000000000001E-2</v>
      </c>
      <c r="W8" s="220">
        <v>2.4300000000000002E-2</v>
      </c>
      <c r="X8" s="222">
        <v>2.4300000000000002E-2</v>
      </c>
    </row>
    <row r="9" spans="2:24" ht="15" customHeight="1">
      <c r="B9" s="223" t="s">
        <v>200</v>
      </c>
      <c r="C9" s="224">
        <v>3.0099999999999998E-2</v>
      </c>
      <c r="D9" s="225">
        <v>2.8900000000000002E-2</v>
      </c>
      <c r="E9" s="225">
        <v>2.8199999999999999E-2</v>
      </c>
      <c r="F9" s="225">
        <v>2.81E-2</v>
      </c>
      <c r="G9" s="224">
        <v>2.6499999999999999E-2</v>
      </c>
      <c r="H9" s="225">
        <v>2.5899999999999999E-2</v>
      </c>
      <c r="I9" s="225">
        <v>2.6000000000000002E-2</v>
      </c>
      <c r="J9" s="226">
        <v>2.6000000000000002E-2</v>
      </c>
      <c r="K9" s="225">
        <v>2.3699999999999999E-2</v>
      </c>
      <c r="L9" s="225">
        <v>2.3599999999999999E-2</v>
      </c>
      <c r="M9" s="225">
        <v>2.3699999999999999E-2</v>
      </c>
      <c r="N9" s="226">
        <v>2.4E-2</v>
      </c>
      <c r="O9" s="224">
        <v>2.3199999999999998E-2</v>
      </c>
      <c r="P9" s="225">
        <v>2.3199999999999998E-2</v>
      </c>
      <c r="Q9" s="225">
        <v>2.3300000000000001E-2</v>
      </c>
      <c r="R9" s="226">
        <v>2.3099999999999999E-2</v>
      </c>
      <c r="S9" s="224">
        <v>2.1299999999999999E-2</v>
      </c>
      <c r="T9" s="225">
        <v>2.12E-2</v>
      </c>
      <c r="U9" s="225">
        <v>2.01E-2</v>
      </c>
      <c r="V9" s="225">
        <v>0.02</v>
      </c>
      <c r="W9" s="224">
        <v>1.7899999999999999E-2</v>
      </c>
      <c r="X9" s="226">
        <v>1.77E-2</v>
      </c>
    </row>
    <row r="10" spans="2:24" ht="15" customHeight="1">
      <c r="B10" s="223" t="s">
        <v>201</v>
      </c>
      <c r="C10" s="224"/>
      <c r="D10" s="225">
        <v>2.64E-2</v>
      </c>
      <c r="E10" s="225"/>
      <c r="F10" s="225">
        <v>2.58E-2</v>
      </c>
      <c r="G10" s="224"/>
      <c r="H10" s="225">
        <v>2.35E-2</v>
      </c>
      <c r="I10" s="225"/>
      <c r="J10" s="226">
        <v>2.46E-2</v>
      </c>
      <c r="K10" s="225"/>
      <c r="L10" s="225">
        <v>2.4700000000000003E-2</v>
      </c>
      <c r="M10" s="225"/>
      <c r="N10" s="226">
        <v>2.5000000000000001E-2</v>
      </c>
      <c r="O10" s="224"/>
      <c r="P10" s="225">
        <v>2.4199999999999999E-2</v>
      </c>
      <c r="Q10" s="225"/>
      <c r="R10" s="226">
        <v>2.4500000000000001E-2</v>
      </c>
      <c r="S10" s="224"/>
      <c r="T10" s="225">
        <v>2.1400000000000002E-2</v>
      </c>
      <c r="U10" s="225"/>
      <c r="V10" s="225">
        <v>2.0299999999999999E-2</v>
      </c>
      <c r="W10" s="224"/>
      <c r="X10" s="226">
        <v>1.8200000000000001E-2</v>
      </c>
    </row>
    <row r="11" spans="2:24" ht="15" customHeight="1">
      <c r="B11" s="223" t="s">
        <v>202</v>
      </c>
      <c r="C11" s="224"/>
      <c r="D11" s="225">
        <v>3.1400000000000004E-2</v>
      </c>
      <c r="E11" s="225"/>
      <c r="F11" s="225">
        <v>2.9399999999999999E-2</v>
      </c>
      <c r="G11" s="224"/>
      <c r="H11" s="225">
        <v>2.41E-2</v>
      </c>
      <c r="I11" s="225"/>
      <c r="J11" s="226">
        <v>2.4900000000000002E-2</v>
      </c>
      <c r="K11" s="225"/>
      <c r="L11" s="225">
        <v>2.6200000000000001E-2</v>
      </c>
      <c r="M11" s="225"/>
      <c r="N11" s="226">
        <v>2.5899999999999999E-2</v>
      </c>
      <c r="O11" s="224"/>
      <c r="P11" s="225">
        <v>2.35E-2</v>
      </c>
      <c r="Q11" s="225"/>
      <c r="R11" s="226">
        <v>2.2599999999999999E-2</v>
      </c>
      <c r="S11" s="224"/>
      <c r="T11" s="225">
        <v>2.0099999999999996E-2</v>
      </c>
      <c r="U11" s="225"/>
      <c r="V11" s="225">
        <v>1.8600000000000002E-2</v>
      </c>
      <c r="W11" s="224"/>
      <c r="X11" s="226">
        <v>1.3999999999999999E-2</v>
      </c>
    </row>
    <row r="12" spans="2:24" ht="15" customHeight="1">
      <c r="B12" s="223" t="s">
        <v>203</v>
      </c>
      <c r="C12" s="224"/>
      <c r="D12" s="225">
        <v>2.8243999999999998E-2</v>
      </c>
      <c r="E12" s="225"/>
      <c r="F12" s="225">
        <v>2.64E-2</v>
      </c>
      <c r="G12" s="224"/>
      <c r="H12" s="225">
        <v>2.4900000000000002E-2</v>
      </c>
      <c r="I12" s="225"/>
      <c r="J12" s="226">
        <v>2.4399999999999998E-2</v>
      </c>
      <c r="K12" s="225"/>
      <c r="L12" s="225">
        <v>2.4E-2</v>
      </c>
      <c r="M12" s="225"/>
      <c r="N12" s="226">
        <v>2.4799999999999999E-2</v>
      </c>
      <c r="O12" s="224"/>
      <c r="P12" s="225">
        <v>2.4399999999999998E-2</v>
      </c>
      <c r="Q12" s="225"/>
      <c r="R12" s="226">
        <v>2.4500000000000001E-2</v>
      </c>
      <c r="S12" s="224"/>
      <c r="T12" s="225">
        <v>2.18E-2</v>
      </c>
      <c r="U12" s="225"/>
      <c r="V12" s="225">
        <v>2.07E-2</v>
      </c>
      <c r="W12" s="224"/>
      <c r="X12" s="226">
        <v>1.7500000000000002E-2</v>
      </c>
    </row>
    <row r="13" spans="2:24" ht="15" customHeight="1">
      <c r="B13" s="223" t="s">
        <v>204</v>
      </c>
      <c r="C13" s="224"/>
      <c r="D13" s="225">
        <v>2.7000000000000003E-2</v>
      </c>
      <c r="E13" s="225"/>
      <c r="F13" s="225">
        <v>2.5399999999999999E-2</v>
      </c>
      <c r="G13" s="224"/>
      <c r="H13" s="225">
        <v>2.23E-2</v>
      </c>
      <c r="I13" s="225"/>
      <c r="J13" s="226">
        <v>2.1600000000000001E-2</v>
      </c>
      <c r="K13" s="225"/>
      <c r="L13" s="225">
        <v>2.2499999999999999E-2</v>
      </c>
      <c r="M13" s="225"/>
      <c r="N13" s="226">
        <v>2.3E-2</v>
      </c>
      <c r="O13" s="224"/>
      <c r="P13" s="225">
        <v>2.2700000000000001E-2</v>
      </c>
      <c r="Q13" s="225"/>
      <c r="R13" s="226">
        <v>2.2499999999999999E-2</v>
      </c>
      <c r="S13" s="224"/>
      <c r="T13" s="225">
        <v>1.8799999999999997E-2</v>
      </c>
      <c r="U13" s="225"/>
      <c r="V13" s="225">
        <v>1.78E-2</v>
      </c>
      <c r="W13" s="224"/>
      <c r="X13" s="226">
        <v>1.52E-2</v>
      </c>
    </row>
    <row r="14" spans="2:24" ht="15" customHeight="1">
      <c r="B14" s="223" t="s">
        <v>205</v>
      </c>
      <c r="C14" s="224"/>
      <c r="D14" s="225">
        <v>2.7999999999999997E-2</v>
      </c>
      <c r="E14" s="225"/>
      <c r="F14" s="225">
        <v>2.7099999999999999E-2</v>
      </c>
      <c r="G14" s="224"/>
      <c r="H14" s="225">
        <v>2.7000000000000003E-2</v>
      </c>
      <c r="I14" s="225"/>
      <c r="J14" s="226">
        <v>2.6699999999999998E-2</v>
      </c>
      <c r="K14" s="225"/>
      <c r="L14" s="225">
        <v>2.6099999999999998E-2</v>
      </c>
      <c r="M14" s="225"/>
      <c r="N14" s="226">
        <v>2.69E-2</v>
      </c>
      <c r="O14" s="224"/>
      <c r="P14" s="225">
        <v>2.63E-2</v>
      </c>
      <c r="Q14" s="225"/>
      <c r="R14" s="226">
        <v>2.5600000000000001E-2</v>
      </c>
      <c r="S14" s="224"/>
      <c r="T14" s="225">
        <v>2.4799999999999999E-2</v>
      </c>
      <c r="U14" s="225"/>
      <c r="V14" s="225">
        <v>2.4199999999999999E-2</v>
      </c>
      <c r="W14" s="224"/>
      <c r="X14" s="226">
        <v>2.1000000000000001E-2</v>
      </c>
    </row>
    <row r="15" spans="2:24" ht="15" customHeight="1" thickBot="1">
      <c r="B15" s="227" t="s">
        <v>206</v>
      </c>
      <c r="C15" s="228">
        <v>2.4700000000000003E-2</v>
      </c>
      <c r="D15" s="229">
        <v>2.4199999999999999E-2</v>
      </c>
      <c r="E15" s="229">
        <v>2.3799999999999998E-2</v>
      </c>
      <c r="F15" s="229">
        <v>2.3700000000000002E-2</v>
      </c>
      <c r="G15" s="228">
        <v>2.18E-2</v>
      </c>
      <c r="H15" s="229">
        <v>2.1899999999999999E-2</v>
      </c>
      <c r="I15" s="229">
        <v>2.23E-2</v>
      </c>
      <c r="J15" s="230">
        <v>2.3099999999999999E-2</v>
      </c>
      <c r="K15" s="229">
        <v>2.4199999999999999E-2</v>
      </c>
      <c r="L15" s="229">
        <v>2.5000000000000001E-2</v>
      </c>
      <c r="M15" s="229">
        <v>2.53E-2</v>
      </c>
      <c r="N15" s="230">
        <v>2.5999999999999999E-2</v>
      </c>
      <c r="O15" s="228">
        <v>2.7300000000000001E-2</v>
      </c>
      <c r="P15" s="229">
        <v>2.7099999999999999E-2</v>
      </c>
      <c r="Q15" s="229">
        <v>2.7300000000000001E-2</v>
      </c>
      <c r="R15" s="230">
        <v>2.81E-2</v>
      </c>
      <c r="S15" s="228">
        <v>2.87E-2</v>
      </c>
      <c r="T15" s="229">
        <v>2.8299999999999999E-2</v>
      </c>
      <c r="U15" s="229">
        <v>2.7300000000000001E-2</v>
      </c>
      <c r="V15" s="229">
        <v>2.75E-2</v>
      </c>
      <c r="W15" s="228">
        <v>2.53E-2</v>
      </c>
      <c r="X15" s="230">
        <v>2.4500000000000001E-2</v>
      </c>
    </row>
    <row r="16" spans="2:24" ht="15" customHeight="1">
      <c r="B16" s="219" t="s">
        <v>207</v>
      </c>
      <c r="C16" s="224"/>
      <c r="D16" s="225">
        <v>2.3361999999999997E-2</v>
      </c>
      <c r="E16" s="225"/>
      <c r="F16" s="225">
        <v>2.4790999999999997E-2</v>
      </c>
      <c r="G16" s="224"/>
      <c r="H16" s="225">
        <v>2.3802E-2</v>
      </c>
      <c r="I16" s="225"/>
      <c r="J16" s="226">
        <v>2.2799999999999997E-2</v>
      </c>
      <c r="K16" s="225"/>
      <c r="L16" s="225">
        <v>2.1130765837918147E-2</v>
      </c>
      <c r="M16" s="225"/>
      <c r="N16" s="225">
        <v>2.22457664781151E-2</v>
      </c>
      <c r="O16" s="220"/>
      <c r="P16" s="221">
        <v>2.1536340582043612E-2</v>
      </c>
      <c r="Q16" s="221"/>
      <c r="R16" s="222">
        <v>2.1248309220050186E-2</v>
      </c>
      <c r="S16" s="225"/>
      <c r="T16" s="225">
        <v>1.9398579202095374E-2</v>
      </c>
      <c r="U16" s="225"/>
      <c r="V16" s="225">
        <v>1.9352998696219034E-2</v>
      </c>
      <c r="W16" s="224"/>
      <c r="X16" s="226">
        <v>1.78E-2</v>
      </c>
    </row>
    <row r="17" spans="2:24" ht="15" customHeight="1">
      <c r="B17" s="223" t="s">
        <v>208</v>
      </c>
      <c r="C17" s="224">
        <v>2.6591999999999998E-2</v>
      </c>
      <c r="D17" s="225">
        <v>2.6099999999999998E-2</v>
      </c>
      <c r="E17" s="225">
        <v>2.6949000000000001E-2</v>
      </c>
      <c r="F17" s="225">
        <v>2.4900000000000002E-2</v>
      </c>
      <c r="G17" s="224">
        <v>2.3799999999999998E-2</v>
      </c>
      <c r="H17" s="225">
        <v>2.3399999999999997E-2</v>
      </c>
      <c r="I17" s="225">
        <v>2.2799999999999997E-2</v>
      </c>
      <c r="J17" s="226">
        <v>2.3E-2</v>
      </c>
      <c r="K17" s="225">
        <v>2.4500000000000001E-2</v>
      </c>
      <c r="L17" s="225">
        <v>2.5399999999999999E-2</v>
      </c>
      <c r="M17" s="225">
        <v>2.5600000000000001E-2</v>
      </c>
      <c r="N17" s="225">
        <v>2.5899999999999999E-2</v>
      </c>
      <c r="O17" s="224">
        <v>2.58E-2</v>
      </c>
      <c r="P17" s="225">
        <v>2.6499999999999999E-2</v>
      </c>
      <c r="Q17" s="225">
        <v>2.6100000000000002E-2</v>
      </c>
      <c r="R17" s="226">
        <v>2.6100000000000002E-2</v>
      </c>
      <c r="S17" s="225">
        <v>2.5700000000000001E-2</v>
      </c>
      <c r="T17" s="225">
        <v>2.4400000000000002E-2</v>
      </c>
      <c r="U17" s="225">
        <v>2.29E-2</v>
      </c>
      <c r="V17" s="225">
        <v>2.1600000000000001E-2</v>
      </c>
      <c r="W17" s="224">
        <v>1.83E-2</v>
      </c>
      <c r="X17" s="226">
        <v>1.8700000000000001E-2</v>
      </c>
    </row>
    <row r="18" spans="2:24" ht="15" customHeight="1" thickBot="1">
      <c r="B18" s="227" t="s">
        <v>209</v>
      </c>
      <c r="C18" s="228"/>
      <c r="D18" s="229">
        <v>3.4200000000000001E-2</v>
      </c>
      <c r="E18" s="229"/>
      <c r="F18" s="229">
        <v>2.8299999999999999E-2</v>
      </c>
      <c r="G18" s="228"/>
      <c r="H18" s="229">
        <v>0.03</v>
      </c>
      <c r="I18" s="229"/>
      <c r="J18" s="230">
        <v>2.5100000000000001E-2</v>
      </c>
      <c r="K18" s="229"/>
      <c r="L18" s="229">
        <v>2.52E-2</v>
      </c>
      <c r="M18" s="229">
        <v>2.69E-2</v>
      </c>
      <c r="N18" s="229">
        <v>2.5100000000000001E-2</v>
      </c>
      <c r="O18" s="228">
        <v>2.4400000000000002E-2</v>
      </c>
      <c r="P18" s="229">
        <v>2.3900000000000001E-2</v>
      </c>
      <c r="Q18" s="229">
        <v>2.3900000000000001E-2</v>
      </c>
      <c r="R18" s="230">
        <v>2.3800000000000002E-2</v>
      </c>
      <c r="S18" s="229">
        <v>2.1999999999999999E-2</v>
      </c>
      <c r="T18" s="229">
        <v>2.0400000000000001E-2</v>
      </c>
      <c r="U18" s="229">
        <v>0.02</v>
      </c>
      <c r="V18" s="229">
        <v>1.95E-2</v>
      </c>
      <c r="W18" s="228">
        <v>2.1399999999999999E-2</v>
      </c>
      <c r="X18" s="230">
        <v>1.9599999999999999E-2</v>
      </c>
    </row>
    <row r="19" spans="2:24" ht="12.75" thickBot="1"/>
    <row r="20" spans="2:24" ht="15" customHeight="1" thickBot="1">
      <c r="B20" s="212" t="s">
        <v>210</v>
      </c>
      <c r="C20" s="213">
        <v>40999</v>
      </c>
      <c r="D20" s="214">
        <v>41090</v>
      </c>
      <c r="E20" s="214">
        <v>41182</v>
      </c>
      <c r="F20" s="215">
        <v>41274</v>
      </c>
      <c r="G20" s="214">
        <v>41364</v>
      </c>
      <c r="H20" s="214">
        <v>41455</v>
      </c>
      <c r="I20" s="214">
        <v>41547</v>
      </c>
      <c r="J20" s="215">
        <v>41639</v>
      </c>
      <c r="K20" s="214">
        <v>41729</v>
      </c>
      <c r="L20" s="214">
        <v>41820</v>
      </c>
      <c r="M20" s="214">
        <v>41912</v>
      </c>
      <c r="N20" s="215">
        <v>42004</v>
      </c>
      <c r="O20" s="213">
        <v>42094</v>
      </c>
      <c r="P20" s="214">
        <v>42185</v>
      </c>
      <c r="Q20" s="214">
        <v>42277</v>
      </c>
      <c r="R20" s="215">
        <v>42369</v>
      </c>
      <c r="S20" s="213">
        <v>42460</v>
      </c>
      <c r="T20" s="214">
        <v>42551</v>
      </c>
      <c r="U20" s="214">
        <v>42643</v>
      </c>
      <c r="V20" s="214">
        <v>42735</v>
      </c>
      <c r="W20" s="213">
        <v>42825</v>
      </c>
      <c r="X20" s="215">
        <v>42916</v>
      </c>
    </row>
    <row r="21" spans="2:24" ht="15" customHeight="1">
      <c r="B21" s="219" t="s">
        <v>194</v>
      </c>
      <c r="C21" s="220"/>
      <c r="D21" s="221">
        <v>2.4799999999999999E-2</v>
      </c>
      <c r="E21" s="221"/>
      <c r="F21" s="221">
        <v>2.4900000000000002E-2</v>
      </c>
      <c r="G21" s="220"/>
      <c r="H21" s="221">
        <v>2.41E-2</v>
      </c>
      <c r="I21" s="221"/>
      <c r="J21" s="222">
        <v>2.4E-2</v>
      </c>
      <c r="K21" s="221"/>
      <c r="L21" s="221">
        <v>2.4300000000000002E-2</v>
      </c>
      <c r="M21" s="221"/>
      <c r="N21" s="221">
        <v>2.46E-2</v>
      </c>
      <c r="O21" s="220"/>
      <c r="P21" s="221">
        <v>2.3399999999999997E-2</v>
      </c>
      <c r="Q21" s="221"/>
      <c r="R21" s="222">
        <v>2.3E-2</v>
      </c>
      <c r="S21" s="220"/>
      <c r="T21" s="221">
        <v>2.07E-2</v>
      </c>
      <c r="U21" s="221"/>
      <c r="V21" s="221">
        <v>2.0199999999999999E-2</v>
      </c>
      <c r="W21" s="220"/>
      <c r="X21" s="222">
        <v>2.0299999999999999E-2</v>
      </c>
    </row>
    <row r="22" spans="2:24" ht="15" customHeight="1">
      <c r="B22" s="223" t="s">
        <v>195</v>
      </c>
      <c r="C22" s="224">
        <v>2.4799999999999999E-2</v>
      </c>
      <c r="D22" s="225">
        <v>2.53E-2</v>
      </c>
      <c r="E22" s="225">
        <v>2.5699999999999997E-2</v>
      </c>
      <c r="F22" s="225">
        <v>2.58E-2</v>
      </c>
      <c r="G22" s="224">
        <v>2.5399999999999999E-2</v>
      </c>
      <c r="H22" s="225">
        <v>2.5399999999999999E-2</v>
      </c>
      <c r="I22" s="225">
        <v>2.5399999999999999E-2</v>
      </c>
      <c r="J22" s="226">
        <v>2.5600000000000001E-2</v>
      </c>
      <c r="K22" s="225"/>
      <c r="L22" s="225">
        <v>2.6200000000000001E-2</v>
      </c>
      <c r="M22" s="225"/>
      <c r="N22" s="225">
        <v>2.6099999999999998E-2</v>
      </c>
      <c r="O22" s="224"/>
      <c r="P22" s="225">
        <v>2.4799999999999999E-2</v>
      </c>
      <c r="Q22" s="225">
        <v>2.4700000000000003E-2</v>
      </c>
      <c r="R22" s="226">
        <v>2.46E-2</v>
      </c>
      <c r="S22" s="224">
        <v>2.2499999999999999E-2</v>
      </c>
      <c r="T22" s="225">
        <v>2.1499999999999998E-2</v>
      </c>
      <c r="U22" s="225">
        <v>2.0899999999999998E-2</v>
      </c>
      <c r="V22" s="225">
        <v>2.06E-2</v>
      </c>
      <c r="W22" s="224">
        <v>2.0099999999999996E-2</v>
      </c>
      <c r="X22" s="226">
        <v>2.0299999999999999E-2</v>
      </c>
    </row>
    <row r="23" spans="2:24" ht="15" customHeight="1">
      <c r="B23" s="223" t="s">
        <v>196</v>
      </c>
      <c r="C23" s="224">
        <v>2.7999999999999997E-2</v>
      </c>
      <c r="D23" s="225">
        <v>2.7099999999999999E-2</v>
      </c>
      <c r="E23" s="225">
        <v>2.6800000000000001E-2</v>
      </c>
      <c r="F23" s="225">
        <v>2.6699999999999998E-2</v>
      </c>
      <c r="G23" s="224">
        <v>2.64E-2</v>
      </c>
      <c r="H23" s="225">
        <v>2.58E-2</v>
      </c>
      <c r="I23" s="225">
        <v>2.6000000000000002E-2</v>
      </c>
      <c r="J23" s="226">
        <v>2.6499999999999999E-2</v>
      </c>
      <c r="K23" s="225">
        <v>2.81E-2</v>
      </c>
      <c r="L23" s="225">
        <v>2.7699999999999999E-2</v>
      </c>
      <c r="M23" s="225">
        <v>2.75E-2</v>
      </c>
      <c r="N23" s="225">
        <v>2.76E-2</v>
      </c>
      <c r="O23" s="224"/>
      <c r="P23" s="225">
        <v>2.6099999999999998E-2</v>
      </c>
      <c r="Q23" s="225"/>
      <c r="R23" s="226">
        <v>2.4900000000000002E-2</v>
      </c>
      <c r="S23" s="224"/>
      <c r="T23" s="225">
        <v>2.1600000000000001E-2</v>
      </c>
      <c r="U23" s="225"/>
      <c r="V23" s="225">
        <v>2.1000000000000001E-2</v>
      </c>
      <c r="W23" s="224"/>
      <c r="X23" s="226">
        <v>2.1099999999999997E-2</v>
      </c>
    </row>
    <row r="24" spans="2:24" ht="15" customHeight="1">
      <c r="B24" s="223" t="s">
        <v>197</v>
      </c>
      <c r="C24" s="224"/>
      <c r="D24" s="225">
        <v>1.9800000000000002E-2</v>
      </c>
      <c r="E24" s="225"/>
      <c r="F24" s="225">
        <v>2.0199999999999999E-2</v>
      </c>
      <c r="G24" s="224"/>
      <c r="H24" s="225">
        <v>2.1100000000000001E-2</v>
      </c>
      <c r="I24" s="225"/>
      <c r="J24" s="226">
        <v>2.1299999999999999E-2</v>
      </c>
      <c r="K24" s="225"/>
      <c r="L24" s="225">
        <v>2.1499999999999998E-2</v>
      </c>
      <c r="M24" s="225"/>
      <c r="N24" s="225">
        <v>2.12E-2</v>
      </c>
      <c r="O24" s="224"/>
      <c r="P24" s="225">
        <v>2.0299999999999999E-2</v>
      </c>
      <c r="Q24" s="225"/>
      <c r="R24" s="226">
        <v>1.9699999999999999E-2</v>
      </c>
      <c r="S24" s="224"/>
      <c r="T24" s="225">
        <v>1.7600000000000001E-2</v>
      </c>
      <c r="U24" s="225"/>
      <c r="V24" s="225">
        <v>1.6899999999999998E-2</v>
      </c>
      <c r="W24" s="224"/>
      <c r="X24" s="226">
        <v>1.7000000000000001E-2</v>
      </c>
    </row>
    <row r="25" spans="2:24" ht="15" customHeight="1" thickBot="1">
      <c r="B25" s="227" t="s">
        <v>198</v>
      </c>
      <c r="C25" s="224">
        <v>2.4700000000000003E-2</v>
      </c>
      <c r="D25" s="225">
        <v>2.4700000000000003E-2</v>
      </c>
      <c r="E25" s="225">
        <v>2.46E-2</v>
      </c>
      <c r="F25" s="225">
        <v>2.4300000000000002E-2</v>
      </c>
      <c r="G25" s="224">
        <v>2.4E-2</v>
      </c>
      <c r="H25" s="225">
        <v>2.3900000000000001E-2</v>
      </c>
      <c r="I25" s="225">
        <v>2.3599999999999999E-2</v>
      </c>
      <c r="J25" s="226">
        <v>2.3300000000000001E-2</v>
      </c>
      <c r="K25" s="225">
        <v>2.1400000000000002E-2</v>
      </c>
      <c r="L25" s="225">
        <v>2.2000000000000002E-2</v>
      </c>
      <c r="M25" s="225">
        <v>2.2099999999999998E-2</v>
      </c>
      <c r="N25" s="225">
        <v>2.1700000000000001E-2</v>
      </c>
      <c r="O25" s="224">
        <v>2.1099999999999997E-2</v>
      </c>
      <c r="P25" s="225">
        <v>2.1000000000000001E-2</v>
      </c>
      <c r="Q25" s="225">
        <v>2.0799999999999999E-2</v>
      </c>
      <c r="R25" s="226">
        <v>2.06E-2</v>
      </c>
      <c r="S25" s="224"/>
      <c r="T25" s="225">
        <v>1.83E-2</v>
      </c>
      <c r="U25" s="225"/>
      <c r="V25" s="225">
        <v>1.7500000000000002E-2</v>
      </c>
      <c r="W25" s="228"/>
      <c r="X25" s="230">
        <v>1.44E-2</v>
      </c>
    </row>
    <row r="26" spans="2:24" ht="15" customHeight="1">
      <c r="B26" s="219" t="s">
        <v>199</v>
      </c>
      <c r="C26" s="220">
        <v>3.0499999999999999E-2</v>
      </c>
      <c r="D26" s="221">
        <v>2.9600000000000001E-2</v>
      </c>
      <c r="E26" s="221">
        <v>2.8900000000000002E-2</v>
      </c>
      <c r="F26" s="221">
        <v>2.87E-2</v>
      </c>
      <c r="G26" s="220">
        <v>2.7799999999999998E-2</v>
      </c>
      <c r="H26" s="221">
        <v>2.7200000000000002E-2</v>
      </c>
      <c r="I26" s="221">
        <v>2.6600000000000002E-2</v>
      </c>
      <c r="J26" s="222">
        <v>2.6499999999999999E-2</v>
      </c>
      <c r="K26" s="221">
        <v>2.4399999999999998E-2</v>
      </c>
      <c r="L26" s="221">
        <v>2.4799999999999999E-2</v>
      </c>
      <c r="M26" s="221">
        <v>2.3E-2</v>
      </c>
      <c r="N26" s="221">
        <v>2.4500000000000001E-2</v>
      </c>
      <c r="O26" s="220">
        <v>2.7200000000000002E-2</v>
      </c>
      <c r="P26" s="221">
        <v>2.6000000000000002E-2</v>
      </c>
      <c r="Q26" s="221">
        <v>2.5899999999999999E-2</v>
      </c>
      <c r="R26" s="222">
        <v>2.6100000000000002E-2</v>
      </c>
      <c r="S26" s="220">
        <v>2.4900000000000002E-2</v>
      </c>
      <c r="T26" s="221">
        <v>2.4500000000000001E-2</v>
      </c>
      <c r="U26" s="221">
        <v>2.4300000000000002E-2</v>
      </c>
      <c r="V26" s="221">
        <v>2.3700000000000002E-2</v>
      </c>
      <c r="W26" s="224">
        <v>2.3E-2</v>
      </c>
      <c r="X26" s="226">
        <v>2.3099999999999999E-2</v>
      </c>
    </row>
    <row r="27" spans="2:24" ht="15" customHeight="1">
      <c r="B27" s="223" t="s">
        <v>200</v>
      </c>
      <c r="C27" s="224"/>
      <c r="D27" s="225">
        <v>2.6800000000000001E-2</v>
      </c>
      <c r="E27" s="225"/>
      <c r="F27" s="225">
        <v>2.6099999999999998E-2</v>
      </c>
      <c r="G27" s="224"/>
      <c r="H27" s="225">
        <v>2.41E-2</v>
      </c>
      <c r="I27" s="225"/>
      <c r="J27" s="226">
        <v>2.4E-2</v>
      </c>
      <c r="K27" s="225"/>
      <c r="L27" s="225">
        <v>2.1400000000000002E-2</v>
      </c>
      <c r="M27" s="225"/>
      <c r="N27" s="225">
        <v>2.1899999999999999E-2</v>
      </c>
      <c r="O27" s="224"/>
      <c r="P27" s="225">
        <v>2.1400000000000002E-2</v>
      </c>
      <c r="Q27" s="225"/>
      <c r="R27" s="226">
        <v>2.1299999999999999E-2</v>
      </c>
      <c r="S27" s="224"/>
      <c r="T27" s="225">
        <v>1.9300000000000001E-2</v>
      </c>
      <c r="U27" s="225"/>
      <c r="V27" s="225">
        <v>1.89E-2</v>
      </c>
      <c r="W27" s="224"/>
      <c r="X27" s="226">
        <v>1.6200000000000003E-2</v>
      </c>
    </row>
    <row r="28" spans="2:24" ht="15" customHeight="1">
      <c r="B28" s="223" t="s">
        <v>201</v>
      </c>
      <c r="C28" s="224"/>
      <c r="D28" s="225">
        <v>2.4300000000000002E-2</v>
      </c>
      <c r="E28" s="225"/>
      <c r="F28" s="225">
        <v>2.3900000000000001E-2</v>
      </c>
      <c r="G28" s="224"/>
      <c r="H28" s="225">
        <v>2.1600000000000001E-2</v>
      </c>
      <c r="I28" s="225"/>
      <c r="J28" s="226">
        <v>2.2599999999999999E-2</v>
      </c>
      <c r="K28" s="225"/>
      <c r="L28" s="225">
        <v>2.2200000000000001E-2</v>
      </c>
      <c r="M28" s="225"/>
      <c r="N28" s="225">
        <v>2.2700000000000001E-2</v>
      </c>
      <c r="O28" s="224"/>
      <c r="P28" s="225">
        <v>2.2200000000000001E-2</v>
      </c>
      <c r="Q28" s="225"/>
      <c r="R28" s="226">
        <v>2.2599999999999999E-2</v>
      </c>
      <c r="S28" s="224"/>
      <c r="T28" s="225">
        <v>1.9900000000000001E-2</v>
      </c>
      <c r="U28" s="225"/>
      <c r="V28" s="225">
        <v>1.89E-2</v>
      </c>
      <c r="W28" s="224"/>
      <c r="X28" s="226">
        <v>1.6899999999999998E-2</v>
      </c>
    </row>
    <row r="29" spans="2:24" ht="15" customHeight="1">
      <c r="B29" s="223" t="s">
        <v>202</v>
      </c>
      <c r="C29" s="224"/>
      <c r="D29" s="225">
        <v>2.9300000000000003E-2</v>
      </c>
      <c r="E29" s="225"/>
      <c r="F29" s="225">
        <v>2.75E-2</v>
      </c>
      <c r="G29" s="224"/>
      <c r="H29" s="225">
        <v>2.2400000000000003E-2</v>
      </c>
      <c r="I29" s="225"/>
      <c r="J29" s="226">
        <v>2.3E-2</v>
      </c>
      <c r="K29" s="225"/>
      <c r="L29" s="225">
        <v>2.4199999999999999E-2</v>
      </c>
      <c r="M29" s="225"/>
      <c r="N29" s="225">
        <v>2.41E-2</v>
      </c>
      <c r="O29" s="224"/>
      <c r="P29" s="225">
        <v>2.1899999999999999E-2</v>
      </c>
      <c r="Q29" s="225"/>
      <c r="R29" s="226">
        <v>2.1000000000000001E-2</v>
      </c>
      <c r="S29" s="224"/>
      <c r="T29" s="225">
        <v>1.8799999999999997E-2</v>
      </c>
      <c r="U29" s="225"/>
      <c r="V29" s="225">
        <v>1.7399999999999999E-2</v>
      </c>
      <c r="W29" s="224"/>
      <c r="X29" s="226">
        <v>1.2699999999999999E-2</v>
      </c>
    </row>
    <row r="30" spans="2:24" ht="15" customHeight="1">
      <c r="B30" s="223" t="s">
        <v>203</v>
      </c>
      <c r="C30" s="224"/>
      <c r="D30" s="225">
        <v>2.7864E-2</v>
      </c>
      <c r="E30" s="225"/>
      <c r="F30" s="225">
        <v>2.6841E-2</v>
      </c>
      <c r="G30" s="224"/>
      <c r="H30" s="225">
        <v>2.7302E-2</v>
      </c>
      <c r="I30" s="225"/>
      <c r="J30" s="226">
        <v>2.23E-2</v>
      </c>
      <c r="K30" s="225"/>
      <c r="L30" s="225">
        <v>2.1499999999999998E-2</v>
      </c>
      <c r="M30" s="225"/>
      <c r="N30" s="225">
        <v>2.23E-2</v>
      </c>
      <c r="O30" s="224"/>
      <c r="P30" s="225">
        <v>2.2200000000000001E-2</v>
      </c>
      <c r="Q30" s="225"/>
      <c r="R30" s="226">
        <v>2.2599999999999999E-2</v>
      </c>
      <c r="S30" s="224"/>
      <c r="T30" s="225">
        <v>2.0299999999999999E-2</v>
      </c>
      <c r="U30" s="225"/>
      <c r="V30" s="225">
        <v>0.02</v>
      </c>
      <c r="W30" s="224"/>
      <c r="X30" s="226">
        <v>1.4800000000000001E-2</v>
      </c>
    </row>
    <row r="31" spans="2:24" ht="15" customHeight="1">
      <c r="B31" s="223" t="s">
        <v>204</v>
      </c>
      <c r="C31" s="224"/>
      <c r="D31" s="225">
        <v>2.4799999999999999E-2</v>
      </c>
      <c r="E31" s="225"/>
      <c r="F31" s="225">
        <v>2.3399999999999997E-2</v>
      </c>
      <c r="G31" s="224"/>
      <c r="H31" s="225">
        <v>2.0400000000000001E-2</v>
      </c>
      <c r="I31" s="225"/>
      <c r="J31" s="226">
        <v>1.9599999999999999E-2</v>
      </c>
      <c r="K31" s="225"/>
      <c r="L31" s="225">
        <v>1.9900000000000001E-2</v>
      </c>
      <c r="M31" s="225"/>
      <c r="N31" s="225">
        <v>2.06E-2</v>
      </c>
      <c r="O31" s="224"/>
      <c r="P31" s="225">
        <v>2.0299999999999999E-2</v>
      </c>
      <c r="Q31" s="225"/>
      <c r="R31" s="226">
        <v>2.0099999999999996E-2</v>
      </c>
      <c r="S31" s="224"/>
      <c r="T31" s="225">
        <v>1.6799999999999999E-2</v>
      </c>
      <c r="U31" s="225"/>
      <c r="V31" s="225">
        <v>1.5900000000000001E-2</v>
      </c>
      <c r="W31" s="224"/>
      <c r="X31" s="226">
        <v>1.32E-2</v>
      </c>
    </row>
    <row r="32" spans="2:24" ht="15" customHeight="1">
      <c r="B32" s="223" t="s">
        <v>205</v>
      </c>
      <c r="C32" s="224"/>
      <c r="D32" s="225">
        <v>2.5899999999999999E-2</v>
      </c>
      <c r="E32" s="225"/>
      <c r="F32" s="225">
        <v>2.52E-2</v>
      </c>
      <c r="G32" s="224"/>
      <c r="H32" s="225">
        <v>2.5399999999999999E-2</v>
      </c>
      <c r="I32" s="225"/>
      <c r="J32" s="226">
        <v>2.5000000000000001E-2</v>
      </c>
      <c r="K32" s="225"/>
      <c r="L32" s="225">
        <v>2.4399999999999998E-2</v>
      </c>
      <c r="M32" s="225"/>
      <c r="N32" s="225">
        <v>2.52E-2</v>
      </c>
      <c r="O32" s="224"/>
      <c r="P32" s="225">
        <v>2.4500000000000001E-2</v>
      </c>
      <c r="Q32" s="225"/>
      <c r="R32" s="226">
        <v>2.4E-2</v>
      </c>
      <c r="S32" s="224"/>
      <c r="T32" s="225">
        <v>2.3399999999999997E-2</v>
      </c>
      <c r="U32" s="225"/>
      <c r="V32" s="225">
        <v>2.29E-2</v>
      </c>
      <c r="W32" s="224"/>
      <c r="X32" s="226">
        <v>1.9599999999999999E-2</v>
      </c>
    </row>
    <row r="33" spans="1:24" ht="15" customHeight="1" thickBot="1">
      <c r="B33" s="227" t="s">
        <v>206</v>
      </c>
      <c r="C33" s="228">
        <v>2.2700000000000001E-2</v>
      </c>
      <c r="D33" s="229">
        <v>2.2200000000000001E-2</v>
      </c>
      <c r="E33" s="229">
        <v>2.2000000000000002E-2</v>
      </c>
      <c r="F33" s="229">
        <v>2.1899999999999999E-2</v>
      </c>
      <c r="G33" s="228">
        <v>2.0099999999999996E-2</v>
      </c>
      <c r="H33" s="229">
        <v>2.0299999999999999E-2</v>
      </c>
      <c r="I33" s="229">
        <v>2.07E-2</v>
      </c>
      <c r="J33" s="230">
        <v>2.1400000000000002E-2</v>
      </c>
      <c r="K33" s="229">
        <v>2.23E-2</v>
      </c>
      <c r="L33" s="229">
        <v>2.3199999999999998E-2</v>
      </c>
      <c r="M33" s="229">
        <v>2.3599999999999999E-2</v>
      </c>
      <c r="N33" s="229">
        <v>2.4E-2</v>
      </c>
      <c r="O33" s="228">
        <v>2.5699999999999997E-2</v>
      </c>
      <c r="P33" s="229">
        <v>2.5699999999999997E-2</v>
      </c>
      <c r="Q33" s="229">
        <v>2.5899999999999999E-2</v>
      </c>
      <c r="R33" s="230">
        <v>2.63E-2</v>
      </c>
      <c r="S33" s="228">
        <v>2.76E-2</v>
      </c>
      <c r="T33" s="229">
        <v>2.6599999999999999E-2</v>
      </c>
      <c r="U33" s="229">
        <v>2.6200000000000001E-2</v>
      </c>
      <c r="V33" s="229">
        <v>2.6000000000000002E-2</v>
      </c>
      <c r="W33" s="228">
        <v>2.3700000000000002E-2</v>
      </c>
      <c r="X33" s="230">
        <v>2.29E-2</v>
      </c>
    </row>
    <row r="34" spans="1:24" ht="15" customHeight="1">
      <c r="B34" s="219" t="s">
        <v>207</v>
      </c>
      <c r="C34" s="224">
        <v>2.1467999999999998E-2</v>
      </c>
      <c r="D34" s="225">
        <v>2.1926000000000001E-2</v>
      </c>
      <c r="E34" s="225">
        <v>2.266E-2</v>
      </c>
      <c r="F34" s="225">
        <v>2.3928999999999999E-2</v>
      </c>
      <c r="G34" s="224">
        <v>2.3532000000000001E-2</v>
      </c>
      <c r="H34" s="225">
        <v>2.3288000000000003E-2</v>
      </c>
      <c r="I34" s="225">
        <v>2.3172000000000002E-2</v>
      </c>
      <c r="J34" s="226">
        <v>2.2449E-2</v>
      </c>
      <c r="K34" s="225">
        <v>2.0876000000000002E-2</v>
      </c>
      <c r="L34" s="225">
        <v>2.2054000000000001E-2</v>
      </c>
      <c r="M34" s="225">
        <v>2.2896999999999997E-2</v>
      </c>
      <c r="N34" s="225">
        <v>2.3543999999999999E-2</v>
      </c>
      <c r="O34" s="224">
        <v>2.4048E-2</v>
      </c>
      <c r="P34" s="225">
        <v>2.4048E-2</v>
      </c>
      <c r="Q34" s="225">
        <v>2.3177E-2</v>
      </c>
      <c r="R34" s="226">
        <v>2.3264E-2</v>
      </c>
      <c r="S34" s="224">
        <v>2.1836000000000001E-2</v>
      </c>
      <c r="T34" s="225">
        <v>2.1156000000000001E-2</v>
      </c>
      <c r="U34" s="225">
        <v>2.1145000000000001E-2</v>
      </c>
      <c r="V34" s="225">
        <v>2.1978000000000001E-2</v>
      </c>
      <c r="W34" s="224">
        <v>2.2376E-2</v>
      </c>
      <c r="X34" s="226">
        <v>1.61E-2</v>
      </c>
    </row>
    <row r="35" spans="1:24" ht="15" customHeight="1">
      <c r="B35" s="223" t="s">
        <v>208</v>
      </c>
      <c r="C35" s="224">
        <v>2.5988000000000001E-2</v>
      </c>
      <c r="D35" s="225">
        <v>2.3399999999999997E-2</v>
      </c>
      <c r="E35" s="225">
        <v>2.6564999999999998E-2</v>
      </c>
      <c r="F35" s="225">
        <v>2.2499999999999999E-2</v>
      </c>
      <c r="G35" s="224">
        <v>2.18E-2</v>
      </c>
      <c r="H35" s="225">
        <v>2.1400000000000002E-2</v>
      </c>
      <c r="I35" s="225">
        <v>2.0799999999999999E-2</v>
      </c>
      <c r="J35" s="226">
        <v>2.0899999999999998E-2</v>
      </c>
      <c r="K35" s="225">
        <v>2.2499999999999999E-2</v>
      </c>
      <c r="L35" s="225">
        <v>2.35E-2</v>
      </c>
      <c r="M35" s="225">
        <v>2.3799999999999998E-2</v>
      </c>
      <c r="N35" s="225">
        <v>2.41E-2</v>
      </c>
      <c r="O35" s="224">
        <v>2.4199999999999999E-2</v>
      </c>
      <c r="P35" s="225">
        <v>2.4900000000000002E-2</v>
      </c>
      <c r="Q35" s="225">
        <v>2.4500000000000001E-2</v>
      </c>
      <c r="R35" s="226">
        <v>2.4399999999999998E-2</v>
      </c>
      <c r="S35" s="224">
        <v>2.4199999999999999E-2</v>
      </c>
      <c r="T35" s="225">
        <v>2.3E-2</v>
      </c>
      <c r="U35" s="225">
        <v>2.1499999999999998E-2</v>
      </c>
      <c r="V35" s="225">
        <v>2.0099999999999996E-2</v>
      </c>
      <c r="W35" s="224">
        <v>1.67E-2</v>
      </c>
      <c r="X35" s="226">
        <v>1.7399999999999999E-2</v>
      </c>
    </row>
    <row r="36" spans="1:24" ht="15" customHeight="1" thickBot="1">
      <c r="B36" s="227" t="s">
        <v>209</v>
      </c>
      <c r="C36" s="228"/>
      <c r="D36" s="229">
        <v>3.3300000000000003E-2</v>
      </c>
      <c r="E36" s="229"/>
      <c r="F36" s="229">
        <v>2.76E-2</v>
      </c>
      <c r="G36" s="228"/>
      <c r="H36" s="229">
        <v>2.8500000000000001E-2</v>
      </c>
      <c r="I36" s="229"/>
      <c r="J36" s="230">
        <v>2.46E-2</v>
      </c>
      <c r="K36" s="229"/>
      <c r="L36" s="229">
        <v>2.53E-2</v>
      </c>
      <c r="M36" s="229">
        <v>2.64E-2</v>
      </c>
      <c r="N36" s="229">
        <v>2.5000000000000001E-2</v>
      </c>
      <c r="O36" s="228">
        <v>2.4300000000000002E-2</v>
      </c>
      <c r="P36" s="229">
        <v>2.3799999999999998E-2</v>
      </c>
      <c r="Q36" s="229">
        <v>2.41E-2</v>
      </c>
      <c r="R36" s="230">
        <v>2.4E-2</v>
      </c>
      <c r="S36" s="228">
        <v>2.2499999999999999E-2</v>
      </c>
      <c r="T36" s="229">
        <v>2.0500000000000001E-2</v>
      </c>
      <c r="U36" s="229">
        <v>1.9900000000000001E-2</v>
      </c>
      <c r="V36" s="229">
        <v>1.95E-2</v>
      </c>
      <c r="W36" s="228">
        <v>2.0799999999999999E-2</v>
      </c>
      <c r="X36" s="230">
        <v>1.9799999999999998E-2</v>
      </c>
    </row>
    <row r="37" spans="1:24" ht="15" customHeight="1">
      <c r="B37" s="231"/>
      <c r="C37" s="231"/>
      <c r="D37" s="231"/>
      <c r="E37" s="231"/>
      <c r="F37" s="231"/>
      <c r="G37" s="231"/>
      <c r="H37" s="231"/>
      <c r="I37" s="231"/>
      <c r="J37" s="231"/>
      <c r="K37" s="225"/>
      <c r="L37" s="225"/>
      <c r="M37" s="225"/>
      <c r="N37" s="225"/>
      <c r="O37" s="225"/>
      <c r="P37" s="225"/>
      <c r="Q37" s="225"/>
      <c r="R37" s="225"/>
      <c r="S37" s="225"/>
      <c r="T37" s="225"/>
      <c r="U37" s="225"/>
      <c r="V37" s="225"/>
      <c r="W37" s="225"/>
    </row>
    <row r="38" spans="1:24" ht="15" customHeight="1">
      <c r="B38" s="231"/>
      <c r="C38" s="231"/>
      <c r="D38" s="231"/>
      <c r="E38" s="231"/>
      <c r="F38" s="231"/>
      <c r="G38" s="231"/>
      <c r="H38" s="231"/>
      <c r="I38" s="231"/>
      <c r="J38" s="231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</row>
    <row r="39" spans="1:24" ht="15">
      <c r="B39" s="41" t="s">
        <v>211</v>
      </c>
    </row>
    <row r="40" spans="1:24" ht="15">
      <c r="B40" s="41" t="s">
        <v>212</v>
      </c>
    </row>
    <row r="41" spans="1:24" ht="15">
      <c r="B41" s="41" t="s">
        <v>217</v>
      </c>
    </row>
    <row r="42" spans="1:24" ht="13.5">
      <c r="B42" s="41" t="s">
        <v>213</v>
      </c>
    </row>
    <row r="45" spans="1:24">
      <c r="B45" s="235" t="s">
        <v>214</v>
      </c>
      <c r="C45" s="235" t="s">
        <v>76</v>
      </c>
    </row>
    <row r="46" spans="1:24">
      <c r="B46" s="234"/>
      <c r="C46" s="234"/>
    </row>
    <row r="47" spans="1:24">
      <c r="B47" s="236"/>
      <c r="C47" s="238" t="s">
        <v>215</v>
      </c>
      <c r="D47" s="238" t="s">
        <v>216</v>
      </c>
    </row>
    <row r="48" spans="1:24">
      <c r="A48" s="233">
        <v>2</v>
      </c>
      <c r="B48" s="237">
        <v>40999</v>
      </c>
      <c r="C48" s="232" t="e">
        <f>IF(VLOOKUP($C$45,$B$3:$X$18,A48,FALSE)=0,NA(),VLOOKUP($C$45,$B$3:$X$18,A48,FALSE))</f>
        <v>#N/A</v>
      </c>
      <c r="D48" s="232">
        <f>IF(VLOOKUP($C$45,$B$21:$X$36,A48,FALSE)=0,NA(),VLOOKUP($C$45,$B$21:$X$36,A48,FALSE))</f>
        <v>2.1467999999999998E-2</v>
      </c>
    </row>
    <row r="49" spans="1:4">
      <c r="A49" s="233">
        <v>3</v>
      </c>
      <c r="B49" s="237">
        <v>41090</v>
      </c>
      <c r="C49" s="232">
        <f t="shared" ref="C49:C69" si="0">IF(VLOOKUP($C$45,$B$3:$X$18,A49,FALSE)=0,NA(),VLOOKUP($C$45,$B$3:$X$18,A49,FALSE))</f>
        <v>2.3361999999999997E-2</v>
      </c>
      <c r="D49" s="232">
        <f t="shared" ref="D49:D69" si="1">IF(VLOOKUP($C$45,$B$21:$X$36,A49,FALSE)=0,NA(),VLOOKUP($C$45,$B$21:$X$36,A49,FALSE))</f>
        <v>2.1926000000000001E-2</v>
      </c>
    </row>
    <row r="50" spans="1:4">
      <c r="A50" s="233">
        <v>4</v>
      </c>
      <c r="B50" s="237">
        <v>41182</v>
      </c>
      <c r="C50" s="232" t="e">
        <f t="shared" si="0"/>
        <v>#N/A</v>
      </c>
      <c r="D50" s="232">
        <f t="shared" si="1"/>
        <v>2.266E-2</v>
      </c>
    </row>
    <row r="51" spans="1:4">
      <c r="A51" s="233">
        <v>5</v>
      </c>
      <c r="B51" s="237">
        <v>41274</v>
      </c>
      <c r="C51" s="232">
        <f t="shared" si="0"/>
        <v>2.4790999999999997E-2</v>
      </c>
      <c r="D51" s="232">
        <f t="shared" si="1"/>
        <v>2.3928999999999999E-2</v>
      </c>
    </row>
    <row r="52" spans="1:4">
      <c r="A52" s="233">
        <v>6</v>
      </c>
      <c r="B52" s="237">
        <v>41364</v>
      </c>
      <c r="C52" s="232" t="e">
        <f t="shared" si="0"/>
        <v>#N/A</v>
      </c>
      <c r="D52" s="232">
        <f t="shared" si="1"/>
        <v>2.3532000000000001E-2</v>
      </c>
    </row>
    <row r="53" spans="1:4">
      <c r="A53" s="233">
        <v>7</v>
      </c>
      <c r="B53" s="237">
        <v>41455</v>
      </c>
      <c r="C53" s="232">
        <f t="shared" si="0"/>
        <v>2.3802E-2</v>
      </c>
      <c r="D53" s="232">
        <f t="shared" si="1"/>
        <v>2.3288000000000003E-2</v>
      </c>
    </row>
    <row r="54" spans="1:4">
      <c r="A54" s="233">
        <v>8</v>
      </c>
      <c r="B54" s="237">
        <v>41547</v>
      </c>
      <c r="C54" s="232" t="e">
        <f t="shared" si="0"/>
        <v>#N/A</v>
      </c>
      <c r="D54" s="232">
        <f t="shared" si="1"/>
        <v>2.3172000000000002E-2</v>
      </c>
    </row>
    <row r="55" spans="1:4">
      <c r="A55" s="233">
        <v>9</v>
      </c>
      <c r="B55" s="237">
        <v>41639</v>
      </c>
      <c r="C55" s="232">
        <f t="shared" si="0"/>
        <v>2.2799999999999997E-2</v>
      </c>
      <c r="D55" s="232">
        <f t="shared" si="1"/>
        <v>2.2449E-2</v>
      </c>
    </row>
    <row r="56" spans="1:4">
      <c r="A56" s="233">
        <v>10</v>
      </c>
      <c r="B56" s="237">
        <v>41729</v>
      </c>
      <c r="C56" s="232" t="e">
        <f t="shared" si="0"/>
        <v>#N/A</v>
      </c>
      <c r="D56" s="232">
        <f t="shared" si="1"/>
        <v>2.0876000000000002E-2</v>
      </c>
    </row>
    <row r="57" spans="1:4">
      <c r="A57" s="233">
        <v>11</v>
      </c>
      <c r="B57" s="237">
        <v>41820</v>
      </c>
      <c r="C57" s="232">
        <f t="shared" si="0"/>
        <v>2.1130765837918147E-2</v>
      </c>
      <c r="D57" s="232">
        <f t="shared" si="1"/>
        <v>2.2054000000000001E-2</v>
      </c>
    </row>
    <row r="58" spans="1:4">
      <c r="A58" s="233">
        <v>12</v>
      </c>
      <c r="B58" s="237">
        <v>41912</v>
      </c>
      <c r="C58" s="232" t="e">
        <f t="shared" si="0"/>
        <v>#N/A</v>
      </c>
      <c r="D58" s="232">
        <f t="shared" si="1"/>
        <v>2.2896999999999997E-2</v>
      </c>
    </row>
    <row r="59" spans="1:4">
      <c r="A59" s="233">
        <v>13</v>
      </c>
      <c r="B59" s="237">
        <v>42004</v>
      </c>
      <c r="C59" s="232">
        <f t="shared" si="0"/>
        <v>2.22457664781151E-2</v>
      </c>
      <c r="D59" s="232">
        <f t="shared" si="1"/>
        <v>2.3543999999999999E-2</v>
      </c>
    </row>
    <row r="60" spans="1:4">
      <c r="A60" s="233">
        <v>14</v>
      </c>
      <c r="B60" s="237">
        <v>42094</v>
      </c>
      <c r="C60" s="232" t="e">
        <f t="shared" si="0"/>
        <v>#N/A</v>
      </c>
      <c r="D60" s="232">
        <f t="shared" si="1"/>
        <v>2.4048E-2</v>
      </c>
    </row>
    <row r="61" spans="1:4">
      <c r="A61" s="233">
        <v>15</v>
      </c>
      <c r="B61" s="237">
        <v>42185</v>
      </c>
      <c r="C61" s="232">
        <f t="shared" si="0"/>
        <v>2.1536340582043612E-2</v>
      </c>
      <c r="D61" s="232">
        <f t="shared" si="1"/>
        <v>2.4048E-2</v>
      </c>
    </row>
    <row r="62" spans="1:4">
      <c r="A62" s="233">
        <v>16</v>
      </c>
      <c r="B62" s="237">
        <v>42277</v>
      </c>
      <c r="C62" s="232" t="e">
        <f t="shared" si="0"/>
        <v>#N/A</v>
      </c>
      <c r="D62" s="232">
        <f t="shared" si="1"/>
        <v>2.3177E-2</v>
      </c>
    </row>
    <row r="63" spans="1:4">
      <c r="A63" s="233">
        <v>17</v>
      </c>
      <c r="B63" s="237">
        <v>42369</v>
      </c>
      <c r="C63" s="232">
        <f t="shared" si="0"/>
        <v>2.1248309220050186E-2</v>
      </c>
      <c r="D63" s="232">
        <f t="shared" si="1"/>
        <v>2.3264E-2</v>
      </c>
    </row>
    <row r="64" spans="1:4">
      <c r="A64" s="233">
        <v>18</v>
      </c>
      <c r="B64" s="237">
        <v>42460</v>
      </c>
      <c r="C64" s="232" t="e">
        <f t="shared" si="0"/>
        <v>#N/A</v>
      </c>
      <c r="D64" s="232">
        <f t="shared" si="1"/>
        <v>2.1836000000000001E-2</v>
      </c>
    </row>
    <row r="65" spans="1:4">
      <c r="A65" s="233">
        <v>19</v>
      </c>
      <c r="B65" s="237">
        <v>42551</v>
      </c>
      <c r="C65" s="232">
        <f t="shared" si="0"/>
        <v>1.9398579202095374E-2</v>
      </c>
      <c r="D65" s="232">
        <f t="shared" si="1"/>
        <v>2.1156000000000001E-2</v>
      </c>
    </row>
    <row r="66" spans="1:4">
      <c r="A66" s="233">
        <v>20</v>
      </c>
      <c r="B66" s="237">
        <v>42643</v>
      </c>
      <c r="C66" s="232" t="e">
        <f t="shared" si="0"/>
        <v>#N/A</v>
      </c>
      <c r="D66" s="232">
        <f t="shared" si="1"/>
        <v>2.1145000000000001E-2</v>
      </c>
    </row>
    <row r="67" spans="1:4">
      <c r="A67" s="233">
        <v>21</v>
      </c>
      <c r="B67" s="237">
        <v>42735</v>
      </c>
      <c r="C67" s="232">
        <f t="shared" si="0"/>
        <v>1.9352998696219034E-2</v>
      </c>
      <c r="D67" s="232">
        <f t="shared" si="1"/>
        <v>2.1978000000000001E-2</v>
      </c>
    </row>
    <row r="68" spans="1:4">
      <c r="A68" s="233">
        <v>22</v>
      </c>
      <c r="B68" s="237">
        <v>42825</v>
      </c>
      <c r="C68" s="232" t="e">
        <f t="shared" si="0"/>
        <v>#N/A</v>
      </c>
      <c r="D68" s="232">
        <f t="shared" si="1"/>
        <v>2.2376E-2</v>
      </c>
    </row>
    <row r="69" spans="1:4">
      <c r="A69" s="233">
        <v>23</v>
      </c>
      <c r="B69" s="237">
        <v>42916</v>
      </c>
      <c r="C69" s="232">
        <f t="shared" si="0"/>
        <v>1.78E-2</v>
      </c>
      <c r="D69" s="232">
        <f t="shared" si="1"/>
        <v>1.61E-2</v>
      </c>
    </row>
  </sheetData>
  <phoneticPr fontId="3" type="noConversion"/>
  <conditionalFormatting sqref="C48:D69">
    <cfRule type="expression" dxfId="6" priority="1">
      <formula>ISNA(C48)</formula>
    </cfRule>
  </conditionalFormatting>
  <dataValidations count="1">
    <dataValidation type="list" allowBlank="1" showInputMessage="1" showErrorMessage="1" sqref="C45:C46">
      <formula1>$B$21:$B$36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4"/>
  <sheetViews>
    <sheetView showGridLines="0" workbookViewId="0">
      <pane xSplit="1" topLeftCell="B1" activePane="topRight" state="frozenSplit"/>
      <selection pane="topRight" activeCell="K15" sqref="K15"/>
    </sheetView>
  </sheetViews>
  <sheetFormatPr defaultColWidth="9" defaultRowHeight="12"/>
  <cols>
    <col min="1" max="1" width="17.25" style="1" customWidth="1"/>
    <col min="2" max="2" width="11.25" style="1" customWidth="1"/>
    <col min="3" max="7" width="9.5" style="1" customWidth="1"/>
    <col min="8" max="8" width="10.5" style="1" customWidth="1"/>
    <col min="9" max="9" width="11.25" style="1" customWidth="1"/>
    <col min="10" max="10" width="10.75" style="1" customWidth="1"/>
    <col min="11" max="11" width="10.875" style="1" customWidth="1"/>
    <col min="12" max="12" width="9" style="1"/>
    <col min="13" max="13" width="9.625" style="1" bestFit="1" customWidth="1"/>
    <col min="14" max="14" width="9" style="1"/>
    <col min="15" max="23" width="9" style="1" customWidth="1"/>
    <col min="24" max="16384" width="9" style="1"/>
  </cols>
  <sheetData>
    <row r="1" spans="1:14">
      <c r="A1" s="1" t="str">
        <f>[1]!to_tradecode(A2)</f>
        <v>601398</v>
      </c>
      <c r="G1" s="166"/>
    </row>
    <row r="2" spans="1:14">
      <c r="A2" s="2" t="s">
        <v>14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4" ht="13.5" customHeight="1">
      <c r="A3" s="36" t="s">
        <v>15</v>
      </c>
      <c r="B3" s="36"/>
      <c r="C3" s="36">
        <v>971.93</v>
      </c>
      <c r="D3" s="36">
        <v>1156.8699999999999</v>
      </c>
      <c r="E3" s="36">
        <v>1359.83</v>
      </c>
      <c r="F3" s="36">
        <v>1454.52</v>
      </c>
      <c r="G3" s="1">
        <v>1671.34</v>
      </c>
      <c r="H3" s="2">
        <v>1948.78</v>
      </c>
      <c r="I3" s="2">
        <v>2204.0300000000002</v>
      </c>
      <c r="J3" s="2">
        <v>2409.59</v>
      </c>
      <c r="K3" s="2">
        <v>2575.81</v>
      </c>
      <c r="L3" s="2">
        <v>2806.54</v>
      </c>
      <c r="M3" s="2">
        <v>2806.54</v>
      </c>
      <c r="N3" s="1">
        <v>2895.12</v>
      </c>
    </row>
    <row r="4" spans="1:14" ht="13.5" customHeight="1">
      <c r="A4" s="36" t="s">
        <v>1</v>
      </c>
      <c r="B4" s="36"/>
      <c r="C4" s="36">
        <v>330.61</v>
      </c>
      <c r="D4" s="36">
        <v>365.12</v>
      </c>
      <c r="E4" s="36">
        <v>216.82</v>
      </c>
      <c r="F4" s="36">
        <v>278.88</v>
      </c>
      <c r="G4" s="1">
        <v>318.32</v>
      </c>
      <c r="H4" s="2">
        <v>325.72000000000003</v>
      </c>
      <c r="I4" s="2">
        <v>380.98</v>
      </c>
      <c r="J4" s="2">
        <v>562.66999999999996</v>
      </c>
      <c r="K4" s="2">
        <v>860.22</v>
      </c>
      <c r="L4" s="2">
        <v>438.91</v>
      </c>
      <c r="M4" s="2">
        <v>861.38</v>
      </c>
      <c r="N4" s="1">
        <v>610.01</v>
      </c>
    </row>
    <row r="5" spans="1:14">
      <c r="A5" s="36" t="s">
        <v>16</v>
      </c>
      <c r="B5" s="36"/>
      <c r="C5" s="36"/>
      <c r="D5" s="36">
        <v>797.28</v>
      </c>
      <c r="E5" s="36">
        <v>816.13</v>
      </c>
      <c r="F5" s="36">
        <v>834.52</v>
      </c>
      <c r="G5" s="1">
        <v>952.8</v>
      </c>
      <c r="H5" s="2">
        <v>1171.9000000000001</v>
      </c>
      <c r="I5" s="2">
        <v>1438.53</v>
      </c>
      <c r="J5" s="2">
        <v>1939.27</v>
      </c>
      <c r="K5" s="2">
        <v>2261.4</v>
      </c>
      <c r="L5" s="2">
        <v>1375.34</v>
      </c>
      <c r="M5" s="2">
        <v>2625.69</v>
      </c>
      <c r="N5" s="1">
        <v>1587.12</v>
      </c>
    </row>
    <row r="6" spans="1:14">
      <c r="A6" s="36" t="s">
        <v>17</v>
      </c>
      <c r="B6" s="36"/>
      <c r="C6" s="36"/>
      <c r="D6" s="36"/>
      <c r="E6" s="36"/>
      <c r="F6" s="36"/>
      <c r="H6" s="2"/>
      <c r="I6" s="2"/>
      <c r="J6" s="2"/>
      <c r="K6" s="2"/>
      <c r="L6" s="2"/>
      <c r="M6" s="2"/>
    </row>
    <row r="7" spans="1:14">
      <c r="A7" s="36" t="s">
        <v>18</v>
      </c>
      <c r="B7" s="36"/>
      <c r="C7" s="36"/>
      <c r="D7" s="36">
        <v>-432.16</v>
      </c>
      <c r="E7" s="36">
        <v>-599.30999999999995</v>
      </c>
      <c r="F7" s="36">
        <v>-555.64</v>
      </c>
      <c r="G7" s="36">
        <v>-634.48</v>
      </c>
      <c r="H7" s="2">
        <v>-846.18</v>
      </c>
      <c r="I7" s="2">
        <v>-1057.55</v>
      </c>
      <c r="J7" s="2">
        <v>-1376.6</v>
      </c>
      <c r="K7" s="2">
        <v>-1401.18</v>
      </c>
      <c r="L7" s="2">
        <v>-540.42999999999995</v>
      </c>
      <c r="M7" s="2">
        <v>-1764.31</v>
      </c>
      <c r="N7" s="1">
        <v>-977.11</v>
      </c>
    </row>
    <row r="8" spans="1:14">
      <c r="A8" s="36" t="s">
        <v>19</v>
      </c>
      <c r="B8" s="36"/>
      <c r="C8" s="36">
        <v>-14.3</v>
      </c>
      <c r="D8" s="36">
        <v>-15.38</v>
      </c>
      <c r="E8" s="36">
        <v>-10.210000000000001</v>
      </c>
      <c r="F8" s="36">
        <v>-7.54</v>
      </c>
      <c r="G8" s="36">
        <v>-6.02</v>
      </c>
      <c r="H8" s="2">
        <v>-9.44</v>
      </c>
      <c r="I8" s="2">
        <v>-20.190000000000001</v>
      </c>
      <c r="J8" s="2">
        <v>-27.79</v>
      </c>
      <c r="K8" s="2">
        <v>-41.56</v>
      </c>
      <c r="L8" s="2">
        <v>-26.48</v>
      </c>
      <c r="M8" s="2">
        <v>-51.35</v>
      </c>
      <c r="N8" s="1">
        <v>-16.32</v>
      </c>
    </row>
    <row r="9" spans="1:14">
      <c r="A9" s="36" t="s">
        <v>20</v>
      </c>
      <c r="B9" s="36"/>
      <c r="C9" s="36"/>
      <c r="D9" s="36"/>
      <c r="E9" s="36"/>
      <c r="F9" s="36"/>
      <c r="G9" s="36"/>
      <c r="H9" s="2"/>
      <c r="I9" s="2"/>
      <c r="J9" s="2"/>
      <c r="K9" s="2">
        <v>4.1399999999999997</v>
      </c>
      <c r="L9" s="2"/>
      <c r="M9" s="2"/>
    </row>
    <row r="10" spans="1:14">
      <c r="A10" s="36" t="s">
        <v>21</v>
      </c>
      <c r="B10" s="36"/>
      <c r="C10" s="36">
        <v>-81.709999999999994</v>
      </c>
      <c r="D10" s="36">
        <v>-123.73</v>
      </c>
      <c r="E10" s="36">
        <v>-118.66</v>
      </c>
      <c r="F10" s="36">
        <v>-69.040000000000006</v>
      </c>
      <c r="G10" s="36">
        <v>-45.46</v>
      </c>
      <c r="H10" s="2">
        <v>-75.28</v>
      </c>
      <c r="I10" s="2">
        <v>-165</v>
      </c>
      <c r="J10" s="2">
        <v>-383.64</v>
      </c>
      <c r="K10" s="2">
        <v>-602.96</v>
      </c>
      <c r="L10" s="2">
        <v>-421.48</v>
      </c>
      <c r="M10" s="2">
        <v>-741.44</v>
      </c>
      <c r="N10" s="1">
        <v>-333.42</v>
      </c>
    </row>
    <row r="11" spans="1:14">
      <c r="A11" s="36" t="s">
        <v>22</v>
      </c>
      <c r="B11" s="36"/>
      <c r="C11" s="36"/>
      <c r="D11" s="36">
        <v>2.29</v>
      </c>
      <c r="E11" s="36">
        <v>9.16</v>
      </c>
      <c r="F11" s="36">
        <v>10.89</v>
      </c>
      <c r="G11" s="36">
        <v>10.6</v>
      </c>
      <c r="H11" s="2">
        <v>8.92</v>
      </c>
      <c r="I11" s="2">
        <v>9.77</v>
      </c>
      <c r="J11" s="2">
        <v>14.98</v>
      </c>
      <c r="K11" s="2">
        <v>10.89</v>
      </c>
      <c r="L11" s="2">
        <v>10.07</v>
      </c>
      <c r="M11" s="2">
        <v>19.989999999999998</v>
      </c>
      <c r="N11" s="1">
        <v>9.74</v>
      </c>
    </row>
    <row r="12" spans="1:14" s="362" customFormat="1">
      <c r="A12" s="378" t="s">
        <v>218</v>
      </c>
      <c r="B12" s="378"/>
      <c r="C12" s="376">
        <v>-49.66</v>
      </c>
      <c r="D12" s="376">
        <v>-25.34</v>
      </c>
      <c r="E12" s="376">
        <v>-2.42</v>
      </c>
      <c r="F12" s="376"/>
      <c r="G12" s="376"/>
      <c r="H12" s="377"/>
      <c r="I12" s="377"/>
      <c r="J12" s="377"/>
      <c r="K12" s="377"/>
      <c r="L12" s="377"/>
      <c r="M12" s="377"/>
    </row>
    <row r="13" spans="1:14" s="362" customFormat="1">
      <c r="A13" s="376" t="s">
        <v>337</v>
      </c>
      <c r="B13" s="376"/>
      <c r="C13" s="376"/>
      <c r="D13" s="376"/>
      <c r="E13" s="376"/>
      <c r="F13" s="376">
        <v>3.63</v>
      </c>
      <c r="G13" s="376"/>
      <c r="H13" s="377">
        <v>5.33</v>
      </c>
      <c r="I13" s="377"/>
      <c r="J13" s="377"/>
      <c r="K13" s="377"/>
      <c r="L13" s="377"/>
      <c r="M13" s="377"/>
    </row>
    <row r="14" spans="1:14">
      <c r="A14" s="36" t="s">
        <v>23</v>
      </c>
      <c r="B14" s="36"/>
      <c r="C14" s="36">
        <v>1156.8699999999999</v>
      </c>
      <c r="D14" s="36">
        <v>1359.83</v>
      </c>
      <c r="E14" s="36">
        <v>1454.52</v>
      </c>
      <c r="F14" s="36">
        <v>1671.34</v>
      </c>
      <c r="G14" s="36">
        <v>1948.78</v>
      </c>
      <c r="H14" s="2">
        <v>2204.0300000000002</v>
      </c>
      <c r="I14" s="2">
        <v>2409.59</v>
      </c>
      <c r="J14" s="2">
        <v>2575.81</v>
      </c>
      <c r="K14" s="2">
        <v>2806.54</v>
      </c>
      <c r="L14" s="2">
        <v>2807.56</v>
      </c>
      <c r="M14" s="2">
        <v>2895.12</v>
      </c>
      <c r="N14" s="1">
        <v>3165.13</v>
      </c>
    </row>
    <row r="15" spans="1:14">
      <c r="A15" s="2" t="s">
        <v>3</v>
      </c>
      <c r="B15" s="5">
        <v>1377.45</v>
      </c>
      <c r="C15" s="5">
        <v>1117.74</v>
      </c>
      <c r="D15" s="5">
        <v>1044.82</v>
      </c>
      <c r="E15" s="5">
        <v>884.67</v>
      </c>
      <c r="F15" s="5">
        <v>732.41</v>
      </c>
      <c r="G15" s="5">
        <v>730.11</v>
      </c>
      <c r="H15" s="5">
        <v>745.75</v>
      </c>
      <c r="I15" s="5">
        <v>936.89</v>
      </c>
      <c r="J15" s="5">
        <v>1244.97</v>
      </c>
      <c r="K15" s="5">
        <v>1795.18</v>
      </c>
      <c r="L15" s="5">
        <v>1963.03</v>
      </c>
      <c r="M15" s="5">
        <v>2118.0100000000002</v>
      </c>
      <c r="N15" s="5">
        <v>2170.7199999999998</v>
      </c>
    </row>
    <row r="16" spans="1:14">
      <c r="A16" s="2" t="s">
        <v>4</v>
      </c>
      <c r="B16" s="5">
        <v>36311.71</v>
      </c>
      <c r="C16" s="5">
        <v>40732.29</v>
      </c>
      <c r="D16" s="5">
        <v>45719.94</v>
      </c>
      <c r="E16" s="5">
        <v>57286.26</v>
      </c>
      <c r="F16" s="5">
        <v>67905.06</v>
      </c>
      <c r="G16" s="5">
        <v>77888.97</v>
      </c>
      <c r="H16" s="5">
        <v>88036.92</v>
      </c>
      <c r="I16" s="5">
        <v>99223.74</v>
      </c>
      <c r="J16" s="5">
        <v>110263.31</v>
      </c>
      <c r="K16" s="5">
        <v>119334.66</v>
      </c>
      <c r="L16" s="5">
        <v>126773.17</v>
      </c>
      <c r="M16" s="5">
        <v>130568.46</v>
      </c>
      <c r="N16" s="5">
        <v>138659.09</v>
      </c>
    </row>
    <row r="17" spans="1:21">
      <c r="C17" s="342" t="s">
        <v>338</v>
      </c>
      <c r="D17" s="343"/>
      <c r="E17" s="343"/>
      <c r="F17" s="343"/>
      <c r="G17" s="343"/>
      <c r="H17" s="343"/>
    </row>
    <row r="19" spans="1:21">
      <c r="O19" s="11"/>
      <c r="P19" s="11"/>
      <c r="Q19" s="11"/>
      <c r="R19" s="11"/>
      <c r="S19" s="11"/>
      <c r="T19" s="11"/>
      <c r="U19" s="11"/>
    </row>
    <row r="20" spans="1:21">
      <c r="A20" s="6" t="s">
        <v>5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37" t="s">
        <v>6</v>
      </c>
    </row>
    <row r="21" spans="1:21">
      <c r="A21" s="9" t="s">
        <v>7</v>
      </c>
      <c r="B21" s="10">
        <f t="shared" ref="B21:J21" si="0">C4</f>
        <v>330.61</v>
      </c>
      <c r="C21" s="10">
        <f t="shared" si="0"/>
        <v>365.12</v>
      </c>
      <c r="D21" s="10">
        <f t="shared" si="0"/>
        <v>216.82</v>
      </c>
      <c r="E21" s="10">
        <f t="shared" si="0"/>
        <v>278.88</v>
      </c>
      <c r="F21" s="10">
        <f t="shared" si="0"/>
        <v>318.32</v>
      </c>
      <c r="G21" s="10">
        <f t="shared" si="0"/>
        <v>325.72000000000003</v>
      </c>
      <c r="H21" s="10">
        <f t="shared" si="0"/>
        <v>380.98</v>
      </c>
      <c r="I21" s="10">
        <f t="shared" si="0"/>
        <v>562.66999999999996</v>
      </c>
      <c r="J21" s="10">
        <f t="shared" si="0"/>
        <v>860.22</v>
      </c>
      <c r="K21" s="10">
        <f>M4</f>
        <v>861.38</v>
      </c>
      <c r="L21" s="160">
        <f>N4</f>
        <v>610.01</v>
      </c>
    </row>
    <row r="22" spans="1:21">
      <c r="A22" s="12" t="s">
        <v>8</v>
      </c>
      <c r="B22" s="13">
        <f>C10+C12</f>
        <v>-131.37</v>
      </c>
      <c r="C22" s="13">
        <f t="shared" ref="C22:F22" si="1">D10+D12</f>
        <v>-149.07</v>
      </c>
      <c r="D22" s="13">
        <f t="shared" si="1"/>
        <v>-121.08</v>
      </c>
      <c r="E22" s="13">
        <f t="shared" si="1"/>
        <v>-69.040000000000006</v>
      </c>
      <c r="F22" s="13">
        <f t="shared" si="1"/>
        <v>-45.46</v>
      </c>
      <c r="G22" s="13">
        <f>H10+H12</f>
        <v>-75.28</v>
      </c>
      <c r="H22" s="13">
        <f t="shared" ref="H22:I22" si="2">I10+I12</f>
        <v>-165</v>
      </c>
      <c r="I22" s="13">
        <f t="shared" si="2"/>
        <v>-383.64</v>
      </c>
      <c r="J22" s="13">
        <f>K10+K12</f>
        <v>-602.96</v>
      </c>
      <c r="K22" s="13">
        <f>M10+M12</f>
        <v>-741.44</v>
      </c>
      <c r="L22" s="161">
        <f>N10+N12</f>
        <v>-333.42</v>
      </c>
    </row>
    <row r="23" spans="1:21">
      <c r="A23" s="14" t="s">
        <v>9</v>
      </c>
      <c r="B23" s="15">
        <f t="shared" ref="B23:G23" si="3">C11</f>
        <v>0</v>
      </c>
      <c r="C23" s="15">
        <f t="shared" si="3"/>
        <v>2.29</v>
      </c>
      <c r="D23" s="15">
        <f t="shared" si="3"/>
        <v>9.16</v>
      </c>
      <c r="E23" s="15">
        <f t="shared" si="3"/>
        <v>10.89</v>
      </c>
      <c r="F23" s="15">
        <f t="shared" si="3"/>
        <v>10.6</v>
      </c>
      <c r="G23" s="15">
        <f t="shared" si="3"/>
        <v>8.92</v>
      </c>
      <c r="H23" s="15">
        <f t="shared" ref="H23:J23" si="4">I11</f>
        <v>9.77</v>
      </c>
      <c r="I23" s="15">
        <f t="shared" si="4"/>
        <v>14.98</v>
      </c>
      <c r="J23" s="15">
        <f t="shared" si="4"/>
        <v>10.89</v>
      </c>
      <c r="K23" s="15">
        <f>M11</f>
        <v>19.989999999999998</v>
      </c>
      <c r="L23" s="162">
        <f>N11</f>
        <v>9.74</v>
      </c>
    </row>
    <row r="24" spans="1:21">
      <c r="L24" s="136"/>
    </row>
    <row r="25" spans="1:21">
      <c r="B25" s="17">
        <v>2007</v>
      </c>
      <c r="C25" s="18">
        <v>2008</v>
      </c>
      <c r="D25" s="18">
        <v>2009</v>
      </c>
      <c r="E25" s="18">
        <v>2010</v>
      </c>
      <c r="F25" s="18">
        <v>2011</v>
      </c>
      <c r="G25" s="18">
        <v>2012</v>
      </c>
      <c r="H25" s="18">
        <v>2013</v>
      </c>
      <c r="I25" s="18">
        <v>2014</v>
      </c>
      <c r="J25" s="18">
        <v>2015</v>
      </c>
      <c r="K25" s="317">
        <v>2016</v>
      </c>
      <c r="L25" s="163" t="s">
        <v>6</v>
      </c>
    </row>
    <row r="26" spans="1:21">
      <c r="A26" s="39" t="s">
        <v>10</v>
      </c>
      <c r="B26" s="247">
        <f t="shared" ref="B26:I26" si="5">(C15-B15-B22)</f>
        <v>-128.34000000000003</v>
      </c>
      <c r="C26" s="248">
        <f t="shared" si="5"/>
        <v>76.14999999999992</v>
      </c>
      <c r="D26" s="248">
        <f>(E15-D15-D22)</f>
        <v>-39.069999999999979</v>
      </c>
      <c r="E26" s="248">
        <f t="shared" si="5"/>
        <v>-83.219999999999985</v>
      </c>
      <c r="F26" s="248">
        <f t="shared" si="5"/>
        <v>43.160000000000046</v>
      </c>
      <c r="G26" s="248">
        <f t="shared" si="5"/>
        <v>90.919999999999987</v>
      </c>
      <c r="H26" s="248">
        <f t="shared" si="5"/>
        <v>356.14</v>
      </c>
      <c r="I26" s="248">
        <f t="shared" si="5"/>
        <v>691.72</v>
      </c>
      <c r="J26" s="248">
        <f>(K15-J15-J22)</f>
        <v>1153.17</v>
      </c>
      <c r="K26" s="249">
        <f>(M15-K15-K22)</f>
        <v>1064.2700000000002</v>
      </c>
      <c r="L26" s="164">
        <f>(N15-M15-L22)</f>
        <v>386.1299999999996</v>
      </c>
    </row>
    <row r="27" spans="1:21">
      <c r="A27" s="40" t="s">
        <v>11</v>
      </c>
      <c r="B27" s="20">
        <f t="shared" ref="B27:I27" si="6">(C15-B15-B22)/B16</f>
        <v>-3.5343970305997717E-3</v>
      </c>
      <c r="C27" s="21">
        <f t="shared" si="6"/>
        <v>1.8695241539329096E-3</v>
      </c>
      <c r="D27" s="21">
        <f t="shared" si="6"/>
        <v>-8.545505527785027E-4</v>
      </c>
      <c r="E27" s="21">
        <f t="shared" si="6"/>
        <v>-1.4527043657589095E-3</v>
      </c>
      <c r="F27" s="21">
        <f t="shared" si="6"/>
        <v>6.3559328273916622E-4</v>
      </c>
      <c r="G27" s="21">
        <f t="shared" si="6"/>
        <v>1.1673026360471833E-3</v>
      </c>
      <c r="H27" s="21">
        <f t="shared" si="6"/>
        <v>4.0453482470763401E-3</v>
      </c>
      <c r="I27" s="21">
        <f t="shared" si="6"/>
        <v>6.9713155339639482E-3</v>
      </c>
      <c r="J27" s="21">
        <f>(K15-J15-J22)/J16</f>
        <v>1.0458329248414546E-2</v>
      </c>
      <c r="K27" s="56">
        <f>(M15-K15-K22)/K16</f>
        <v>8.9183645388523341E-3</v>
      </c>
      <c r="L27" s="165">
        <f>L26/M16*2</f>
        <v>5.9145983647199271E-3</v>
      </c>
    </row>
    <row r="29" spans="1:21" ht="15">
      <c r="A29" s="239" t="s">
        <v>191</v>
      </c>
      <c r="B29" s="239"/>
      <c r="C29" s="239"/>
      <c r="D29" s="239"/>
      <c r="E29" s="239"/>
      <c r="F29" s="239"/>
    </row>
    <row r="32" spans="1:21">
      <c r="A32" s="244"/>
      <c r="B32" s="7">
        <v>2007</v>
      </c>
      <c r="C32" s="7">
        <v>2008</v>
      </c>
      <c r="D32" s="7">
        <v>2009</v>
      </c>
      <c r="E32" s="7">
        <v>2010</v>
      </c>
      <c r="F32" s="7">
        <v>2011</v>
      </c>
      <c r="G32" s="7">
        <v>2012</v>
      </c>
      <c r="H32" s="7">
        <v>2013</v>
      </c>
      <c r="I32" s="7">
        <v>2014</v>
      </c>
      <c r="J32" s="7">
        <v>2015</v>
      </c>
      <c r="K32" s="7">
        <v>2016</v>
      </c>
      <c r="L32" s="8" t="s">
        <v>6</v>
      </c>
    </row>
    <row r="33" spans="1:12">
      <c r="A33" s="392" t="s">
        <v>349</v>
      </c>
      <c r="B33" s="305">
        <f>-B22/B15</f>
        <v>9.5371882826962864E-2</v>
      </c>
      <c r="C33" s="305">
        <f>-C22/C15</f>
        <v>0.1333673305062</v>
      </c>
      <c r="D33" s="305">
        <f>-D22/D15</f>
        <v>0.11588598993128003</v>
      </c>
      <c r="E33" s="305">
        <f>-E22/E15</f>
        <v>7.8040399244916195E-2</v>
      </c>
      <c r="F33" s="305">
        <f>-F22/F15</f>
        <v>6.2069059679687608E-2</v>
      </c>
      <c r="G33" s="305">
        <f>-G22/G15</f>
        <v>0.10310775088685266</v>
      </c>
      <c r="H33" s="305">
        <f>-H22/H15</f>
        <v>0.22125377137110291</v>
      </c>
      <c r="I33" s="305">
        <f>-I22/I15</f>
        <v>0.4094824365720629</v>
      </c>
      <c r="J33" s="305">
        <f>-J22/J15</f>
        <v>0.48431689117006838</v>
      </c>
      <c r="K33" s="305">
        <f>-K22/K15</f>
        <v>0.41301707906728019</v>
      </c>
      <c r="L33" s="306">
        <f>-L22*2/M15</f>
        <v>0.31484270612508908</v>
      </c>
    </row>
    <row r="34" spans="1:12">
      <c r="G34" s="333"/>
      <c r="H34" s="333"/>
      <c r="I34" s="333"/>
      <c r="J34" s="333"/>
      <c r="K34" s="333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33"/>
  <sheetViews>
    <sheetView showGridLines="0" workbookViewId="0">
      <pane xSplit="1" topLeftCell="B1" activePane="topRight" state="frozenSplit"/>
      <selection pane="topRight" activeCell="A32" sqref="A32:XFD33"/>
    </sheetView>
  </sheetViews>
  <sheetFormatPr defaultColWidth="9" defaultRowHeight="12"/>
  <cols>
    <col min="1" max="1" width="17.25" style="1" customWidth="1"/>
    <col min="2" max="6" width="9.25" style="1" customWidth="1"/>
    <col min="7" max="8" width="10.875" style="1" customWidth="1"/>
    <col min="9" max="9" width="11.25" style="1" customWidth="1"/>
    <col min="10" max="10" width="10.75" style="1" customWidth="1"/>
    <col min="11" max="11" width="10.875" style="1" customWidth="1"/>
    <col min="12" max="12" width="9" style="41"/>
    <col min="13" max="16384" width="9" style="1"/>
  </cols>
  <sheetData>
    <row r="1" spans="1:14">
      <c r="A1" s="1" t="str">
        <f>[1]!to_tradecode(A2)</f>
        <v>601939</v>
      </c>
      <c r="G1" s="166" t="s">
        <v>149</v>
      </c>
    </row>
    <row r="2" spans="1:14">
      <c r="A2" s="2" t="s">
        <v>24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42">
        <v>42551</v>
      </c>
      <c r="M2" s="3">
        <v>42735</v>
      </c>
      <c r="N2" s="3">
        <v>42916</v>
      </c>
    </row>
    <row r="3" spans="1:14">
      <c r="A3" s="43" t="s">
        <v>25</v>
      </c>
      <c r="B3" s="2"/>
      <c r="C3" s="2">
        <v>776.33</v>
      </c>
      <c r="D3" s="2">
        <v>889.28</v>
      </c>
      <c r="E3" s="2">
        <v>1103.68</v>
      </c>
      <c r="F3" s="2">
        <v>1268.26</v>
      </c>
      <c r="G3" s="2">
        <v>1431.02</v>
      </c>
      <c r="H3" s="36">
        <v>1712.17</v>
      </c>
      <c r="I3" s="36">
        <v>2024.33</v>
      </c>
      <c r="J3" s="36">
        <v>2286.96</v>
      </c>
      <c r="K3" s="36">
        <v>2516.13</v>
      </c>
      <c r="L3" s="4">
        <v>2506.17</v>
      </c>
      <c r="M3" s="36">
        <v>2506.17</v>
      </c>
      <c r="N3" s="44">
        <f>M12</f>
        <v>2686.77</v>
      </c>
    </row>
    <row r="4" spans="1:14">
      <c r="A4" s="2" t="s">
        <v>26</v>
      </c>
      <c r="B4" s="2"/>
      <c r="C4" s="2">
        <v>201.06</v>
      </c>
      <c r="D4" s="2">
        <v>448.69</v>
      </c>
      <c r="E4" s="2">
        <v>404.15</v>
      </c>
      <c r="F4" s="2">
        <v>384.25</v>
      </c>
      <c r="G4" s="2">
        <v>426.28</v>
      </c>
      <c r="H4" s="44">
        <v>472.73</v>
      </c>
      <c r="I4" s="44">
        <v>534.98</v>
      </c>
      <c r="J4" s="44">
        <v>690.09</v>
      </c>
      <c r="K4" s="44">
        <v>1595.91</v>
      </c>
      <c r="L4" s="4">
        <v>533.25</v>
      </c>
      <c r="M4" s="44">
        <v>1017.57</v>
      </c>
      <c r="N4" s="44">
        <v>691.9</v>
      </c>
    </row>
    <row r="5" spans="1:14">
      <c r="A5" s="2" t="s">
        <v>27</v>
      </c>
      <c r="B5" s="2"/>
      <c r="C5" s="2">
        <f t="shared" ref="C5:H5" si="0">C6+C7</f>
        <v>-69.66</v>
      </c>
      <c r="D5" s="2">
        <f t="shared" si="0"/>
        <v>-134.24</v>
      </c>
      <c r="E5" s="2">
        <f t="shared" si="0"/>
        <v>-72.820000000000007</v>
      </c>
      <c r="F5" s="2">
        <f t="shared" si="0"/>
        <v>-96.78</v>
      </c>
      <c r="G5" s="2">
        <f t="shared" si="0"/>
        <v>-41.23</v>
      </c>
      <c r="H5" s="2">
        <f t="shared" si="0"/>
        <v>-68.900000000000006</v>
      </c>
      <c r="I5" s="2">
        <f t="shared" ref="I5:M5" si="1">I6+I7</f>
        <v>-167.29000000000002</v>
      </c>
      <c r="J5" s="2">
        <f t="shared" si="1"/>
        <v>-356.61</v>
      </c>
      <c r="K5" s="2">
        <f t="shared" si="1"/>
        <v>-924.36</v>
      </c>
      <c r="L5" s="2">
        <f t="shared" si="1"/>
        <v>-207.13</v>
      </c>
      <c r="M5" s="2">
        <f t="shared" si="1"/>
        <v>-717.93000000000006</v>
      </c>
      <c r="N5" s="44">
        <v>-271.33999999999997</v>
      </c>
    </row>
    <row r="6" spans="1:14">
      <c r="A6" s="45" t="s">
        <v>28</v>
      </c>
      <c r="B6" s="45"/>
      <c r="C6" s="45">
        <v>-5.21</v>
      </c>
      <c r="D6" s="45">
        <v>-68.45</v>
      </c>
      <c r="E6" s="45">
        <v>-4.37</v>
      </c>
      <c r="F6" s="45">
        <v>-4.01</v>
      </c>
      <c r="G6" s="2">
        <v>-7.93</v>
      </c>
      <c r="H6" s="36">
        <v>-2.37</v>
      </c>
      <c r="I6" s="36">
        <v>-48.61</v>
      </c>
      <c r="J6" s="36">
        <v>-141.76</v>
      </c>
      <c r="K6" s="36">
        <v>-575.85</v>
      </c>
      <c r="L6" s="4">
        <v>-72.86</v>
      </c>
      <c r="M6" s="36">
        <v>-381.46</v>
      </c>
      <c r="N6" s="44">
        <v>-107.46</v>
      </c>
    </row>
    <row r="7" spans="1:14">
      <c r="A7" s="45" t="s">
        <v>29</v>
      </c>
      <c r="B7" s="45"/>
      <c r="C7" s="45">
        <v>-64.45</v>
      </c>
      <c r="D7" s="45">
        <v>-65.790000000000006</v>
      </c>
      <c r="E7" s="45">
        <v>-68.45</v>
      </c>
      <c r="F7" s="45">
        <v>-92.77</v>
      </c>
      <c r="G7" s="2">
        <v>-33.299999999999997</v>
      </c>
      <c r="H7" s="36">
        <v>-66.53</v>
      </c>
      <c r="I7" s="36">
        <v>-118.68</v>
      </c>
      <c r="J7" s="36">
        <v>-214.85</v>
      </c>
      <c r="K7" s="36">
        <v>-348.51</v>
      </c>
      <c r="L7" s="4">
        <v>-134.27000000000001</v>
      </c>
      <c r="M7" s="36">
        <v>-336.47</v>
      </c>
      <c r="N7" s="44">
        <v>-163.88</v>
      </c>
    </row>
    <row r="8" spans="1:14">
      <c r="A8" s="2" t="s">
        <v>30</v>
      </c>
      <c r="B8" s="2"/>
      <c r="C8" s="2"/>
      <c r="D8" s="2">
        <v>-86.23</v>
      </c>
      <c r="E8" s="2">
        <v>-161.59</v>
      </c>
      <c r="F8" s="2">
        <v>-127.84</v>
      </c>
      <c r="G8" s="2">
        <v>-102.25</v>
      </c>
      <c r="H8" s="36">
        <v>-89.43</v>
      </c>
      <c r="I8" s="36">
        <v>-108.32</v>
      </c>
      <c r="J8" s="36">
        <v>-97.45</v>
      </c>
      <c r="K8" s="36">
        <v>-669.81</v>
      </c>
      <c r="L8" s="4">
        <v>-65.27</v>
      </c>
      <c r="M8" s="36">
        <v>-121.69</v>
      </c>
      <c r="N8" s="44">
        <v>-94.61</v>
      </c>
    </row>
    <row r="9" spans="1:14">
      <c r="A9" s="2" t="s">
        <v>31</v>
      </c>
      <c r="B9" s="2"/>
      <c r="C9" s="2">
        <v>0.94</v>
      </c>
      <c r="D9" s="2">
        <v>1.82</v>
      </c>
      <c r="E9" s="2">
        <v>3.38</v>
      </c>
      <c r="F9" s="2">
        <v>11.12</v>
      </c>
      <c r="G9" s="2">
        <v>12.48</v>
      </c>
      <c r="H9" s="36">
        <v>13.88</v>
      </c>
      <c r="I9" s="36">
        <v>17.72</v>
      </c>
      <c r="J9" s="36">
        <v>12.57</v>
      </c>
      <c r="K9" s="36">
        <v>19</v>
      </c>
      <c r="L9" s="4">
        <v>10.89</v>
      </c>
      <c r="M9" s="36">
        <v>39.04</v>
      </c>
      <c r="N9" s="44">
        <v>25.39</v>
      </c>
    </row>
    <row r="10" spans="1:14">
      <c r="A10" s="2" t="s">
        <v>32</v>
      </c>
      <c r="B10" s="2"/>
      <c r="C10" s="2">
        <v>-19.39</v>
      </c>
      <c r="D10" s="2">
        <v>-15.64</v>
      </c>
      <c r="E10" s="2">
        <v>-12.7</v>
      </c>
      <c r="F10" s="2">
        <v>-7.99</v>
      </c>
      <c r="G10" s="1">
        <v>-14.13</v>
      </c>
      <c r="H10" s="36">
        <v>-16.12</v>
      </c>
      <c r="I10" s="36">
        <v>-14.46</v>
      </c>
      <c r="J10" s="36">
        <v>-19.43</v>
      </c>
      <c r="K10" s="36">
        <v>-30.7</v>
      </c>
      <c r="L10" s="4">
        <v>-19.04</v>
      </c>
      <c r="M10" s="36">
        <v>-36.75</v>
      </c>
      <c r="N10" s="44">
        <v>-15.2</v>
      </c>
    </row>
    <row r="11" spans="1:14">
      <c r="A11" s="2" t="s">
        <v>33</v>
      </c>
      <c r="B11" s="2"/>
      <c r="C11" s="2"/>
      <c r="D11" s="2"/>
      <c r="E11" s="2">
        <v>4.16</v>
      </c>
      <c r="F11" s="2"/>
      <c r="H11" s="2"/>
      <c r="I11" s="36"/>
      <c r="J11" s="36"/>
      <c r="K11" s="36"/>
      <c r="M11" s="36">
        <v>0.36</v>
      </c>
      <c r="N11" s="44"/>
    </row>
    <row r="12" spans="1:14">
      <c r="A12" s="2" t="s">
        <v>34</v>
      </c>
      <c r="B12" s="2"/>
      <c r="C12" s="2">
        <v>889.28</v>
      </c>
      <c r="D12" s="2">
        <v>1103.68</v>
      </c>
      <c r="E12" s="2">
        <v>1268.26</v>
      </c>
      <c r="F12" s="2">
        <v>1431.02</v>
      </c>
      <c r="G12" s="2">
        <v>1712.17</v>
      </c>
      <c r="H12" s="36">
        <v>2024.33</v>
      </c>
      <c r="I12" s="36">
        <v>2286.96</v>
      </c>
      <c r="J12" s="36">
        <v>2516.13</v>
      </c>
      <c r="K12" s="36">
        <v>2506.17</v>
      </c>
      <c r="L12" s="4">
        <v>2758.87</v>
      </c>
      <c r="M12" s="36">
        <v>2686.77</v>
      </c>
      <c r="N12" s="23">
        <v>3022.91</v>
      </c>
    </row>
    <row r="13" spans="1:14">
      <c r="A13" s="2" t="s">
        <v>35</v>
      </c>
      <c r="B13" s="5">
        <v>943.99</v>
      </c>
      <c r="C13" s="5">
        <v>851.7</v>
      </c>
      <c r="D13" s="5">
        <v>838.82</v>
      </c>
      <c r="E13" s="5">
        <v>721.56</v>
      </c>
      <c r="F13" s="5">
        <v>647.12</v>
      </c>
      <c r="G13" s="5">
        <v>709.15</v>
      </c>
      <c r="H13" s="5">
        <v>746.18</v>
      </c>
      <c r="I13" s="5">
        <v>852.64</v>
      </c>
      <c r="J13" s="5">
        <v>1131.71</v>
      </c>
      <c r="K13" s="5">
        <v>1659.8</v>
      </c>
      <c r="L13" s="46">
        <v>1819.49</v>
      </c>
      <c r="M13" s="5">
        <v>1786.9</v>
      </c>
      <c r="N13" s="5">
        <v>1887.52</v>
      </c>
    </row>
    <row r="14" spans="1:14">
      <c r="A14" s="2" t="s">
        <v>36</v>
      </c>
      <c r="B14" s="5">
        <v>28735.16</v>
      </c>
      <c r="C14" s="5">
        <v>32721.57</v>
      </c>
      <c r="D14" s="5">
        <v>37939.43</v>
      </c>
      <c r="E14" s="5">
        <v>48197.73</v>
      </c>
      <c r="F14" s="5">
        <v>56691.28</v>
      </c>
      <c r="G14" s="5">
        <v>64964.11</v>
      </c>
      <c r="H14" s="5">
        <v>75123.12</v>
      </c>
      <c r="I14" s="5">
        <v>85900.57</v>
      </c>
      <c r="J14" s="5">
        <v>94745.23</v>
      </c>
      <c r="K14" s="5">
        <v>104851.4</v>
      </c>
      <c r="L14" s="46">
        <v>111378.77</v>
      </c>
      <c r="M14" s="5">
        <v>117570.32</v>
      </c>
      <c r="N14" s="5">
        <v>125070.21</v>
      </c>
    </row>
    <row r="15" spans="1:14">
      <c r="L15" s="1"/>
      <c r="N15" s="23"/>
    </row>
    <row r="16" spans="1:14">
      <c r="A16" s="2"/>
      <c r="B16" s="2"/>
      <c r="C16" s="2"/>
      <c r="D16" s="2"/>
      <c r="E16" s="2"/>
      <c r="F16" s="2"/>
      <c r="L16" s="1"/>
    </row>
    <row r="17" spans="1:22">
      <c r="L17" s="1"/>
      <c r="O17" s="11"/>
      <c r="P17" s="11"/>
      <c r="Q17" s="11"/>
      <c r="R17" s="11"/>
      <c r="S17" s="11"/>
      <c r="T17" s="11"/>
      <c r="U17" s="11"/>
      <c r="V17" s="11"/>
    </row>
    <row r="18" spans="1:22">
      <c r="L18" s="1"/>
    </row>
    <row r="20" spans="1:22">
      <c r="A20" s="244"/>
      <c r="B20" s="4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8" t="s">
        <v>6</v>
      </c>
    </row>
    <row r="21" spans="1:22">
      <c r="A21" s="9" t="s">
        <v>37</v>
      </c>
      <c r="B21" s="10">
        <f t="shared" ref="B21:B22" si="2">C4</f>
        <v>201.06</v>
      </c>
      <c r="C21" s="10">
        <f t="shared" ref="C21:C22" si="3">D4</f>
        <v>448.69</v>
      </c>
      <c r="D21" s="10">
        <f t="shared" ref="D21:D22" si="4">E4</f>
        <v>404.15</v>
      </c>
      <c r="E21" s="10">
        <f t="shared" ref="E21:E22" si="5">F4</f>
        <v>384.25</v>
      </c>
      <c r="F21" s="10">
        <f t="shared" ref="F21:F22" si="6">G4</f>
        <v>426.28</v>
      </c>
      <c r="G21" s="10">
        <f t="shared" ref="G21:J22" si="7">H4</f>
        <v>472.73</v>
      </c>
      <c r="H21" s="10">
        <f t="shared" si="7"/>
        <v>534.98</v>
      </c>
      <c r="I21" s="10">
        <f t="shared" si="7"/>
        <v>690.09</v>
      </c>
      <c r="J21" s="10">
        <f t="shared" si="7"/>
        <v>1595.91</v>
      </c>
      <c r="K21" s="10">
        <f>M4</f>
        <v>1017.57</v>
      </c>
      <c r="L21" s="48">
        <f>N4</f>
        <v>691.9</v>
      </c>
    </row>
    <row r="22" spans="1:22">
      <c r="A22" s="38" t="s">
        <v>38</v>
      </c>
      <c r="B22" s="15">
        <f t="shared" si="2"/>
        <v>-69.66</v>
      </c>
      <c r="C22" s="15">
        <f t="shared" si="3"/>
        <v>-134.24</v>
      </c>
      <c r="D22" s="15">
        <f t="shared" si="4"/>
        <v>-72.820000000000007</v>
      </c>
      <c r="E22" s="15">
        <f t="shared" si="5"/>
        <v>-96.78</v>
      </c>
      <c r="F22" s="15">
        <f t="shared" si="6"/>
        <v>-41.23</v>
      </c>
      <c r="G22" s="15">
        <f>H5</f>
        <v>-68.900000000000006</v>
      </c>
      <c r="H22" s="15">
        <f t="shared" si="7"/>
        <v>-167.29000000000002</v>
      </c>
      <c r="I22" s="15">
        <f t="shared" si="7"/>
        <v>-356.61</v>
      </c>
      <c r="J22" s="15">
        <f t="shared" si="7"/>
        <v>-924.36</v>
      </c>
      <c r="K22" s="15">
        <f>M5</f>
        <v>-717.93000000000006</v>
      </c>
      <c r="L22" s="49">
        <f>N5</f>
        <v>-271.33999999999997</v>
      </c>
    </row>
    <row r="23" spans="1:22">
      <c r="L23" s="1"/>
    </row>
    <row r="25" spans="1:22">
      <c r="A25" s="245"/>
      <c r="B25" s="17">
        <v>2007</v>
      </c>
      <c r="C25" s="18">
        <v>2008</v>
      </c>
      <c r="D25" s="18">
        <v>2009</v>
      </c>
      <c r="E25" s="18">
        <v>2010</v>
      </c>
      <c r="F25" s="18">
        <v>2011</v>
      </c>
      <c r="G25" s="18">
        <v>2012</v>
      </c>
      <c r="H25" s="18">
        <v>2013</v>
      </c>
      <c r="I25" s="18">
        <v>2014</v>
      </c>
      <c r="J25" s="18">
        <v>2015</v>
      </c>
      <c r="K25" s="18">
        <v>2016</v>
      </c>
      <c r="L25" s="163" t="s">
        <v>6</v>
      </c>
    </row>
    <row r="26" spans="1:22">
      <c r="A26" s="246" t="s">
        <v>39</v>
      </c>
      <c r="B26" s="247">
        <f t="shared" ref="B26:F26" si="8">(C13-B13-B22)</f>
        <v>-22.629999999999967</v>
      </c>
      <c r="C26" s="248">
        <f t="shared" si="8"/>
        <v>121.36000000000001</v>
      </c>
      <c r="D26" s="248">
        <f t="shared" si="8"/>
        <v>-44.440000000000097</v>
      </c>
      <c r="E26" s="248">
        <f t="shared" si="8"/>
        <v>22.34000000000006</v>
      </c>
      <c r="F26" s="248">
        <f t="shared" si="8"/>
        <v>103.25999999999996</v>
      </c>
      <c r="G26" s="248">
        <f>(H13-G13-G22)</f>
        <v>105.92999999999998</v>
      </c>
      <c r="H26" s="248">
        <f>(I13-H13-H22)</f>
        <v>273.75000000000006</v>
      </c>
      <c r="I26" s="248">
        <f>(J13-I13-I22)</f>
        <v>635.68000000000006</v>
      </c>
      <c r="J26" s="248">
        <f>(K13-J13-J22)</f>
        <v>1452.4499999999998</v>
      </c>
      <c r="K26" s="248">
        <f>(M13-K13-K22)</f>
        <v>845.0300000000002</v>
      </c>
      <c r="L26" s="249">
        <f>(N13-M13-L22)</f>
        <v>371.95999999999987</v>
      </c>
    </row>
    <row r="27" spans="1:22">
      <c r="A27" s="40" t="s">
        <v>40</v>
      </c>
      <c r="B27" s="20">
        <f t="shared" ref="B27:F27" si="9">(C13-B13-B22)/B14</f>
        <v>-7.8753694080701024E-4</v>
      </c>
      <c r="C27" s="21">
        <f t="shared" si="9"/>
        <v>3.7088684925570508E-3</v>
      </c>
      <c r="D27" s="21">
        <f t="shared" si="9"/>
        <v>-1.1713407397000981E-3</v>
      </c>
      <c r="E27" s="21">
        <f t="shared" si="9"/>
        <v>4.6350730625695566E-4</v>
      </c>
      <c r="F27" s="21">
        <f t="shared" si="9"/>
        <v>1.8214441444962958E-3</v>
      </c>
      <c r="G27" s="21">
        <f>(H13-G13-G22)/G14</f>
        <v>1.6305926456931369E-3</v>
      </c>
      <c r="H27" s="21">
        <f>(I13-H13-H22)/H14</f>
        <v>3.6440179800838954E-3</v>
      </c>
      <c r="I27" s="21">
        <f>(J13-I13-I22)/I14</f>
        <v>7.4001837240428095E-3</v>
      </c>
      <c r="J27" s="21">
        <f>(K13-J13-J22)/J14</f>
        <v>1.5330059360244308E-2</v>
      </c>
      <c r="K27" s="21">
        <f>(M13-K13-K22)/K14</f>
        <v>8.0593106052947346E-3</v>
      </c>
      <c r="L27" s="22">
        <f>L26/M14*2</f>
        <v>6.3274472673035143E-3</v>
      </c>
    </row>
    <row r="29" spans="1:22" ht="15">
      <c r="A29" s="239" t="s">
        <v>191</v>
      </c>
      <c r="B29" s="239"/>
      <c r="C29" s="239"/>
      <c r="D29" s="239"/>
      <c r="E29" s="239"/>
      <c r="F29" s="239"/>
    </row>
    <row r="30" spans="1:22">
      <c r="G30" s="333"/>
      <c r="H30" s="333"/>
      <c r="I30" s="333"/>
      <c r="J30" s="333"/>
      <c r="K30" s="333"/>
      <c r="L30" s="332"/>
    </row>
    <row r="32" spans="1:22">
      <c r="A32" s="244"/>
      <c r="B32" s="7">
        <v>2007</v>
      </c>
      <c r="C32" s="7">
        <v>2008</v>
      </c>
      <c r="D32" s="7">
        <v>2009</v>
      </c>
      <c r="E32" s="7">
        <v>2010</v>
      </c>
      <c r="F32" s="7">
        <v>2011</v>
      </c>
      <c r="G32" s="7">
        <v>2012</v>
      </c>
      <c r="H32" s="7">
        <v>2013</v>
      </c>
      <c r="I32" s="7">
        <v>2014</v>
      </c>
      <c r="J32" s="7">
        <v>2015</v>
      </c>
      <c r="K32" s="7">
        <v>2016</v>
      </c>
      <c r="L32" s="8" t="s">
        <v>6</v>
      </c>
    </row>
    <row r="33" spans="1:12">
      <c r="A33" s="392" t="s">
        <v>349</v>
      </c>
      <c r="B33" s="305">
        <f>-B22/B13</f>
        <v>7.3793154588501997E-2</v>
      </c>
      <c r="C33" s="305">
        <f t="shared" ref="C33:L33" si="10">-C22/C13</f>
        <v>0.15761418339791006</v>
      </c>
      <c r="D33" s="305">
        <f t="shared" si="10"/>
        <v>8.6812426980758695E-2</v>
      </c>
      <c r="E33" s="305">
        <f t="shared" si="10"/>
        <v>0.13412606020289375</v>
      </c>
      <c r="F33" s="305">
        <f>-F22/F13</f>
        <v>6.3713067128198783E-2</v>
      </c>
      <c r="G33" s="305">
        <f t="shared" si="10"/>
        <v>9.7158570119156754E-2</v>
      </c>
      <c r="H33" s="305">
        <f t="shared" si="10"/>
        <v>0.22419523439384603</v>
      </c>
      <c r="I33" s="305">
        <f t="shared" si="10"/>
        <v>0.41824216550947646</v>
      </c>
      <c r="J33" s="305">
        <f t="shared" si="10"/>
        <v>0.81678168435376552</v>
      </c>
      <c r="K33" s="305">
        <f t="shared" si="10"/>
        <v>0.43254006506808051</v>
      </c>
      <c r="L33" s="305">
        <f>-L22*2/M13</f>
        <v>0.30369914376853763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35"/>
  <sheetViews>
    <sheetView showGridLines="0" workbookViewId="0">
      <pane xSplit="1" topLeftCell="B1" activePane="topRight" state="frozenSplit"/>
      <selection pane="topRight" activeCell="H14" sqref="H14"/>
    </sheetView>
  </sheetViews>
  <sheetFormatPr defaultColWidth="9.125" defaultRowHeight="14.25"/>
  <cols>
    <col min="1" max="1" width="17.25" style="65" customWidth="1"/>
    <col min="2" max="2" width="10.62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8" width="9.125" style="61"/>
    <col min="9" max="9" width="10.375" style="61" bestFit="1" customWidth="1"/>
    <col min="10" max="10" width="9.125" style="61"/>
    <col min="11" max="11" width="10" style="61" bestFit="1" customWidth="1"/>
    <col min="12" max="16384" width="9.125" style="61"/>
  </cols>
  <sheetData>
    <row r="1" spans="1:11">
      <c r="A1" s="59" t="str">
        <f>[1]!to_tradecode(A2)</f>
        <v>601288</v>
      </c>
      <c r="B1" s="166" t="s">
        <v>149</v>
      </c>
    </row>
    <row r="2" spans="1:11" ht="15">
      <c r="A2" s="62" t="s">
        <v>47</v>
      </c>
      <c r="B2" s="63">
        <v>40178</v>
      </c>
      <c r="C2" s="269">
        <v>40543</v>
      </c>
      <c r="D2" s="63">
        <v>40908</v>
      </c>
      <c r="E2" s="63">
        <v>41274</v>
      </c>
      <c r="F2" s="63">
        <v>41639</v>
      </c>
      <c r="G2" s="63">
        <v>42004</v>
      </c>
      <c r="H2" s="63">
        <v>42369</v>
      </c>
      <c r="I2" s="63">
        <v>42551</v>
      </c>
      <c r="J2" s="63">
        <v>42735</v>
      </c>
      <c r="K2" s="63">
        <v>42916</v>
      </c>
    </row>
    <row r="3" spans="1:11">
      <c r="A3" s="62" t="s">
        <v>48</v>
      </c>
      <c r="B3" s="173"/>
      <c r="C3" s="173">
        <v>1266.92</v>
      </c>
      <c r="D3" s="173">
        <v>1687.33</v>
      </c>
      <c r="E3" s="64">
        <v>2298.42</v>
      </c>
      <c r="F3" s="64">
        <v>2799.88</v>
      </c>
      <c r="G3" s="64">
        <v>3221.91</v>
      </c>
      <c r="H3" s="64">
        <v>3580.71</v>
      </c>
      <c r="I3" s="64">
        <v>4032.43</v>
      </c>
      <c r="J3" s="64">
        <v>4032.43</v>
      </c>
      <c r="K3" s="64">
        <v>4002.75</v>
      </c>
    </row>
    <row r="4" spans="1:11">
      <c r="A4" s="62" t="s">
        <v>219</v>
      </c>
      <c r="B4" s="173"/>
      <c r="C4" s="173">
        <v>435.36</v>
      </c>
      <c r="D4" s="173">
        <v>621</v>
      </c>
      <c r="E4" s="64">
        <v>546.28</v>
      </c>
      <c r="F4" s="64">
        <v>521.26</v>
      </c>
      <c r="G4" s="64">
        <v>650.63</v>
      </c>
      <c r="H4" s="64">
        <v>818.97</v>
      </c>
      <c r="I4" s="64">
        <v>351.17</v>
      </c>
      <c r="J4" s="64">
        <v>789.28</v>
      </c>
      <c r="K4" s="64">
        <v>414.55</v>
      </c>
    </row>
    <row r="5" spans="1:11">
      <c r="A5" s="62" t="s">
        <v>49</v>
      </c>
      <c r="B5" s="173"/>
      <c r="C5" s="173"/>
      <c r="D5" s="173">
        <v>957.74</v>
      </c>
      <c r="E5" s="64">
        <v>928.33</v>
      </c>
      <c r="F5" s="64">
        <v>898.32</v>
      </c>
      <c r="G5" s="64">
        <v>1176.0999999999999</v>
      </c>
      <c r="H5" s="64">
        <v>1531.54</v>
      </c>
      <c r="I5" s="64">
        <v>781.33</v>
      </c>
      <c r="J5" s="64">
        <v>1603.26</v>
      </c>
      <c r="K5" s="64">
        <v>1130.8700000000001</v>
      </c>
    </row>
    <row r="6" spans="1:11">
      <c r="A6" s="62" t="s">
        <v>50</v>
      </c>
      <c r="B6" s="173"/>
      <c r="C6" s="173"/>
      <c r="D6" s="173">
        <v>-336.74</v>
      </c>
      <c r="E6" s="64">
        <v>-382.05</v>
      </c>
      <c r="F6" s="64">
        <v>-377.06</v>
      </c>
      <c r="G6" s="64">
        <v>-525.47</v>
      </c>
      <c r="H6" s="64">
        <v>-712.57</v>
      </c>
      <c r="I6" s="64">
        <v>-430.16</v>
      </c>
      <c r="J6" s="64">
        <v>-813.98</v>
      </c>
      <c r="K6" s="64">
        <v>-716.32</v>
      </c>
    </row>
    <row r="7" spans="1:11">
      <c r="A7" s="62" t="s">
        <v>51</v>
      </c>
      <c r="B7" s="173"/>
      <c r="C7" s="173">
        <v>-3.5500000000000003</v>
      </c>
      <c r="D7" s="173">
        <v>-2.83</v>
      </c>
      <c r="E7" s="64">
        <v>-40.090000000000003</v>
      </c>
      <c r="F7" s="64">
        <v>-97.84</v>
      </c>
      <c r="G7" s="64">
        <v>-292.22000000000003</v>
      </c>
      <c r="H7" s="64">
        <v>-413.29</v>
      </c>
      <c r="I7" s="64">
        <v>-382.69</v>
      </c>
      <c r="J7" s="64">
        <v>-827.46</v>
      </c>
      <c r="K7" s="64">
        <v>-283.2</v>
      </c>
    </row>
    <row r="8" spans="1:11">
      <c r="A8" s="369" t="s">
        <v>52</v>
      </c>
      <c r="B8" s="370"/>
      <c r="C8" s="370">
        <v>-11.4</v>
      </c>
      <c r="D8" s="371">
        <f>SUM(D9:D11)</f>
        <v>-7.08</v>
      </c>
      <c r="E8" s="371">
        <f>SUM(E9:E11)</f>
        <v>-4.7300000000000004</v>
      </c>
      <c r="F8" s="371">
        <f t="shared" ref="F8:J8" si="0">SUM(F9:F11)</f>
        <v>-1.3900000000000006</v>
      </c>
      <c r="G8" s="371">
        <f t="shared" si="0"/>
        <v>0.39000000000000057</v>
      </c>
      <c r="H8" s="371">
        <f>SUM(H9:H11)</f>
        <v>-0.21999999999999797</v>
      </c>
      <c r="I8" s="371">
        <f t="shared" si="0"/>
        <v>4.6300000000000008</v>
      </c>
      <c r="J8" s="371">
        <f t="shared" si="0"/>
        <v>8.5</v>
      </c>
      <c r="K8" s="371">
        <f>SUM(K9:K11)</f>
        <v>18.690000000000001</v>
      </c>
    </row>
    <row r="9" spans="1:11" s="375" customFormat="1">
      <c r="A9" s="374" t="s">
        <v>53</v>
      </c>
      <c r="B9" s="180"/>
      <c r="C9" s="180">
        <v>0.18</v>
      </c>
      <c r="D9" s="180">
        <v>0.19</v>
      </c>
      <c r="E9" s="119">
        <v>1</v>
      </c>
      <c r="F9" s="119">
        <v>8.1999999999999993</v>
      </c>
      <c r="G9" s="119">
        <v>11.41</v>
      </c>
      <c r="H9" s="119">
        <v>12.3</v>
      </c>
      <c r="I9" s="119">
        <v>13.3</v>
      </c>
      <c r="J9" s="119">
        <v>23.46</v>
      </c>
      <c r="K9" s="119">
        <v>29.240000000000002</v>
      </c>
    </row>
    <row r="10" spans="1:11" s="375" customFormat="1">
      <c r="A10" s="374" t="s">
        <v>54</v>
      </c>
      <c r="B10" s="180"/>
      <c r="C10" s="180">
        <v>-11.450000000000001</v>
      </c>
      <c r="D10" s="180">
        <v>-5.05</v>
      </c>
      <c r="E10" s="119">
        <v>-5.57</v>
      </c>
      <c r="F10" s="119">
        <v>-6.93</v>
      </c>
      <c r="G10" s="119">
        <v>-10.02</v>
      </c>
      <c r="H10" s="119">
        <v>-17.649999999999999</v>
      </c>
      <c r="I10" s="119">
        <v>-11.14</v>
      </c>
      <c r="J10" s="119">
        <v>-22.09</v>
      </c>
      <c r="K10" s="119">
        <v>-9.35</v>
      </c>
    </row>
    <row r="11" spans="1:11" s="375" customFormat="1">
      <c r="A11" s="374" t="s">
        <v>55</v>
      </c>
      <c r="B11" s="180"/>
      <c r="C11" s="180">
        <v>-0.8</v>
      </c>
      <c r="D11" s="180">
        <v>-2.2200000000000002</v>
      </c>
      <c r="E11" s="119">
        <v>-0.16</v>
      </c>
      <c r="F11" s="119">
        <v>-2.66</v>
      </c>
      <c r="G11" s="119">
        <v>-1</v>
      </c>
      <c r="H11" s="119">
        <v>5.13</v>
      </c>
      <c r="I11" s="119">
        <v>2.4700000000000002</v>
      </c>
      <c r="J11" s="119">
        <v>7.13</v>
      </c>
      <c r="K11" s="119">
        <v>-1.2</v>
      </c>
    </row>
    <row r="12" spans="1:11" s="375" customFormat="1">
      <c r="A12" s="374" t="s">
        <v>56</v>
      </c>
      <c r="B12" s="180"/>
      <c r="C12" s="180">
        <v>0.67</v>
      </c>
      <c r="D12" s="180"/>
      <c r="E12" s="119"/>
      <c r="F12" s="119"/>
      <c r="G12" s="119"/>
      <c r="H12" s="119">
        <v>46.26</v>
      </c>
      <c r="I12" s="119"/>
      <c r="J12" s="119"/>
      <c r="K12" s="119"/>
    </row>
    <row r="13" spans="1:11">
      <c r="A13" s="62" t="s">
        <v>57</v>
      </c>
      <c r="B13" s="173"/>
      <c r="C13" s="173">
        <v>1687.33</v>
      </c>
      <c r="D13" s="173">
        <v>2298.42</v>
      </c>
      <c r="E13" s="64">
        <v>2799.88</v>
      </c>
      <c r="F13" s="64">
        <v>3221.91</v>
      </c>
      <c r="G13" s="64">
        <v>3580.71</v>
      </c>
      <c r="H13" s="64">
        <v>4032.43</v>
      </c>
      <c r="I13" s="64">
        <v>4005.54</v>
      </c>
      <c r="J13" s="64">
        <v>4002.75</v>
      </c>
      <c r="K13" s="64">
        <v>4152.79</v>
      </c>
    </row>
    <row r="14" spans="1:11">
      <c r="A14" s="62" t="s">
        <v>58</v>
      </c>
      <c r="B14" s="168">
        <v>1202.4100000000001</v>
      </c>
      <c r="C14" s="168">
        <v>1004.05</v>
      </c>
      <c r="D14" s="168">
        <v>873.58</v>
      </c>
      <c r="E14" s="168">
        <v>858.48</v>
      </c>
      <c r="F14" s="168">
        <v>877.81</v>
      </c>
      <c r="G14" s="168">
        <v>1249.7</v>
      </c>
      <c r="H14" s="168">
        <v>2128.67</v>
      </c>
      <c r="I14" s="168">
        <v>2253.89</v>
      </c>
      <c r="J14" s="168">
        <v>2308.34</v>
      </c>
      <c r="K14" s="64">
        <v>2284.31</v>
      </c>
    </row>
    <row r="15" spans="1:11">
      <c r="A15" s="62" t="s">
        <v>220</v>
      </c>
      <c r="B15" s="168">
        <v>41381.870000000003</v>
      </c>
      <c r="C15" s="168">
        <v>49567.41</v>
      </c>
      <c r="D15" s="168">
        <v>56287.05</v>
      </c>
      <c r="E15" s="168">
        <v>64333.99</v>
      </c>
      <c r="F15" s="168">
        <v>72247.13</v>
      </c>
      <c r="G15" s="168">
        <v>80980.67</v>
      </c>
      <c r="H15" s="168">
        <v>89099.18</v>
      </c>
      <c r="I15" s="168">
        <v>93958.38</v>
      </c>
      <c r="J15" s="168">
        <v>97196.39</v>
      </c>
      <c r="K15" s="64">
        <v>104119.18000000001</v>
      </c>
    </row>
    <row r="16" spans="1:11">
      <c r="C16" s="342" t="s">
        <v>334</v>
      </c>
      <c r="D16" s="342"/>
      <c r="E16" s="342"/>
      <c r="F16" s="342"/>
      <c r="G16" s="342"/>
      <c r="H16" s="372"/>
      <c r="I16" s="342"/>
      <c r="J16" s="1"/>
      <c r="K16" s="1"/>
    </row>
    <row r="17" spans="1:19">
      <c r="A17" s="61"/>
      <c r="B17" s="61"/>
      <c r="C17" s="342" t="s">
        <v>335</v>
      </c>
      <c r="D17" s="342"/>
      <c r="E17" s="342"/>
      <c r="F17" s="342"/>
      <c r="G17" s="342"/>
      <c r="H17" s="342"/>
      <c r="I17" s="342"/>
    </row>
    <row r="18" spans="1:19">
      <c r="A18" s="61"/>
      <c r="B18" s="61"/>
      <c r="C18" s="342" t="s">
        <v>336</v>
      </c>
      <c r="D18" s="342"/>
      <c r="E18" s="342"/>
      <c r="F18" s="342"/>
      <c r="G18" s="373"/>
      <c r="H18" s="373"/>
      <c r="I18" s="373"/>
      <c r="J18" s="74"/>
      <c r="K18" s="74"/>
      <c r="L18" s="74"/>
      <c r="M18" s="74"/>
      <c r="N18" s="74"/>
      <c r="O18" s="74"/>
      <c r="P18" s="74"/>
      <c r="Q18" s="74"/>
      <c r="R18" s="74"/>
      <c r="S18" s="74"/>
    </row>
    <row r="19" spans="1:19">
      <c r="A19" s="61"/>
      <c r="B19" s="61"/>
      <c r="C19" s="61"/>
      <c r="D19" s="61"/>
      <c r="E19" s="61"/>
      <c r="F19" s="61"/>
      <c r="M19" s="74"/>
      <c r="N19" s="74"/>
      <c r="O19" s="74"/>
      <c r="P19" s="74"/>
      <c r="Q19" s="74"/>
      <c r="R19" s="74"/>
      <c r="S19" s="74"/>
    </row>
    <row r="20" spans="1:19">
      <c r="A20" s="187" t="s">
        <v>221</v>
      </c>
      <c r="B20" s="67">
        <v>2010</v>
      </c>
      <c r="C20" s="270">
        <v>2011</v>
      </c>
      <c r="D20" s="67">
        <v>2012</v>
      </c>
      <c r="E20" s="67">
        <v>2013</v>
      </c>
      <c r="F20" s="67">
        <v>2014</v>
      </c>
      <c r="G20" s="67">
        <v>2015</v>
      </c>
      <c r="H20" s="68">
        <v>2016</v>
      </c>
      <c r="I20" s="69" t="s">
        <v>60</v>
      </c>
      <c r="M20" s="74"/>
      <c r="N20" s="74"/>
      <c r="O20" s="74"/>
      <c r="P20" s="74"/>
      <c r="Q20" s="74"/>
      <c r="R20" s="74"/>
      <c r="S20" s="74"/>
    </row>
    <row r="21" spans="1:19">
      <c r="A21" s="70" t="s">
        <v>222</v>
      </c>
      <c r="B21" s="271">
        <f t="shared" ref="B21:C21" si="1">C4</f>
        <v>435.36</v>
      </c>
      <c r="C21" s="271">
        <f t="shared" si="1"/>
        <v>621</v>
      </c>
      <c r="D21" s="271">
        <f>E4</f>
        <v>546.28</v>
      </c>
      <c r="E21" s="271">
        <f>F4</f>
        <v>521.26</v>
      </c>
      <c r="F21" s="271">
        <f>G4</f>
        <v>650.63</v>
      </c>
      <c r="G21" s="271">
        <f>H4</f>
        <v>818.97</v>
      </c>
      <c r="H21" s="272">
        <f>J4</f>
        <v>789.28</v>
      </c>
      <c r="I21" s="73">
        <f>K4</f>
        <v>414.55</v>
      </c>
      <c r="M21" s="74"/>
      <c r="N21" s="74"/>
      <c r="O21" s="74"/>
      <c r="P21" s="74"/>
      <c r="Q21" s="74"/>
      <c r="R21" s="74"/>
      <c r="S21" s="74"/>
    </row>
    <row r="22" spans="1:19">
      <c r="A22" s="75" t="s">
        <v>62</v>
      </c>
      <c r="B22" s="76">
        <f t="shared" ref="B22:C22" si="2">C7</f>
        <v>-3.5500000000000003</v>
      </c>
      <c r="C22" s="76">
        <f t="shared" si="2"/>
        <v>-2.83</v>
      </c>
      <c r="D22" s="76">
        <f>E7</f>
        <v>-40.090000000000003</v>
      </c>
      <c r="E22" s="76">
        <f>F7</f>
        <v>-97.84</v>
      </c>
      <c r="F22" s="76">
        <f>G7</f>
        <v>-292.22000000000003</v>
      </c>
      <c r="G22" s="76">
        <f>H7</f>
        <v>-413.29</v>
      </c>
      <c r="H22" s="77">
        <f>J7</f>
        <v>-827.46</v>
      </c>
      <c r="I22" s="78">
        <f>K7</f>
        <v>-283.2</v>
      </c>
      <c r="M22" s="74"/>
      <c r="N22" s="74"/>
      <c r="O22" s="74"/>
      <c r="P22" s="74"/>
      <c r="Q22" s="74"/>
      <c r="R22" s="74"/>
      <c r="S22" s="74"/>
    </row>
    <row r="23" spans="1:19">
      <c r="A23" s="79" t="s">
        <v>223</v>
      </c>
      <c r="B23" s="80">
        <f t="shared" ref="B23:C23" si="3">C9</f>
        <v>0.18</v>
      </c>
      <c r="C23" s="80">
        <f t="shared" si="3"/>
        <v>0.19</v>
      </c>
      <c r="D23" s="80">
        <f>E9</f>
        <v>1</v>
      </c>
      <c r="E23" s="80">
        <f>F9</f>
        <v>8.1999999999999993</v>
      </c>
      <c r="F23" s="80">
        <f>G9</f>
        <v>11.41</v>
      </c>
      <c r="G23" s="80">
        <f>H9</f>
        <v>12.3</v>
      </c>
      <c r="H23" s="81">
        <f>J9</f>
        <v>23.46</v>
      </c>
      <c r="I23" s="82">
        <f>K9</f>
        <v>29.240000000000002</v>
      </c>
      <c r="M23" s="74"/>
      <c r="N23" s="74"/>
      <c r="O23" s="74"/>
      <c r="P23" s="74"/>
      <c r="Q23" s="74"/>
      <c r="R23" s="74"/>
      <c r="S23" s="74"/>
    </row>
    <row r="24" spans="1:19">
      <c r="A24" s="60"/>
      <c r="B24" s="61"/>
      <c r="C24" s="61"/>
      <c r="G24" s="60"/>
      <c r="M24" s="74"/>
      <c r="N24" s="74"/>
      <c r="O24" s="74"/>
      <c r="P24" s="74"/>
      <c r="Q24" s="74"/>
      <c r="R24" s="74"/>
      <c r="S24" s="74"/>
    </row>
    <row r="25" spans="1:19">
      <c r="B25" s="294">
        <v>2010</v>
      </c>
      <c r="C25" s="270">
        <v>2011</v>
      </c>
      <c r="D25" s="67">
        <v>2012</v>
      </c>
      <c r="E25" s="67">
        <v>2013</v>
      </c>
      <c r="F25" s="67">
        <v>2014</v>
      </c>
      <c r="G25" s="67">
        <v>2015</v>
      </c>
      <c r="H25" s="68">
        <v>2016</v>
      </c>
      <c r="I25" s="69" t="s">
        <v>60</v>
      </c>
      <c r="Q25" s="74"/>
      <c r="R25" s="74"/>
      <c r="S25" s="74"/>
    </row>
    <row r="26" spans="1:19">
      <c r="A26" s="318" t="s">
        <v>224</v>
      </c>
      <c r="B26" s="319">
        <f t="shared" ref="B26" si="4">(C14-B14-B22)</f>
        <v>-194.81000000000012</v>
      </c>
      <c r="C26" s="274">
        <f>(D14-C14-C22)</f>
        <v>-127.63999999999992</v>
      </c>
      <c r="D26" s="274">
        <f>(E14-D14-D22)</f>
        <v>24.989999999999981</v>
      </c>
      <c r="E26" s="274">
        <f>(F14-E14-E22)</f>
        <v>117.16999999999993</v>
      </c>
      <c r="F26" s="274">
        <f>(G14-F14-F22)</f>
        <v>664.11000000000013</v>
      </c>
      <c r="G26" s="274">
        <f>(H14-G14-G22)</f>
        <v>1292.26</v>
      </c>
      <c r="H26" s="275">
        <f>(J14-H14-H22)</f>
        <v>1007.1300000000001</v>
      </c>
      <c r="I26" s="84">
        <f>(K14-J14-I22)</f>
        <v>259.16999999999979</v>
      </c>
      <c r="Q26" s="74"/>
      <c r="R26" s="74"/>
      <c r="S26" s="74"/>
    </row>
    <row r="27" spans="1:19">
      <c r="A27" s="318" t="s">
        <v>225</v>
      </c>
      <c r="B27" s="302">
        <f t="shared" ref="B27:C27" si="5">(C14-B14-B22)/B15</f>
        <v>-4.7076171279838274E-3</v>
      </c>
      <c r="C27" s="85">
        <f t="shared" si="5"/>
        <v>-2.5750790690899504E-3</v>
      </c>
      <c r="D27" s="85">
        <f>(E14-D14-D22)/D15</f>
        <v>4.4397423563679353E-4</v>
      </c>
      <c r="E27" s="85">
        <f>(F14-E14-E22)/E15</f>
        <v>1.8212767465534149E-3</v>
      </c>
      <c r="F27" s="85">
        <f>(G14-F14-F22)/F15</f>
        <v>9.1921990534433694E-3</v>
      </c>
      <c r="G27" s="85">
        <f>(H14-G14-G22)/G15</f>
        <v>1.5957635322108352E-2</v>
      </c>
      <c r="H27" s="86">
        <f>(J14-H14-H22)/H15</f>
        <v>1.1303471030822059E-2</v>
      </c>
      <c r="I27" s="87">
        <f>(K14-J14-I22)/J15*2</f>
        <v>5.3329141133739598E-3</v>
      </c>
      <c r="K27" s="365"/>
      <c r="L27" s="365"/>
      <c r="M27" s="365"/>
      <c r="N27" s="365"/>
      <c r="O27" s="365"/>
      <c r="P27" s="365"/>
      <c r="Q27" s="74"/>
      <c r="R27" s="74"/>
      <c r="S27" s="74"/>
    </row>
    <row r="28" spans="1:19">
      <c r="M28" s="74"/>
      <c r="N28" s="74"/>
      <c r="O28" s="74"/>
      <c r="P28" s="74"/>
      <c r="Q28" s="74"/>
      <c r="R28" s="74"/>
      <c r="S28" s="74"/>
    </row>
    <row r="29" spans="1:19">
      <c r="M29" s="74"/>
      <c r="N29" s="74"/>
      <c r="O29" s="74"/>
      <c r="P29" s="74"/>
      <c r="Q29" s="74"/>
      <c r="R29" s="74"/>
      <c r="S29" s="74"/>
    </row>
    <row r="30" spans="1:19" ht="15">
      <c r="A30" s="239" t="s">
        <v>226</v>
      </c>
      <c r="M30" s="74"/>
      <c r="N30" s="74"/>
      <c r="O30" s="74"/>
      <c r="P30" s="74"/>
      <c r="Q30" s="74"/>
      <c r="R30" s="74"/>
      <c r="S30" s="74"/>
    </row>
    <row r="31" spans="1:19">
      <c r="J31" s="395"/>
      <c r="K31" s="395"/>
      <c r="L31" s="395"/>
    </row>
    <row r="32" spans="1:19">
      <c r="A32" s="391"/>
      <c r="B32" s="18">
        <v>2010</v>
      </c>
      <c r="C32" s="18">
        <v>2011</v>
      </c>
      <c r="D32" s="18">
        <v>2012</v>
      </c>
      <c r="E32" s="18">
        <v>2013</v>
      </c>
      <c r="F32" s="18">
        <v>2014</v>
      </c>
      <c r="G32" s="18">
        <v>2015</v>
      </c>
      <c r="H32" s="18">
        <v>2016</v>
      </c>
      <c r="I32" s="163" t="s">
        <v>6</v>
      </c>
      <c r="J32" s="395"/>
      <c r="K32" s="395"/>
      <c r="L32" s="395"/>
    </row>
    <row r="33" spans="1:12">
      <c r="A33" s="392" t="s">
        <v>349</v>
      </c>
      <c r="B33" s="305">
        <f>-B22/B14</f>
        <v>2.9524039221230695E-3</v>
      </c>
      <c r="C33" s="305">
        <f t="shared" ref="C33:K33" si="6">-C22/C14</f>
        <v>2.8185847318360643E-3</v>
      </c>
      <c r="D33" s="305">
        <f t="shared" si="6"/>
        <v>4.5891618397857097E-2</v>
      </c>
      <c r="E33" s="305">
        <f t="shared" si="6"/>
        <v>0.1139688752213214</v>
      </c>
      <c r="F33" s="305">
        <f t="shared" si="6"/>
        <v>0.33289664050307022</v>
      </c>
      <c r="G33" s="305">
        <f t="shared" si="6"/>
        <v>0.33071137072897494</v>
      </c>
      <c r="H33" s="305">
        <f>-H22/H14</f>
        <v>0.38872159611400547</v>
      </c>
      <c r="I33" s="306">
        <f>-I22*2/J14</f>
        <v>0.24537113250214437</v>
      </c>
      <c r="J33" s="396"/>
      <c r="K33" s="396"/>
      <c r="L33" s="396"/>
    </row>
    <row r="34" spans="1:12">
      <c r="J34" s="395"/>
      <c r="K34" s="395"/>
      <c r="L34" s="395"/>
    </row>
    <row r="35" spans="1:12">
      <c r="J35" s="395"/>
      <c r="K35" s="395"/>
      <c r="L35" s="395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3"/>
  <sheetViews>
    <sheetView showGridLines="0" workbookViewId="0">
      <pane xSplit="1" topLeftCell="C1" activePane="topRight" state="frozenSplit"/>
      <selection activeCell="L35" sqref="L35"/>
      <selection pane="topRight" activeCell="K17" sqref="K17"/>
    </sheetView>
  </sheetViews>
  <sheetFormatPr defaultColWidth="9.125" defaultRowHeight="12.75"/>
  <cols>
    <col min="1" max="1" width="17.25" style="59" customWidth="1"/>
    <col min="2" max="2" width="13.62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7" width="9.125" style="200"/>
    <col min="8" max="8" width="9.625" style="200" bestFit="1" customWidth="1"/>
    <col min="9" max="16384" width="9.125" style="200"/>
  </cols>
  <sheetData>
    <row r="1" spans="1:16">
      <c r="A1" s="59" t="str">
        <f>[1]!to_tradecode(A2)</f>
        <v>601988</v>
      </c>
      <c r="B1" s="166" t="s">
        <v>149</v>
      </c>
    </row>
    <row r="2" spans="1:16">
      <c r="A2" s="62" t="s">
        <v>142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6">
      <c r="A3" s="167" t="s">
        <v>48</v>
      </c>
      <c r="B3" s="200"/>
      <c r="C3" s="64">
        <v>942.93000000000006</v>
      </c>
      <c r="D3" s="64">
        <v>960.68000000000006</v>
      </c>
      <c r="E3" s="64">
        <v>1064.94</v>
      </c>
      <c r="F3" s="64">
        <v>1129.5</v>
      </c>
      <c r="G3" s="64">
        <v>1228.56</v>
      </c>
      <c r="H3" s="64">
        <v>1396.76</v>
      </c>
      <c r="I3" s="64">
        <v>1546.56</v>
      </c>
      <c r="J3" s="64">
        <v>1680.49</v>
      </c>
      <c r="K3" s="64">
        <v>1885.31</v>
      </c>
      <c r="L3" s="64">
        <v>2006.65</v>
      </c>
      <c r="M3" s="64">
        <v>2006.65</v>
      </c>
      <c r="N3" s="64">
        <v>2377.16</v>
      </c>
    </row>
    <row r="4" spans="1:16">
      <c r="A4" s="167" t="s">
        <v>143</v>
      </c>
      <c r="B4" s="200"/>
      <c r="C4" s="64">
        <v>220.77</v>
      </c>
      <c r="D4" s="64">
        <v>344.6</v>
      </c>
      <c r="E4" s="64">
        <v>417.68</v>
      </c>
      <c r="F4" s="64">
        <v>455.8</v>
      </c>
      <c r="G4" s="64">
        <v>534.91</v>
      </c>
      <c r="H4" s="64">
        <v>524.9</v>
      </c>
      <c r="I4" s="64">
        <v>637.5</v>
      </c>
      <c r="J4" s="64">
        <v>840.54</v>
      </c>
      <c r="K4" s="64">
        <v>1037.77</v>
      </c>
      <c r="L4" s="64">
        <v>826.27</v>
      </c>
      <c r="M4" s="64">
        <v>1274.3599999999999</v>
      </c>
      <c r="N4" s="64">
        <v>516.71</v>
      </c>
    </row>
    <row r="5" spans="1:16">
      <c r="A5" s="167" t="s">
        <v>144</v>
      </c>
      <c r="B5" s="200"/>
      <c r="C5" s="64">
        <v>-138.25</v>
      </c>
      <c r="D5" s="64">
        <v>-176.68</v>
      </c>
      <c r="E5" s="64">
        <v>-263.23</v>
      </c>
      <c r="F5" s="64">
        <v>-300.16000000000003</v>
      </c>
      <c r="G5" s="64">
        <v>-342.19</v>
      </c>
      <c r="H5" s="64">
        <v>-334.04</v>
      </c>
      <c r="I5" s="64">
        <v>-408.12</v>
      </c>
      <c r="J5" s="64">
        <v>-374.48</v>
      </c>
      <c r="K5" s="64">
        <v>-479.05</v>
      </c>
      <c r="L5" s="64">
        <v>-334.91</v>
      </c>
      <c r="M5" s="64">
        <v>-406.41</v>
      </c>
      <c r="N5" s="64">
        <v>-250.82</v>
      </c>
    </row>
    <row r="6" spans="1:16">
      <c r="A6" s="167" t="s">
        <v>51</v>
      </c>
      <c r="B6" s="200"/>
      <c r="C6" s="64">
        <v>-67.98</v>
      </c>
      <c r="D6" s="64">
        <v>-55.75</v>
      </c>
      <c r="E6" s="64">
        <v>-90.38</v>
      </c>
      <c r="F6" s="64">
        <v>-55.17</v>
      </c>
      <c r="G6" s="64">
        <v>-18.09</v>
      </c>
      <c r="H6" s="64">
        <v>-42.09</v>
      </c>
      <c r="I6" s="64">
        <v>-90.96</v>
      </c>
      <c r="J6" s="64">
        <v>-257.31</v>
      </c>
      <c r="K6" s="64">
        <v>-451.97</v>
      </c>
      <c r="L6" s="64">
        <v>-291.81</v>
      </c>
      <c r="M6" s="64">
        <v>-524.76</v>
      </c>
      <c r="N6" s="64">
        <v>-403.92</v>
      </c>
    </row>
    <row r="7" spans="1:16">
      <c r="A7" s="167" t="s">
        <v>52</v>
      </c>
      <c r="B7" s="200"/>
      <c r="C7" s="64">
        <f>SUM(C8:C10)</f>
        <v>3.2100000000000009</v>
      </c>
      <c r="D7" s="64">
        <f t="shared" ref="D7:G7" si="0">SUM(D8:D10)</f>
        <v>-7.91</v>
      </c>
      <c r="E7" s="64">
        <f t="shared" si="0"/>
        <v>0.48999999999999994</v>
      </c>
      <c r="F7" s="64">
        <f t="shared" si="0"/>
        <v>-1.4100000000000001</v>
      </c>
      <c r="G7" s="64">
        <f t="shared" si="0"/>
        <v>-6.43</v>
      </c>
      <c r="H7" s="64">
        <v>1.0300000000000002</v>
      </c>
      <c r="I7" s="64">
        <v>-4.4899999999999993</v>
      </c>
      <c r="J7" s="64">
        <v>-3.9299999999999993</v>
      </c>
      <c r="K7" s="64">
        <v>14.590000000000002</v>
      </c>
      <c r="L7" s="64">
        <v>10.88</v>
      </c>
      <c r="M7" s="64">
        <v>27.32</v>
      </c>
      <c r="N7" s="367">
        <f>SUM(N8:N10)</f>
        <v>2.4200000000000008</v>
      </c>
    </row>
    <row r="8" spans="1:16">
      <c r="A8" s="167" t="s">
        <v>53</v>
      </c>
      <c r="B8" s="200"/>
      <c r="C8" s="64">
        <v>16.71</v>
      </c>
      <c r="D8" s="64">
        <v>9.02</v>
      </c>
      <c r="E8" s="64">
        <v>6.49</v>
      </c>
      <c r="F8" s="64">
        <v>7.66</v>
      </c>
      <c r="G8" s="64">
        <v>6.1000000000000005</v>
      </c>
      <c r="H8" s="64">
        <v>6.66</v>
      </c>
      <c r="I8" s="64">
        <v>7.28</v>
      </c>
      <c r="J8" s="64">
        <v>7.54</v>
      </c>
      <c r="K8" s="64">
        <v>13.22</v>
      </c>
      <c r="L8" s="64">
        <v>15.53</v>
      </c>
      <c r="M8" s="64">
        <v>33.43</v>
      </c>
      <c r="N8" s="64">
        <v>18.96</v>
      </c>
    </row>
    <row r="9" spans="1:16">
      <c r="A9" s="167" t="s">
        <v>145</v>
      </c>
      <c r="B9" s="200"/>
      <c r="C9" s="64">
        <v>-2.84</v>
      </c>
      <c r="D9" s="64">
        <v>-7.66</v>
      </c>
      <c r="E9" s="64">
        <v>-6.32</v>
      </c>
      <c r="F9" s="64">
        <v>-3.95</v>
      </c>
      <c r="G9" s="64">
        <v>-3.14</v>
      </c>
      <c r="H9" s="64">
        <v>-3.63</v>
      </c>
      <c r="I9" s="64">
        <v>-5</v>
      </c>
      <c r="J9" s="64">
        <v>-8.7899999999999991</v>
      </c>
      <c r="K9" s="64">
        <v>-13.29</v>
      </c>
      <c r="L9" s="64">
        <v>-11.77</v>
      </c>
      <c r="M9" s="64">
        <v>-24.8</v>
      </c>
      <c r="N9" s="64">
        <v>-10.35</v>
      </c>
    </row>
    <row r="10" spans="1:16">
      <c r="A10" s="167" t="s">
        <v>146</v>
      </c>
      <c r="B10" s="200"/>
      <c r="C10" s="64">
        <v>-10.66</v>
      </c>
      <c r="D10" s="64">
        <v>-9.27</v>
      </c>
      <c r="E10" s="64">
        <v>0.32</v>
      </c>
      <c r="F10" s="64">
        <v>-5.12</v>
      </c>
      <c r="G10" s="64">
        <v>-9.39</v>
      </c>
      <c r="H10" s="64">
        <v>-2</v>
      </c>
      <c r="I10" s="64">
        <v>-6.77</v>
      </c>
      <c r="J10" s="64">
        <v>-2.68</v>
      </c>
      <c r="K10" s="64">
        <v>14.66</v>
      </c>
      <c r="L10" s="64">
        <v>7.12</v>
      </c>
      <c r="M10" s="64">
        <v>18.690000000000001</v>
      </c>
      <c r="N10" s="64">
        <v>-6.19</v>
      </c>
    </row>
    <row r="11" spans="1:16">
      <c r="A11" s="62" t="s">
        <v>57</v>
      </c>
      <c r="B11" s="200"/>
      <c r="C11" s="64">
        <v>960.68000000000006</v>
      </c>
      <c r="D11" s="64">
        <v>1064.94</v>
      </c>
      <c r="E11" s="64">
        <v>1129.5</v>
      </c>
      <c r="F11" s="64">
        <v>1228.56</v>
      </c>
      <c r="G11" s="64">
        <v>1396.76</v>
      </c>
      <c r="H11" s="64">
        <v>1546.56</v>
      </c>
      <c r="I11" s="64">
        <v>1680.49</v>
      </c>
      <c r="J11" s="64">
        <v>1885.31</v>
      </c>
      <c r="K11" s="64">
        <v>2006.65</v>
      </c>
      <c r="L11" s="64">
        <v>2217.08</v>
      </c>
      <c r="M11" s="64">
        <v>2377.16</v>
      </c>
      <c r="N11" s="64">
        <v>2241.5500000000002</v>
      </c>
    </row>
    <row r="12" spans="1:16">
      <c r="A12" s="62" t="s">
        <v>58</v>
      </c>
      <c r="B12" s="168">
        <v>982.2</v>
      </c>
      <c r="C12" s="168">
        <v>888.02</v>
      </c>
      <c r="D12" s="168">
        <v>874.9</v>
      </c>
      <c r="E12" s="168">
        <v>747.18</v>
      </c>
      <c r="F12" s="168">
        <v>624.70000000000005</v>
      </c>
      <c r="G12" s="168">
        <v>632.74</v>
      </c>
      <c r="H12" s="168">
        <v>654.48</v>
      </c>
      <c r="I12" s="168">
        <v>732.71</v>
      </c>
      <c r="J12" s="168">
        <v>1004.94</v>
      </c>
      <c r="K12" s="168">
        <v>1308.97</v>
      </c>
      <c r="L12" s="168">
        <v>1429.42</v>
      </c>
      <c r="M12" s="168">
        <v>1460.03</v>
      </c>
      <c r="N12" s="64">
        <v>1470.25</v>
      </c>
    </row>
    <row r="13" spans="1:16">
      <c r="A13" s="62" t="s">
        <v>86</v>
      </c>
      <c r="B13" s="168">
        <v>24318.06</v>
      </c>
      <c r="C13" s="168">
        <v>28505.61</v>
      </c>
      <c r="D13" s="168">
        <v>32961.46</v>
      </c>
      <c r="E13" s="168">
        <v>49103.58</v>
      </c>
      <c r="F13" s="168">
        <v>56606.21</v>
      </c>
      <c r="G13" s="168">
        <v>63428.14</v>
      </c>
      <c r="H13" s="168">
        <v>68646.960000000006</v>
      </c>
      <c r="I13" s="168">
        <v>76077.91</v>
      </c>
      <c r="J13" s="168">
        <v>84832.75</v>
      </c>
      <c r="K13" s="168">
        <v>91358.6</v>
      </c>
      <c r="L13" s="168">
        <v>97282.75</v>
      </c>
      <c r="M13" s="168">
        <v>99733.62</v>
      </c>
      <c r="N13" s="64">
        <v>106507.03</v>
      </c>
    </row>
    <row r="14" spans="1:16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6">
      <c r="A15" s="200"/>
      <c r="B15" s="342" t="s">
        <v>333</v>
      </c>
      <c r="C15" s="342"/>
      <c r="D15" s="342"/>
      <c r="E15" s="342"/>
      <c r="F15" s="342"/>
      <c r="G15" s="342"/>
      <c r="H15" s="342"/>
    </row>
    <row r="16" spans="1:16">
      <c r="A16" s="200"/>
      <c r="B16" s="200"/>
      <c r="C16" s="200"/>
      <c r="D16" s="200"/>
      <c r="E16" s="200"/>
      <c r="F16" s="200"/>
      <c r="I16" s="169"/>
      <c r="J16" s="169"/>
      <c r="K16" s="169"/>
      <c r="L16" s="169"/>
      <c r="M16" s="169"/>
      <c r="N16" s="169"/>
      <c r="O16" s="169"/>
      <c r="P16" s="169"/>
    </row>
    <row r="17" spans="1:12">
      <c r="A17" s="200"/>
      <c r="B17" s="200"/>
      <c r="C17" s="200"/>
      <c r="D17" s="200"/>
      <c r="E17" s="200"/>
      <c r="F17" s="200"/>
    </row>
    <row r="18" spans="1:12">
      <c r="A18" s="200"/>
      <c r="B18" s="200"/>
      <c r="C18" s="200"/>
      <c r="D18" s="200"/>
      <c r="E18" s="200"/>
      <c r="F18" s="200"/>
    </row>
    <row r="20" spans="1:12">
      <c r="A20" s="170" t="s">
        <v>59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126</v>
      </c>
    </row>
    <row r="21" spans="1:12">
      <c r="A21" s="172" t="s">
        <v>61</v>
      </c>
      <c r="B21" s="271">
        <f t="shared" ref="B21:F21" si="1">C4</f>
        <v>220.77</v>
      </c>
      <c r="C21" s="271">
        <f t="shared" si="1"/>
        <v>344.6</v>
      </c>
      <c r="D21" s="271">
        <f t="shared" si="1"/>
        <v>417.68</v>
      </c>
      <c r="E21" s="271">
        <f t="shared" si="1"/>
        <v>455.8</v>
      </c>
      <c r="F21" s="271">
        <f t="shared" si="1"/>
        <v>534.91</v>
      </c>
      <c r="G21" s="271">
        <f>H4</f>
        <v>524.9</v>
      </c>
      <c r="H21" s="271">
        <f>I4</f>
        <v>637.5</v>
      </c>
      <c r="I21" s="271">
        <f>J4</f>
        <v>840.54</v>
      </c>
      <c r="J21" s="271">
        <f>K4</f>
        <v>1037.77</v>
      </c>
      <c r="K21" s="272">
        <f>M4</f>
        <v>1274.3599999999999</v>
      </c>
      <c r="L21" s="157">
        <f>N4</f>
        <v>516.71</v>
      </c>
    </row>
    <row r="22" spans="1:12">
      <c r="A22" s="174" t="s">
        <v>62</v>
      </c>
      <c r="B22" s="76">
        <f t="shared" ref="B22:F22" si="2">C6</f>
        <v>-67.98</v>
      </c>
      <c r="C22" s="76">
        <f t="shared" si="2"/>
        <v>-55.75</v>
      </c>
      <c r="D22" s="76">
        <f t="shared" si="2"/>
        <v>-90.38</v>
      </c>
      <c r="E22" s="76">
        <f t="shared" si="2"/>
        <v>-55.17</v>
      </c>
      <c r="F22" s="76">
        <f t="shared" si="2"/>
        <v>-18.09</v>
      </c>
      <c r="G22" s="76">
        <f>H6</f>
        <v>-42.09</v>
      </c>
      <c r="H22" s="76">
        <f>I6</f>
        <v>-90.96</v>
      </c>
      <c r="I22" s="76">
        <f>J6</f>
        <v>-257.31</v>
      </c>
      <c r="J22" s="76">
        <f>K6</f>
        <v>-451.97</v>
      </c>
      <c r="K22" s="77">
        <f>M6</f>
        <v>-524.76</v>
      </c>
      <c r="L22" s="158">
        <f>N6</f>
        <v>-403.92</v>
      </c>
    </row>
    <row r="23" spans="1:12">
      <c r="A23" s="176" t="s">
        <v>63</v>
      </c>
      <c r="B23" s="80">
        <f t="shared" ref="B23:F23" si="3">C8</f>
        <v>16.71</v>
      </c>
      <c r="C23" s="80">
        <f>D8</f>
        <v>9.02</v>
      </c>
      <c r="D23" s="80">
        <f t="shared" si="3"/>
        <v>6.49</v>
      </c>
      <c r="E23" s="80">
        <f t="shared" si="3"/>
        <v>7.66</v>
      </c>
      <c r="F23" s="80">
        <f t="shared" si="3"/>
        <v>6.1000000000000005</v>
      </c>
      <c r="G23" s="80">
        <f>H8</f>
        <v>6.66</v>
      </c>
      <c r="H23" s="80">
        <f>I8</f>
        <v>7.28</v>
      </c>
      <c r="I23" s="80">
        <f>J8</f>
        <v>7.54</v>
      </c>
      <c r="J23" s="80">
        <f>K8</f>
        <v>13.22</v>
      </c>
      <c r="K23" s="81">
        <f>M8</f>
        <v>33.43</v>
      </c>
      <c r="L23" s="159">
        <f>N8</f>
        <v>18.96</v>
      </c>
    </row>
    <row r="24" spans="1:12">
      <c r="A24" s="60"/>
      <c r="B24" s="200"/>
      <c r="C24" s="200"/>
      <c r="D24" s="200"/>
      <c r="E24" s="200"/>
      <c r="F24" s="200"/>
      <c r="G24" s="60"/>
      <c r="H24" s="60"/>
      <c r="I24" s="60"/>
      <c r="J24" s="60"/>
      <c r="L24" s="155"/>
    </row>
    <row r="25" spans="1:12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227</v>
      </c>
    </row>
    <row r="26" spans="1:12">
      <c r="A26" s="179" t="s">
        <v>228</v>
      </c>
      <c r="B26" s="274">
        <f t="shared" ref="B26:F26" si="4">(C12-B12-B22)</f>
        <v>-26.20000000000006</v>
      </c>
      <c r="C26" s="274">
        <f t="shared" si="4"/>
        <v>42.629999999999995</v>
      </c>
      <c r="D26" s="274">
        <f t="shared" si="4"/>
        <v>-37.340000000000032</v>
      </c>
      <c r="E26" s="274">
        <f t="shared" si="4"/>
        <v>-67.309999999999903</v>
      </c>
      <c r="F26" s="274">
        <f t="shared" si="4"/>
        <v>26.129999999999963</v>
      </c>
      <c r="G26" s="274">
        <f>(H12-G12-G22)</f>
        <v>63.830000000000013</v>
      </c>
      <c r="H26" s="274">
        <f>(I12-H12-H22)</f>
        <v>169.19</v>
      </c>
      <c r="I26" s="274">
        <f>(J12-I12-I22)</f>
        <v>529.54</v>
      </c>
      <c r="J26" s="274">
        <f>(K12-J12-J22)</f>
        <v>756</v>
      </c>
      <c r="K26" s="275">
        <f>(M12-K12-K22)</f>
        <v>675.81999999999994</v>
      </c>
      <c r="L26" s="84">
        <f>(N12-M12-L22)</f>
        <v>414.14000000000004</v>
      </c>
    </row>
    <row r="27" spans="1:12">
      <c r="A27" s="179" t="s">
        <v>229</v>
      </c>
      <c r="B27" s="85">
        <f>(C12-B12-B22)/B13</f>
        <v>-1.0773885745820209E-3</v>
      </c>
      <c r="C27" s="85">
        <f t="shared" ref="B27:F27" si="5">(D12-C12-C22)/C13</f>
        <v>1.4954950972808508E-3</v>
      </c>
      <c r="D27" s="85">
        <f t="shared" si="5"/>
        <v>-1.1328381691830408E-3</v>
      </c>
      <c r="E27" s="85">
        <f t="shared" si="5"/>
        <v>-1.3707758171603761E-3</v>
      </c>
      <c r="F27" s="85">
        <f t="shared" si="5"/>
        <v>4.6161013076127095E-4</v>
      </c>
      <c r="G27" s="85">
        <f>(H12-G12-G22)/G13</f>
        <v>1.0063356737246279E-3</v>
      </c>
      <c r="H27" s="85">
        <f>(I12-H12-H22)/H13</f>
        <v>2.4646393664045719E-3</v>
      </c>
      <c r="I27" s="85">
        <f>(J12-I12-I22)/I13</f>
        <v>6.9604961545342127E-3</v>
      </c>
      <c r="J27" s="85">
        <f>(K12-J12-J22)/J13</f>
        <v>8.9116526341536731E-3</v>
      </c>
      <c r="K27" s="86">
        <f>(M12-K12-K22)/K13</f>
        <v>7.3974426052938625E-3</v>
      </c>
      <c r="L27" s="87">
        <f>L26/M13*2</f>
        <v>8.3049226529629643E-3</v>
      </c>
    </row>
    <row r="30" spans="1:12">
      <c r="G30" s="368"/>
      <c r="H30" s="368"/>
      <c r="I30" s="368"/>
      <c r="J30" s="368"/>
      <c r="K30" s="368"/>
      <c r="L30" s="368"/>
    </row>
    <row r="31" spans="1:12" ht="15">
      <c r="A31" s="239" t="s">
        <v>230</v>
      </c>
    </row>
    <row r="33" spans="1:12" s="13" customFormat="1" ht="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4"/>
    </row>
    <row r="34" spans="1:12" s="13" customFormat="1" ht="12">
      <c r="A34" s="397"/>
      <c r="B34" s="396"/>
      <c r="C34" s="396"/>
      <c r="D34" s="396"/>
      <c r="E34" s="396"/>
      <c r="F34" s="396"/>
      <c r="G34" s="396"/>
      <c r="H34" s="396"/>
      <c r="I34" s="396"/>
      <c r="J34" s="396"/>
      <c r="K34" s="396"/>
      <c r="L34" s="396"/>
    </row>
    <row r="35" spans="1:12">
      <c r="B35" s="204"/>
      <c r="C35" s="205"/>
      <c r="D35" s="205"/>
      <c r="E35" s="205"/>
      <c r="F35" s="205"/>
      <c r="G35" s="205"/>
      <c r="H35" s="206"/>
      <c r="I35" s="206"/>
    </row>
    <row r="36" spans="1:12">
      <c r="B36" s="207"/>
      <c r="C36" s="208"/>
      <c r="D36" s="208"/>
      <c r="E36" s="208"/>
      <c r="F36" s="208"/>
      <c r="G36" s="208"/>
      <c r="H36" s="206"/>
      <c r="I36" s="206"/>
    </row>
    <row r="37" spans="1:12">
      <c r="B37" s="204"/>
      <c r="C37" s="205"/>
      <c r="D37" s="205"/>
      <c r="E37" s="205"/>
      <c r="F37" s="205"/>
      <c r="G37" s="205"/>
      <c r="H37" s="206"/>
      <c r="I37" s="206"/>
    </row>
    <row r="38" spans="1:12">
      <c r="B38" s="204"/>
      <c r="C38" s="205"/>
      <c r="D38" s="205"/>
      <c r="E38" s="205"/>
      <c r="F38" s="205"/>
      <c r="G38" s="205"/>
      <c r="H38" s="206"/>
      <c r="I38" s="206"/>
    </row>
    <row r="39" spans="1:12">
      <c r="B39" s="204"/>
      <c r="C39" s="205"/>
      <c r="D39" s="205"/>
      <c r="E39" s="205"/>
      <c r="F39" s="205"/>
      <c r="G39" s="205"/>
      <c r="H39" s="206"/>
      <c r="I39" s="206"/>
    </row>
    <row r="40" spans="1:12">
      <c r="B40" s="204"/>
      <c r="C40" s="205"/>
      <c r="D40" s="205"/>
      <c r="E40" s="205"/>
      <c r="F40" s="205"/>
      <c r="G40" s="205"/>
      <c r="H40" s="206"/>
      <c r="I40" s="206"/>
    </row>
    <row r="41" spans="1:12">
      <c r="B41" s="204"/>
      <c r="C41" s="205"/>
      <c r="D41" s="205"/>
      <c r="E41" s="205"/>
      <c r="F41" s="205"/>
      <c r="G41" s="205"/>
      <c r="H41" s="206"/>
      <c r="I41" s="206"/>
    </row>
    <row r="42" spans="1:12">
      <c r="B42" s="204"/>
      <c r="C42" s="205"/>
      <c r="D42" s="205"/>
      <c r="E42" s="205"/>
      <c r="F42" s="205"/>
      <c r="G42" s="205"/>
      <c r="H42" s="206"/>
      <c r="I42" s="206"/>
    </row>
    <row r="43" spans="1:12">
      <c r="B43" s="204"/>
      <c r="C43" s="205"/>
      <c r="D43" s="205"/>
      <c r="E43" s="205"/>
      <c r="F43" s="205"/>
      <c r="G43" s="205"/>
      <c r="H43" s="206"/>
      <c r="I43" s="206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3"/>
  <sheetViews>
    <sheetView showGridLines="0" topLeftCell="A6" workbookViewId="0">
      <pane xSplit="1" topLeftCell="B1" activePane="topRight" state="frozenSplit"/>
      <selection activeCell="A33" sqref="A33:XFD34"/>
      <selection pane="topRight" activeCell="A33" sqref="A33:XFD34"/>
    </sheetView>
  </sheetViews>
  <sheetFormatPr defaultColWidth="9.125" defaultRowHeight="12"/>
  <cols>
    <col min="1" max="1" width="17.25" style="1" customWidth="1"/>
    <col min="2" max="2" width="11.37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.5" style="1" bestFit="1" customWidth="1"/>
    <col min="8" max="8" width="10.5" style="1" bestFit="1" customWidth="1"/>
    <col min="9" max="9" width="9.5" style="1" bestFit="1" customWidth="1"/>
    <col min="10" max="16384" width="9.125" style="1"/>
  </cols>
  <sheetData>
    <row r="1" spans="1:14">
      <c r="A1" s="1" t="str">
        <f>[1]!to_tradecode(A2)</f>
        <v>601328</v>
      </c>
      <c r="B1" s="166" t="s">
        <v>231</v>
      </c>
    </row>
    <row r="2" spans="1:14">
      <c r="A2" s="2" t="s">
        <v>232</v>
      </c>
      <c r="B2" s="276">
        <v>39082</v>
      </c>
      <c r="C2" s="3">
        <v>39447</v>
      </c>
      <c r="D2" s="276">
        <v>39813</v>
      </c>
      <c r="E2" s="3">
        <v>40178</v>
      </c>
      <c r="F2" s="276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4">
      <c r="A3" s="2" t="s">
        <v>15</v>
      </c>
      <c r="C3" s="1">
        <v>169.99</v>
      </c>
      <c r="D3" s="1">
        <v>217.02</v>
      </c>
      <c r="E3" s="1">
        <v>298.14</v>
      </c>
      <c r="F3" s="1">
        <v>377.76</v>
      </c>
      <c r="G3" s="1">
        <v>464.37</v>
      </c>
      <c r="H3" s="2">
        <v>563.65</v>
      </c>
      <c r="I3" s="2">
        <v>676.71</v>
      </c>
      <c r="J3" s="2">
        <v>733.05</v>
      </c>
      <c r="K3" s="2">
        <v>769.48</v>
      </c>
      <c r="L3" s="2">
        <v>874.38</v>
      </c>
      <c r="M3" s="2">
        <v>874.38</v>
      </c>
      <c r="N3" s="1">
        <v>939.13</v>
      </c>
    </row>
    <row r="4" spans="1:14">
      <c r="A4" s="2" t="s">
        <v>121</v>
      </c>
      <c r="C4" s="1">
        <v>64.92</v>
      </c>
      <c r="D4" s="1">
        <v>107.15</v>
      </c>
      <c r="E4" s="1">
        <v>112.58</v>
      </c>
      <c r="F4" s="1">
        <v>122.46000000000001</v>
      </c>
      <c r="G4" s="1">
        <v>124.79</v>
      </c>
      <c r="H4" s="2">
        <v>184.28</v>
      </c>
      <c r="I4" s="2">
        <v>200.28</v>
      </c>
      <c r="J4" s="2">
        <v>219.55</v>
      </c>
      <c r="K4" s="2">
        <v>289.93</v>
      </c>
      <c r="L4" s="2">
        <v>158.88999999999999</v>
      </c>
      <c r="M4" s="2">
        <v>302.69</v>
      </c>
      <c r="N4" s="1">
        <v>156.24</v>
      </c>
    </row>
    <row r="5" spans="1:14">
      <c r="A5" s="2" t="s">
        <v>233</v>
      </c>
      <c r="H5" s="2">
        <v>-38.909999999999997</v>
      </c>
      <c r="I5" s="2">
        <v>-16.18</v>
      </c>
      <c r="J5" s="2">
        <v>-15.16</v>
      </c>
      <c r="K5" s="2">
        <v>-18.329999999999998</v>
      </c>
      <c r="L5" s="2">
        <v>-10.82</v>
      </c>
      <c r="M5" s="2">
        <v>-17.89</v>
      </c>
      <c r="N5" s="1">
        <v>-9.7799999999999994</v>
      </c>
    </row>
    <row r="6" spans="1:14">
      <c r="A6" s="2" t="s">
        <v>234</v>
      </c>
      <c r="C6" s="1">
        <v>-11.22</v>
      </c>
      <c r="D6" s="1">
        <v>-19.27</v>
      </c>
      <c r="E6" s="1">
        <v>-28.04</v>
      </c>
      <c r="F6" s="1">
        <v>-31.42</v>
      </c>
      <c r="G6" s="1">
        <v>-19.559999999999999</v>
      </c>
      <c r="H6" s="2">
        <v>-26.5</v>
      </c>
      <c r="I6" s="2">
        <v>-118.1</v>
      </c>
      <c r="J6" s="2">
        <v>-158.11000000000001</v>
      </c>
      <c r="K6" s="2">
        <v>-152.68</v>
      </c>
      <c r="L6" s="2">
        <v>-94.38</v>
      </c>
      <c r="M6" s="2">
        <v>-212.25</v>
      </c>
      <c r="N6" s="1">
        <v>-82.37</v>
      </c>
    </row>
    <row r="7" spans="1:14">
      <c r="A7" s="2" t="s">
        <v>41</v>
      </c>
      <c r="C7" s="1">
        <v>-5.3100000000000005</v>
      </c>
      <c r="D7" s="1">
        <v>-5.25</v>
      </c>
      <c r="E7" s="1">
        <v>-5.23</v>
      </c>
      <c r="F7" s="1">
        <v>-3.88</v>
      </c>
      <c r="G7" s="1">
        <v>-4.71</v>
      </c>
      <c r="H7" s="2">
        <v>-5.77</v>
      </c>
      <c r="I7" s="2">
        <v>-7.78</v>
      </c>
      <c r="J7" s="2">
        <v>-10.61</v>
      </c>
      <c r="K7" s="2">
        <v>-14.71</v>
      </c>
      <c r="L7" s="2">
        <v>-6.48</v>
      </c>
      <c r="M7" s="2">
        <v>-10.31</v>
      </c>
      <c r="N7" s="1">
        <v>-5.8</v>
      </c>
    </row>
    <row r="8" spans="1:14">
      <c r="A8" s="2" t="s">
        <v>42</v>
      </c>
      <c r="C8" s="1">
        <v>1.23</v>
      </c>
      <c r="D8" s="1">
        <v>0.3</v>
      </c>
      <c r="E8" s="1">
        <v>0.22</v>
      </c>
      <c r="F8" s="1">
        <v>2.38</v>
      </c>
      <c r="G8" s="1">
        <v>2.95</v>
      </c>
      <c r="H8" s="2">
        <v>3.23</v>
      </c>
      <c r="I8" s="2">
        <v>4.67</v>
      </c>
      <c r="J8" s="2">
        <v>4.41</v>
      </c>
      <c r="K8" s="2">
        <v>5</v>
      </c>
      <c r="L8" s="2">
        <v>3.07</v>
      </c>
      <c r="M8" s="2">
        <v>8.08</v>
      </c>
      <c r="N8" s="1">
        <v>3.25</v>
      </c>
    </row>
    <row r="9" spans="1:14">
      <c r="A9" s="2" t="s">
        <v>43</v>
      </c>
      <c r="C9" s="1">
        <v>-6.54</v>
      </c>
      <c r="D9" s="1">
        <v>-5.55</v>
      </c>
      <c r="E9" s="1">
        <v>-5.45</v>
      </c>
      <c r="F9" s="1">
        <v>-6.26</v>
      </c>
      <c r="G9" s="1">
        <v>2.95</v>
      </c>
      <c r="H9" s="2">
        <v>-9</v>
      </c>
      <c r="I9" s="2">
        <v>-12.45</v>
      </c>
      <c r="J9" s="2">
        <v>-15.02</v>
      </c>
      <c r="K9" s="2">
        <v>-19.71</v>
      </c>
      <c r="L9" s="2">
        <v>-9.5500000000000007</v>
      </c>
      <c r="M9" s="2">
        <v>-19.59</v>
      </c>
      <c r="N9" s="1">
        <v>-9.0500000000000007</v>
      </c>
    </row>
    <row r="10" spans="1:14">
      <c r="A10" s="2" t="s">
        <v>235</v>
      </c>
      <c r="H10" s="2"/>
      <c r="I10" s="2"/>
      <c r="J10" s="2"/>
      <c r="K10" s="2"/>
      <c r="L10" s="2"/>
      <c r="M10" s="2">
        <v>1.2</v>
      </c>
    </row>
    <row r="11" spans="1:14">
      <c r="A11" s="2" t="s">
        <v>44</v>
      </c>
      <c r="H11" s="2"/>
      <c r="I11" s="2"/>
      <c r="J11" s="2"/>
      <c r="K11" s="2"/>
      <c r="L11" s="2"/>
      <c r="M11" s="2"/>
    </row>
    <row r="12" spans="1:14">
      <c r="A12" s="2" t="s">
        <v>45</v>
      </c>
      <c r="C12" s="1">
        <v>-1.36</v>
      </c>
      <c r="D12" s="1">
        <v>-1.51</v>
      </c>
      <c r="E12" s="1">
        <v>0.31</v>
      </c>
      <c r="F12" s="1">
        <v>-0.55000000000000004</v>
      </c>
      <c r="G12" s="1">
        <v>-1.24</v>
      </c>
      <c r="H12" s="2">
        <v>-0.04</v>
      </c>
      <c r="I12" s="2">
        <v>-1.88</v>
      </c>
      <c r="J12" s="2">
        <v>0.76</v>
      </c>
      <c r="K12" s="2">
        <v>0.69</v>
      </c>
      <c r="L12" s="2">
        <v>1.66</v>
      </c>
      <c r="M12" s="2">
        <v>2.5099999999999998</v>
      </c>
      <c r="N12" s="1">
        <v>-1.37</v>
      </c>
    </row>
    <row r="13" spans="1:14">
      <c r="A13" s="36" t="s">
        <v>23</v>
      </c>
      <c r="C13" s="1">
        <v>217.02</v>
      </c>
      <c r="D13" s="1">
        <v>298.14</v>
      </c>
      <c r="E13" s="1">
        <v>377.76</v>
      </c>
      <c r="F13" s="1">
        <v>464.37</v>
      </c>
      <c r="G13" s="1">
        <v>563.65</v>
      </c>
      <c r="H13" s="2">
        <v>676.71</v>
      </c>
      <c r="I13" s="2">
        <v>733.05</v>
      </c>
      <c r="J13" s="2">
        <v>769.48</v>
      </c>
      <c r="K13" s="2">
        <v>874.38</v>
      </c>
      <c r="L13" s="2">
        <v>923.25</v>
      </c>
      <c r="M13" s="2">
        <v>939.13</v>
      </c>
      <c r="N13" s="1">
        <v>996.05</v>
      </c>
    </row>
    <row r="14" spans="1:14">
      <c r="A14" s="2" t="s">
        <v>123</v>
      </c>
      <c r="B14" s="5">
        <v>180.34</v>
      </c>
      <c r="C14" s="5">
        <v>226.4143</v>
      </c>
      <c r="D14" s="5">
        <v>255.08928</v>
      </c>
      <c r="E14" s="5">
        <v>250.09</v>
      </c>
      <c r="F14" s="5">
        <v>249.88</v>
      </c>
      <c r="G14" s="5">
        <v>219.86</v>
      </c>
      <c r="H14" s="5">
        <v>269.95</v>
      </c>
      <c r="I14" s="5">
        <v>343.1</v>
      </c>
      <c r="J14" s="5">
        <v>430.17</v>
      </c>
      <c r="K14" s="5">
        <v>562.05999999999995</v>
      </c>
      <c r="L14" s="5">
        <v>613.64</v>
      </c>
      <c r="M14" s="5">
        <v>624</v>
      </c>
      <c r="N14" s="5">
        <v>659.53</v>
      </c>
    </row>
    <row r="15" spans="1:14">
      <c r="A15" s="2" t="s">
        <v>106</v>
      </c>
      <c r="B15" s="5">
        <v>8973.6</v>
      </c>
      <c r="C15" s="5">
        <v>11044.6</v>
      </c>
      <c r="D15" s="5">
        <v>13285.9</v>
      </c>
      <c r="E15" s="5">
        <v>18393.14</v>
      </c>
      <c r="F15" s="5">
        <v>22369.27</v>
      </c>
      <c r="G15" s="5">
        <v>25617.5</v>
      </c>
      <c r="H15" s="5">
        <v>29472.99</v>
      </c>
      <c r="I15" s="5">
        <v>32663.68</v>
      </c>
      <c r="J15" s="5">
        <v>34317.35</v>
      </c>
      <c r="K15" s="5">
        <v>37220.06</v>
      </c>
      <c r="L15" s="5">
        <v>39837.56</v>
      </c>
      <c r="M15" s="5">
        <v>41029.589999999997</v>
      </c>
      <c r="N15" s="5">
        <v>43701.47</v>
      </c>
    </row>
    <row r="18" spans="1:22">
      <c r="M18" s="11"/>
      <c r="N18" s="11"/>
      <c r="O18" s="11"/>
      <c r="P18" s="11"/>
      <c r="Q18" s="11"/>
      <c r="R18" s="11"/>
      <c r="S18" s="11"/>
      <c r="T18" s="11"/>
      <c r="U18" s="11"/>
      <c r="V18" s="11"/>
    </row>
    <row r="19" spans="1:22">
      <c r="J19" s="11"/>
      <c r="K19" s="11"/>
      <c r="L19" s="11"/>
      <c r="P19" s="11"/>
      <c r="Q19" s="11"/>
      <c r="R19" s="11"/>
      <c r="S19" s="11"/>
      <c r="T19" s="11"/>
      <c r="U19" s="11"/>
      <c r="V19" s="11"/>
    </row>
    <row r="20" spans="1:22" ht="12.75">
      <c r="A20" s="6" t="s">
        <v>46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126</v>
      </c>
      <c r="P20" s="11"/>
      <c r="Q20" s="11"/>
      <c r="R20" s="11"/>
      <c r="S20" s="11"/>
      <c r="T20" s="11"/>
      <c r="U20" s="11"/>
      <c r="V20" s="11"/>
    </row>
    <row r="21" spans="1:22" ht="12.75">
      <c r="A21" s="135" t="s">
        <v>236</v>
      </c>
      <c r="B21" s="271">
        <f t="shared" ref="B21:F21" si="0">C4</f>
        <v>64.92</v>
      </c>
      <c r="C21" s="271">
        <f t="shared" si="0"/>
        <v>107.15</v>
      </c>
      <c r="D21" s="271">
        <f t="shared" si="0"/>
        <v>112.58</v>
      </c>
      <c r="E21" s="271">
        <f t="shared" si="0"/>
        <v>122.46000000000001</v>
      </c>
      <c r="F21" s="271">
        <f t="shared" si="0"/>
        <v>124.79</v>
      </c>
      <c r="G21" s="271">
        <f>H4</f>
        <v>184.28</v>
      </c>
      <c r="H21" s="271">
        <f>I4</f>
        <v>200.28</v>
      </c>
      <c r="I21" s="271">
        <f>J4</f>
        <v>219.55</v>
      </c>
      <c r="J21" s="271">
        <f>K4</f>
        <v>289.93</v>
      </c>
      <c r="K21" s="272">
        <f>M4</f>
        <v>302.69</v>
      </c>
      <c r="L21" s="157">
        <f>N4</f>
        <v>156.24</v>
      </c>
      <c r="P21" s="11"/>
      <c r="Q21" s="11"/>
      <c r="R21" s="11"/>
      <c r="S21" s="11"/>
      <c r="T21" s="11"/>
      <c r="U21" s="11"/>
      <c r="V21" s="11"/>
    </row>
    <row r="22" spans="1:22" ht="12.75">
      <c r="A22" s="12" t="s">
        <v>8</v>
      </c>
      <c r="B22" s="76">
        <f t="shared" ref="B22:F22" si="1">C6+C7</f>
        <v>-16.53</v>
      </c>
      <c r="C22" s="76">
        <f t="shared" si="1"/>
        <v>-24.52</v>
      </c>
      <c r="D22" s="76">
        <f t="shared" si="1"/>
        <v>-33.269999999999996</v>
      </c>
      <c r="E22" s="76">
        <f t="shared" si="1"/>
        <v>-35.300000000000004</v>
      </c>
      <c r="F22" s="76">
        <f t="shared" si="1"/>
        <v>-24.27</v>
      </c>
      <c r="G22" s="76">
        <f>H6+H7</f>
        <v>-32.269999999999996</v>
      </c>
      <c r="H22" s="76">
        <f>I6+I7</f>
        <v>-125.88</v>
      </c>
      <c r="I22" s="76">
        <f>J6+J7</f>
        <v>-168.72000000000003</v>
      </c>
      <c r="J22" s="76">
        <f>K6+K7</f>
        <v>-167.39000000000001</v>
      </c>
      <c r="K22" s="77">
        <f>M6+M7</f>
        <v>-222.56</v>
      </c>
      <c r="L22" s="158">
        <f>N6+N7</f>
        <v>-88.17</v>
      </c>
      <c r="P22" s="11"/>
      <c r="Q22" s="11"/>
      <c r="R22" s="11"/>
      <c r="S22" s="11"/>
      <c r="T22" s="11"/>
      <c r="U22" s="11"/>
      <c r="V22" s="11"/>
    </row>
    <row r="23" spans="1:22" ht="12.75">
      <c r="A23" s="14" t="s">
        <v>237</v>
      </c>
      <c r="B23" s="80">
        <f t="shared" ref="B23:F23" si="2">C8</f>
        <v>1.23</v>
      </c>
      <c r="C23" s="80">
        <f t="shared" si="2"/>
        <v>0.3</v>
      </c>
      <c r="D23" s="80">
        <f t="shared" si="2"/>
        <v>0.22</v>
      </c>
      <c r="E23" s="80">
        <f t="shared" si="2"/>
        <v>2.38</v>
      </c>
      <c r="F23" s="80">
        <f t="shared" si="2"/>
        <v>2.95</v>
      </c>
      <c r="G23" s="80">
        <f>H8</f>
        <v>3.23</v>
      </c>
      <c r="H23" s="80">
        <f>I8</f>
        <v>4.67</v>
      </c>
      <c r="I23" s="80">
        <f>J8</f>
        <v>4.41</v>
      </c>
      <c r="J23" s="80">
        <f>K8</f>
        <v>5</v>
      </c>
      <c r="K23" s="81">
        <f>M8</f>
        <v>8.08</v>
      </c>
      <c r="L23" s="159">
        <f>N8</f>
        <v>3.25</v>
      </c>
      <c r="P23" s="11"/>
      <c r="Q23" s="11"/>
      <c r="R23" s="11"/>
      <c r="S23" s="11"/>
      <c r="T23" s="11"/>
      <c r="U23" s="11"/>
      <c r="V23" s="11"/>
    </row>
    <row r="24" spans="1:22">
      <c r="P24" s="11"/>
      <c r="Q24" s="11"/>
      <c r="R24" s="11"/>
      <c r="S24" s="11"/>
      <c r="T24" s="11"/>
      <c r="U24" s="11"/>
      <c r="V24" s="11"/>
    </row>
    <row r="25" spans="1:22" ht="12.75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126</v>
      </c>
      <c r="P25" s="11"/>
      <c r="Q25" s="11"/>
      <c r="R25" s="11"/>
      <c r="S25" s="11"/>
      <c r="T25" s="11"/>
      <c r="U25" s="11"/>
      <c r="V25" s="11"/>
    </row>
    <row r="26" spans="1:22" ht="12.75">
      <c r="A26" s="16" t="s">
        <v>108</v>
      </c>
      <c r="B26" s="274">
        <f t="shared" ref="B26:F26" si="3">(C14-B14-B22)</f>
        <v>62.604299999999995</v>
      </c>
      <c r="C26" s="274">
        <f t="shared" si="3"/>
        <v>53.194980000000001</v>
      </c>
      <c r="D26" s="274">
        <f t="shared" si="3"/>
        <v>28.270719999999997</v>
      </c>
      <c r="E26" s="274">
        <f t="shared" si="3"/>
        <v>35.089999999999996</v>
      </c>
      <c r="F26" s="274">
        <f t="shared" si="3"/>
        <v>-5.7499999999999822</v>
      </c>
      <c r="G26" s="274">
        <f>(H14-G14-G22)</f>
        <v>82.359999999999971</v>
      </c>
      <c r="H26" s="274">
        <f>(I14-H14-H22)</f>
        <v>199.03000000000003</v>
      </c>
      <c r="I26" s="274">
        <f>(J14-I14-I22)</f>
        <v>255.79000000000002</v>
      </c>
      <c r="J26" s="274">
        <f>(K14-J14-J22)</f>
        <v>299.27999999999997</v>
      </c>
      <c r="K26" s="275">
        <f>(M14-K14-K22)</f>
        <v>284.50000000000006</v>
      </c>
      <c r="L26" s="84">
        <f>(N14-M14-L22)</f>
        <v>123.69999999999997</v>
      </c>
      <c r="P26" s="11"/>
      <c r="Q26" s="11"/>
      <c r="R26" s="11"/>
      <c r="S26" s="11"/>
      <c r="T26" s="11"/>
      <c r="U26" s="11"/>
      <c r="V26" s="11"/>
    </row>
    <row r="27" spans="1:22" ht="12.75">
      <c r="A27" s="16" t="s">
        <v>238</v>
      </c>
      <c r="B27" s="85">
        <f t="shared" ref="B27:F27" si="4">(C14-B14-B22)/B15</f>
        <v>6.9764977266648827E-3</v>
      </c>
      <c r="C27" s="85">
        <f t="shared" si="4"/>
        <v>4.8163790449631495E-3</v>
      </c>
      <c r="D27" s="85">
        <f t="shared" si="4"/>
        <v>2.1278739114399476E-3</v>
      </c>
      <c r="E27" s="85">
        <f t="shared" si="4"/>
        <v>1.9077764862334542E-3</v>
      </c>
      <c r="F27" s="85">
        <f t="shared" si="4"/>
        <v>-2.5704906776126277E-4</v>
      </c>
      <c r="G27" s="85">
        <f>(H14-G14-G22)/G15</f>
        <v>3.2149897530984665E-3</v>
      </c>
      <c r="H27" s="85">
        <f>(I14-H14-H22)/H15</f>
        <v>6.7529626278161805E-3</v>
      </c>
      <c r="I27" s="85">
        <f>(J14-I14-I22)/I15</f>
        <v>7.8310221016125569E-3</v>
      </c>
      <c r="J27" s="85">
        <f>(K14-J14-J22)/J15</f>
        <v>8.7209531038964245E-3</v>
      </c>
      <c r="K27" s="86">
        <f>(M14-K14-K22)/K15</f>
        <v>7.6437276028034368E-3</v>
      </c>
      <c r="L27" s="87">
        <f>L26/M15*2</f>
        <v>6.0297945945840545E-3</v>
      </c>
      <c r="P27" s="11"/>
      <c r="Q27" s="11"/>
      <c r="R27" s="11"/>
      <c r="S27" s="11"/>
      <c r="T27" s="11"/>
      <c r="U27" s="11"/>
      <c r="V27" s="11"/>
    </row>
    <row r="28" spans="1:22">
      <c r="P28" s="11"/>
      <c r="Q28" s="11"/>
      <c r="R28" s="11"/>
      <c r="S28" s="11"/>
      <c r="T28" s="11"/>
      <c r="U28" s="11"/>
      <c r="V28" s="11"/>
    </row>
    <row r="29" spans="1:22">
      <c r="P29" s="11"/>
      <c r="Q29" s="11"/>
      <c r="R29" s="11"/>
      <c r="S29" s="11"/>
      <c r="T29" s="11"/>
      <c r="U29" s="11"/>
      <c r="V29" s="11"/>
    </row>
    <row r="30" spans="1:22" ht="15">
      <c r="A30" s="239" t="s">
        <v>239</v>
      </c>
      <c r="P30" s="11"/>
      <c r="Q30" s="11"/>
      <c r="R30" s="11"/>
      <c r="S30" s="11"/>
      <c r="T30" s="11"/>
      <c r="U30" s="11"/>
      <c r="V30" s="11"/>
    </row>
    <row r="31" spans="1:22">
      <c r="P31" s="11"/>
    </row>
    <row r="32" spans="1:22">
      <c r="P32" s="11"/>
    </row>
    <row r="33" spans="1:12">
      <c r="A33" s="244"/>
      <c r="B33" s="7">
        <v>2007</v>
      </c>
      <c r="C33" s="7">
        <v>2008</v>
      </c>
      <c r="D33" s="7">
        <v>2009</v>
      </c>
      <c r="E33" s="7">
        <v>2010</v>
      </c>
      <c r="F33" s="7">
        <v>2011</v>
      </c>
      <c r="G33" s="7">
        <v>2012</v>
      </c>
      <c r="H33" s="7">
        <v>2013</v>
      </c>
      <c r="I33" s="7">
        <v>2014</v>
      </c>
      <c r="J33" s="7">
        <v>2015</v>
      </c>
      <c r="K33" s="7">
        <v>2016</v>
      </c>
      <c r="L33" s="8" t="s">
        <v>6</v>
      </c>
    </row>
    <row r="34" spans="1:12">
      <c r="A34" s="392" t="s">
        <v>349</v>
      </c>
      <c r="B34" s="305">
        <f>-B22/B14</f>
        <v>9.1660197404901861E-2</v>
      </c>
      <c r="C34" s="305">
        <f t="shared" ref="C34:L34" si="5">-C22/C14</f>
        <v>0.10829704660880518</v>
      </c>
      <c r="D34" s="305">
        <f t="shared" si="5"/>
        <v>0.13042492416772666</v>
      </c>
      <c r="E34" s="305">
        <f t="shared" si="5"/>
        <v>0.14114918629293455</v>
      </c>
      <c r="F34" s="305">
        <f t="shared" si="5"/>
        <v>9.7126620777973433E-2</v>
      </c>
      <c r="G34" s="305">
        <f t="shared" si="5"/>
        <v>0.14677522059492401</v>
      </c>
      <c r="H34" s="305">
        <f t="shared" si="5"/>
        <v>0.46630857566215966</v>
      </c>
      <c r="I34" s="305">
        <f t="shared" si="5"/>
        <v>0.49175167589624019</v>
      </c>
      <c r="J34" s="305">
        <f t="shared" si="5"/>
        <v>0.38912522956040635</v>
      </c>
      <c r="K34" s="305">
        <f t="shared" si="5"/>
        <v>0.39597196028893716</v>
      </c>
      <c r="L34" s="305">
        <f>-L22*2/M14</f>
        <v>0.28259615384615383</v>
      </c>
    </row>
    <row r="35" spans="1:12">
      <c r="F35" s="57"/>
      <c r="G35" s="23"/>
      <c r="H35" s="23"/>
      <c r="I35" s="23"/>
    </row>
    <row r="36" spans="1:12">
      <c r="F36" s="57"/>
    </row>
    <row r="37" spans="1:12">
      <c r="F37" s="57"/>
      <c r="G37" s="23"/>
      <c r="I37" s="23"/>
    </row>
    <row r="38" spans="1:12">
      <c r="F38" s="57"/>
      <c r="G38" s="23"/>
      <c r="H38" s="23"/>
    </row>
    <row r="39" spans="1:12">
      <c r="F39" s="57"/>
    </row>
    <row r="40" spans="1:12">
      <c r="F40" s="57"/>
    </row>
    <row r="41" spans="1:12">
      <c r="F41" s="58"/>
      <c r="G41" s="23"/>
      <c r="H41" s="23"/>
    </row>
    <row r="42" spans="1:12">
      <c r="F42" s="57"/>
    </row>
    <row r="43" spans="1:12">
      <c r="F43" s="57"/>
      <c r="G43" s="23"/>
      <c r="H43" s="23"/>
      <c r="I43" s="23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7"/>
  <sheetViews>
    <sheetView showGridLines="0" workbookViewId="0">
      <pane xSplit="1" topLeftCell="B1" activePane="topRight" state="frozenSplit"/>
      <selection pane="topRight" activeCell="L33" sqref="L33"/>
    </sheetView>
  </sheetViews>
  <sheetFormatPr defaultColWidth="9" defaultRowHeight="12.75"/>
  <cols>
    <col min="1" max="1" width="17.25" style="173" customWidth="1"/>
    <col min="2" max="2" width="13.25" style="173" customWidth="1"/>
    <col min="3" max="3" width="10.875" style="173" customWidth="1"/>
    <col min="4" max="4" width="11.25" style="173" customWidth="1"/>
    <col min="5" max="5" width="10.75" style="173" customWidth="1"/>
    <col min="6" max="6" width="10.875" style="173" customWidth="1"/>
    <col min="7" max="7" width="9.5" style="173" bestFit="1" customWidth="1"/>
    <col min="8" max="8" width="10.5" style="173" bestFit="1" customWidth="1"/>
    <col min="9" max="9" width="12.25" style="173" bestFit="1" customWidth="1"/>
    <col min="10" max="16384" width="9" style="173"/>
  </cols>
  <sheetData>
    <row r="1" spans="1:14">
      <c r="A1" s="173" t="str">
        <f>[1]!to_tradecode(A2)</f>
        <v>600036</v>
      </c>
      <c r="B1" s="166" t="s">
        <v>149</v>
      </c>
    </row>
    <row r="2" spans="1:14">
      <c r="A2" s="64" t="s">
        <v>240</v>
      </c>
      <c r="B2" s="277">
        <v>39082</v>
      </c>
      <c r="C2" s="63">
        <v>39447</v>
      </c>
      <c r="D2" s="277">
        <v>39813</v>
      </c>
      <c r="E2" s="63">
        <v>40178</v>
      </c>
      <c r="F2" s="277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4">
      <c r="A3" s="64" t="s">
        <v>181</v>
      </c>
      <c r="C3" s="173">
        <v>162.82</v>
      </c>
      <c r="D3" s="173">
        <v>187.5</v>
      </c>
      <c r="E3" s="173">
        <v>214.42000000000002</v>
      </c>
      <c r="F3" s="173">
        <v>240.05</v>
      </c>
      <c r="G3" s="173">
        <v>292.91000000000003</v>
      </c>
      <c r="H3" s="64">
        <v>367.04</v>
      </c>
      <c r="I3" s="64">
        <v>411.38</v>
      </c>
      <c r="J3" s="64">
        <v>487.64</v>
      </c>
      <c r="K3" s="64">
        <v>651.65</v>
      </c>
      <c r="L3" s="64">
        <v>848.42</v>
      </c>
      <c r="M3" s="64">
        <v>848.42</v>
      </c>
      <c r="N3" s="178">
        <v>1100.32</v>
      </c>
    </row>
    <row r="4" spans="1:14">
      <c r="A4" s="64" t="s">
        <v>182</v>
      </c>
      <c r="C4" s="173">
        <v>42.12</v>
      </c>
      <c r="D4" s="173">
        <v>53.58</v>
      </c>
      <c r="E4" s="173">
        <v>38.56</v>
      </c>
      <c r="F4" s="173">
        <v>62.410000000000004</v>
      </c>
      <c r="G4" s="173">
        <v>90.48</v>
      </c>
      <c r="H4" s="64">
        <v>62.76</v>
      </c>
      <c r="I4" s="64">
        <v>109.27</v>
      </c>
      <c r="J4" s="64">
        <v>328.95</v>
      </c>
      <c r="K4" s="64">
        <v>594.86</v>
      </c>
      <c r="L4" s="119">
        <v>368.03</v>
      </c>
      <c r="M4" s="64">
        <v>671.88</v>
      </c>
      <c r="N4" s="178">
        <v>364.13</v>
      </c>
    </row>
    <row r="5" spans="1:14">
      <c r="A5" s="64" t="s">
        <v>183</v>
      </c>
      <c r="C5" s="173">
        <v>-12.06</v>
      </c>
      <c r="D5" s="173">
        <v>-16.990000000000002</v>
      </c>
      <c r="E5" s="173">
        <v>-9.16</v>
      </c>
      <c r="F5" s="173">
        <v>-6.71</v>
      </c>
      <c r="G5" s="173">
        <v>-8.49</v>
      </c>
      <c r="H5" s="64">
        <v>-7.85</v>
      </c>
      <c r="I5" s="64">
        <v>-7.31</v>
      </c>
      <c r="J5" s="64">
        <v>-16.41</v>
      </c>
      <c r="K5" s="64">
        <v>-19.79</v>
      </c>
      <c r="L5" s="119">
        <v>-15.96</v>
      </c>
      <c r="M5" s="64">
        <v>-26.28</v>
      </c>
      <c r="N5" s="178">
        <v>-32.74</v>
      </c>
    </row>
    <row r="6" spans="1:14">
      <c r="A6" s="64" t="s">
        <v>184</v>
      </c>
      <c r="C6" s="173">
        <v>2.38</v>
      </c>
      <c r="D6" s="173">
        <v>-0.88</v>
      </c>
      <c r="E6" s="173">
        <v>0.12</v>
      </c>
      <c r="F6" s="173">
        <v>0.34</v>
      </c>
      <c r="G6" s="173">
        <v>0</v>
      </c>
      <c r="H6" s="64">
        <v>0.13</v>
      </c>
      <c r="I6" s="64">
        <v>-0.08</v>
      </c>
      <c r="J6" s="64">
        <v>0</v>
      </c>
      <c r="K6" s="64">
        <v>0</v>
      </c>
      <c r="L6" s="119">
        <v>0</v>
      </c>
      <c r="M6" s="64">
        <v>-57</v>
      </c>
      <c r="N6" s="178">
        <v>0.23</v>
      </c>
    </row>
    <row r="7" spans="1:14">
      <c r="A7" s="64" t="s">
        <v>185</v>
      </c>
      <c r="C7" s="173">
        <v>-1.18</v>
      </c>
      <c r="D7" s="173">
        <v>-1.08</v>
      </c>
      <c r="E7" s="173">
        <v>-1.01</v>
      </c>
      <c r="F7" s="173">
        <v>-1.1000000000000001</v>
      </c>
      <c r="G7" s="173">
        <v>-1.36</v>
      </c>
      <c r="H7" s="64">
        <v>-2.15</v>
      </c>
      <c r="I7" s="64">
        <v>-4.0599999999999996</v>
      </c>
      <c r="J7" s="64">
        <v>-6.55</v>
      </c>
      <c r="K7" s="64">
        <v>-11.37</v>
      </c>
      <c r="L7" s="119">
        <v>-5.83</v>
      </c>
      <c r="M7" s="64">
        <v>-10.01</v>
      </c>
      <c r="N7" s="178">
        <v>-4.46</v>
      </c>
    </row>
    <row r="8" spans="1:14">
      <c r="A8" s="64" t="s">
        <v>186</v>
      </c>
      <c r="C8" s="173">
        <v>0.48</v>
      </c>
      <c r="D8" s="173">
        <v>0.64</v>
      </c>
      <c r="E8" s="173">
        <v>1.51</v>
      </c>
      <c r="F8" s="173">
        <v>0.48</v>
      </c>
      <c r="G8" s="173">
        <v>0.65</v>
      </c>
      <c r="H8" s="64">
        <v>0.65</v>
      </c>
      <c r="I8" s="64">
        <v>0.65</v>
      </c>
      <c r="J8" s="64">
        <v>6.51</v>
      </c>
      <c r="K8" s="64">
        <v>14.64</v>
      </c>
      <c r="L8" s="120">
        <v>12.8</v>
      </c>
      <c r="M8" s="64">
        <v>28.93</v>
      </c>
      <c r="N8" s="178">
        <v>30.83</v>
      </c>
    </row>
    <row r="9" spans="1:14">
      <c r="A9" s="64" t="s">
        <v>187</v>
      </c>
      <c r="C9" s="173">
        <v>-5.28</v>
      </c>
      <c r="D9" s="173">
        <v>-6.67</v>
      </c>
      <c r="E9" s="173">
        <v>-7.38</v>
      </c>
      <c r="F9" s="173">
        <v>-1.52</v>
      </c>
      <c r="G9" s="173">
        <v>-5.83</v>
      </c>
      <c r="H9" s="64">
        <v>-8.91</v>
      </c>
      <c r="I9" s="64">
        <v>-21.34</v>
      </c>
      <c r="J9" s="64">
        <v>-149.16999999999999</v>
      </c>
      <c r="K9" s="64">
        <v>-383.83</v>
      </c>
      <c r="L9" s="119">
        <v>-164.03</v>
      </c>
      <c r="M9" s="64">
        <v>-359.42</v>
      </c>
      <c r="N9" s="178">
        <v>-98.36</v>
      </c>
    </row>
    <row r="10" spans="1:14">
      <c r="A10" s="64" t="s">
        <v>188</v>
      </c>
      <c r="C10" s="173">
        <v>-1.78</v>
      </c>
      <c r="D10" s="173">
        <v>-1.68</v>
      </c>
      <c r="E10" s="173">
        <v>0.01</v>
      </c>
      <c r="F10" s="173">
        <v>-1.04</v>
      </c>
      <c r="G10" s="173">
        <v>-1.32</v>
      </c>
      <c r="H10" s="64">
        <v>-0.28999999999999998</v>
      </c>
      <c r="I10" s="64">
        <v>-0.87</v>
      </c>
      <c r="J10" s="64">
        <v>0.68</v>
      </c>
      <c r="K10" s="64">
        <v>2.2599999999999998</v>
      </c>
      <c r="L10" s="119">
        <v>1.53</v>
      </c>
      <c r="M10" s="64">
        <v>3.8</v>
      </c>
      <c r="N10" s="178">
        <v>-1.51</v>
      </c>
    </row>
    <row r="11" spans="1:14">
      <c r="A11" s="64" t="s">
        <v>189</v>
      </c>
      <c r="C11" s="173">
        <v>187.5</v>
      </c>
      <c r="D11" s="173">
        <v>214.42000000000002</v>
      </c>
      <c r="E11" s="173">
        <v>237.07</v>
      </c>
      <c r="F11" s="173">
        <v>292.91000000000003</v>
      </c>
      <c r="G11" s="173">
        <v>367.04</v>
      </c>
      <c r="H11" s="64">
        <v>411.38</v>
      </c>
      <c r="I11" s="64">
        <v>487.64</v>
      </c>
      <c r="J11" s="64">
        <v>651.65</v>
      </c>
      <c r="K11" s="64">
        <v>848.42</v>
      </c>
      <c r="L11" s="119">
        <v>1044.96</v>
      </c>
      <c r="M11" s="64">
        <v>1100.32</v>
      </c>
      <c r="N11" s="178">
        <v>1358.44</v>
      </c>
    </row>
    <row r="12" spans="1:14">
      <c r="A12" s="64" t="s">
        <v>241</v>
      </c>
      <c r="B12" s="64"/>
      <c r="C12" s="64">
        <f t="shared" ref="C12:E12" si="0">SUM(C3:C10)</f>
        <v>187.49999999999997</v>
      </c>
      <c r="D12" s="64">
        <f t="shared" si="0"/>
        <v>214.41999999999996</v>
      </c>
      <c r="E12" s="64">
        <f t="shared" si="0"/>
        <v>237.07000000000002</v>
      </c>
      <c r="F12" s="256">
        <f>SUM(F3:F10)</f>
        <v>292.91000000000003</v>
      </c>
      <c r="G12" s="256">
        <f>SUM(G3:G10)</f>
        <v>367.04</v>
      </c>
      <c r="H12" s="64">
        <f>SUM(H3:H10)</f>
        <v>411.37999999999994</v>
      </c>
      <c r="I12" s="64">
        <f t="shared" ref="I12:N12" si="1">SUM(I3:I10)</f>
        <v>487.64</v>
      </c>
      <c r="J12" s="64">
        <f t="shared" si="1"/>
        <v>651.65</v>
      </c>
      <c r="K12" s="64">
        <f t="shared" si="1"/>
        <v>848.4200000000003</v>
      </c>
      <c r="L12" s="64">
        <f t="shared" si="1"/>
        <v>1044.9599999999998</v>
      </c>
      <c r="M12" s="64">
        <f t="shared" si="1"/>
        <v>1100.32</v>
      </c>
      <c r="N12" s="284">
        <f t="shared" si="1"/>
        <v>1358.4399999999998</v>
      </c>
    </row>
    <row r="13" spans="1:14">
      <c r="A13" s="64" t="s">
        <v>242</v>
      </c>
      <c r="B13" s="168">
        <v>120.06</v>
      </c>
      <c r="C13" s="168">
        <v>103.94</v>
      </c>
      <c r="D13" s="168">
        <v>96.77</v>
      </c>
      <c r="E13" s="168">
        <v>97.32</v>
      </c>
      <c r="F13" s="168">
        <v>96.86</v>
      </c>
      <c r="G13" s="168">
        <v>91.73</v>
      </c>
      <c r="H13" s="168">
        <v>116.94</v>
      </c>
      <c r="I13" s="168">
        <v>183.32</v>
      </c>
      <c r="J13" s="168">
        <v>279.17</v>
      </c>
      <c r="K13" s="168">
        <v>474.1</v>
      </c>
      <c r="L13" s="168">
        <v>552.55999999999995</v>
      </c>
      <c r="M13" s="168">
        <v>611.21</v>
      </c>
      <c r="N13" s="178">
        <v>604.59</v>
      </c>
    </row>
    <row r="14" spans="1:14">
      <c r="A14" s="64" t="s">
        <v>243</v>
      </c>
      <c r="B14" s="168">
        <v>5657.0228399999996</v>
      </c>
      <c r="C14" s="168">
        <v>6731.67</v>
      </c>
      <c r="D14" s="168">
        <v>8743.6200000000008</v>
      </c>
      <c r="E14" s="168">
        <v>11858.22</v>
      </c>
      <c r="F14" s="168">
        <v>14314.51</v>
      </c>
      <c r="G14" s="168">
        <v>16410.75</v>
      </c>
      <c r="H14" s="168">
        <v>19044.63</v>
      </c>
      <c r="I14" s="168">
        <v>21970.94</v>
      </c>
      <c r="J14" s="168">
        <v>25139.19</v>
      </c>
      <c r="K14" s="168">
        <v>28242.86</v>
      </c>
      <c r="L14" s="168">
        <v>30265.32</v>
      </c>
      <c r="M14" s="168">
        <v>32616.81</v>
      </c>
      <c r="N14" s="168">
        <v>35399.379999999997</v>
      </c>
    </row>
    <row r="15" spans="1:14">
      <c r="B15" s="276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7" spans="1:17">
      <c r="J17" s="186"/>
      <c r="K17" s="186"/>
      <c r="L17" s="186"/>
      <c r="M17" s="186"/>
      <c r="N17" s="186"/>
      <c r="O17" s="186"/>
      <c r="P17" s="186"/>
      <c r="Q17" s="186"/>
    </row>
    <row r="20" spans="1:17">
      <c r="A20" s="187" t="s">
        <v>244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245</v>
      </c>
    </row>
    <row r="21" spans="1:17">
      <c r="A21" s="188" t="s">
        <v>246</v>
      </c>
      <c r="B21" s="271">
        <f t="shared" ref="B21:F21" si="2">C4</f>
        <v>42.12</v>
      </c>
      <c r="C21" s="271">
        <f t="shared" si="2"/>
        <v>53.58</v>
      </c>
      <c r="D21" s="271">
        <f t="shared" si="2"/>
        <v>38.56</v>
      </c>
      <c r="E21" s="271">
        <f t="shared" si="2"/>
        <v>62.410000000000004</v>
      </c>
      <c r="F21" s="271">
        <f t="shared" si="2"/>
        <v>90.48</v>
      </c>
      <c r="G21" s="271">
        <f>H4</f>
        <v>62.76</v>
      </c>
      <c r="H21" s="271">
        <f>I4</f>
        <v>109.27</v>
      </c>
      <c r="I21" s="271">
        <f>J4</f>
        <v>328.95</v>
      </c>
      <c r="J21" s="271">
        <f>K4</f>
        <v>594.86</v>
      </c>
      <c r="K21" s="272">
        <f>M4</f>
        <v>671.88</v>
      </c>
      <c r="L21" s="157">
        <f>N4</f>
        <v>364.13</v>
      </c>
    </row>
    <row r="22" spans="1:17">
      <c r="A22" s="175" t="s">
        <v>177</v>
      </c>
      <c r="B22" s="76">
        <f>C9+C6</f>
        <v>-2.9000000000000004</v>
      </c>
      <c r="C22" s="76">
        <f t="shared" ref="C22:F22" si="3">D9+D6</f>
        <v>-7.55</v>
      </c>
      <c r="D22" s="76">
        <f t="shared" si="3"/>
        <v>-7.26</v>
      </c>
      <c r="E22" s="76">
        <f>F9+F6</f>
        <v>-1.18</v>
      </c>
      <c r="F22" s="76">
        <f t="shared" si="3"/>
        <v>-5.83</v>
      </c>
      <c r="G22" s="76">
        <f>H9+H6</f>
        <v>-8.7799999999999994</v>
      </c>
      <c r="H22" s="76">
        <f>I9+I6</f>
        <v>-21.419999999999998</v>
      </c>
      <c r="I22" s="76">
        <f>J9+J6</f>
        <v>-149.16999999999999</v>
      </c>
      <c r="J22" s="76">
        <f>K9+K6</f>
        <v>-383.83</v>
      </c>
      <c r="K22" s="77">
        <f>M9+M6</f>
        <v>-416.42</v>
      </c>
      <c r="L22" s="158">
        <f>N9+N6</f>
        <v>-98.13</v>
      </c>
    </row>
    <row r="23" spans="1:17">
      <c r="A23" s="198" t="s">
        <v>247</v>
      </c>
      <c r="B23" s="80">
        <f t="shared" ref="B23:F23" si="4">C8</f>
        <v>0.48</v>
      </c>
      <c r="C23" s="80">
        <f t="shared" si="4"/>
        <v>0.64</v>
      </c>
      <c r="D23" s="80">
        <f t="shared" si="4"/>
        <v>1.51</v>
      </c>
      <c r="E23" s="80">
        <f t="shared" si="4"/>
        <v>0.48</v>
      </c>
      <c r="F23" s="80">
        <f t="shared" si="4"/>
        <v>0.65</v>
      </c>
      <c r="G23" s="80">
        <f>H8</f>
        <v>0.65</v>
      </c>
      <c r="H23" s="80">
        <f>I8</f>
        <v>0.65</v>
      </c>
      <c r="I23" s="80">
        <f>J8</f>
        <v>6.51</v>
      </c>
      <c r="J23" s="80">
        <f>K8</f>
        <v>14.64</v>
      </c>
      <c r="K23" s="81">
        <f>M8</f>
        <v>28.93</v>
      </c>
      <c r="L23" s="159">
        <f>N8</f>
        <v>30.83</v>
      </c>
    </row>
    <row r="25" spans="1:17">
      <c r="A25" s="191"/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126</v>
      </c>
    </row>
    <row r="26" spans="1:17">
      <c r="A26" s="201" t="s">
        <v>248</v>
      </c>
      <c r="B26" s="274">
        <f t="shared" ref="B26:F26" si="5">(C13-B13-B22)</f>
        <v>-13.220000000000004</v>
      </c>
      <c r="C26" s="274">
        <f t="shared" si="5"/>
        <v>0.37999999999999812</v>
      </c>
      <c r="D26" s="274">
        <f t="shared" si="5"/>
        <v>7.8099999999999969</v>
      </c>
      <c r="E26" s="274">
        <f t="shared" si="5"/>
        <v>0.72000000000000619</v>
      </c>
      <c r="F26" s="274">
        <f t="shared" si="5"/>
        <v>0.70000000000000462</v>
      </c>
      <c r="G26" s="274">
        <f>(H13-G13-G22)</f>
        <v>33.989999999999995</v>
      </c>
      <c r="H26" s="274">
        <f>(I13-H13-H22)</f>
        <v>87.8</v>
      </c>
      <c r="I26" s="274">
        <f>(J13-I13-I22)</f>
        <v>245.02</v>
      </c>
      <c r="J26" s="274">
        <f>(K13-J13-J22)</f>
        <v>578.76</v>
      </c>
      <c r="K26" s="275">
        <f>(M13-K13-K22)</f>
        <v>553.53</v>
      </c>
      <c r="L26" s="84">
        <f>(N13-M13-L22)</f>
        <v>91.509999999999991</v>
      </c>
    </row>
    <row r="27" spans="1:17">
      <c r="A27" s="195" t="s">
        <v>249</v>
      </c>
      <c r="B27" s="85">
        <f t="shared" ref="B27:E27" si="6">(C13-B13-B22)/B14</f>
        <v>-2.3369182649437569E-3</v>
      </c>
      <c r="C27" s="85">
        <f t="shared" si="6"/>
        <v>5.644958828938408E-5</v>
      </c>
      <c r="D27" s="85">
        <f t="shared" si="6"/>
        <v>8.9322271553429777E-4</v>
      </c>
      <c r="E27" s="85">
        <f t="shared" si="6"/>
        <v>6.0717375795018667E-5</v>
      </c>
      <c r="F27" s="85">
        <f>(G13-F13-F22)/F14</f>
        <v>4.8901429388781358E-5</v>
      </c>
      <c r="G27" s="85">
        <f>(H13-G13-G22)/G14</f>
        <v>2.0712033270874272E-3</v>
      </c>
      <c r="H27" s="85">
        <f>(I13-H13-H22)/H14</f>
        <v>4.6102234593163524E-3</v>
      </c>
      <c r="I27" s="85">
        <f>(J13-I13-I22)/I14</f>
        <v>1.1152003510091059E-2</v>
      </c>
      <c r="J27" s="85">
        <f>(K13-J13-J22)/J14</f>
        <v>2.3022221479689679E-2</v>
      </c>
      <c r="K27" s="86">
        <f>(M13-K13-K22)/K14</f>
        <v>1.9598935801827436E-2</v>
      </c>
      <c r="L27" s="87">
        <f>L26/M14*2</f>
        <v>5.6112170380855754E-3</v>
      </c>
    </row>
    <row r="29" spans="1:17" ht="15">
      <c r="A29" s="239" t="s">
        <v>239</v>
      </c>
      <c r="F29" s="202"/>
      <c r="G29" s="202"/>
    </row>
    <row r="30" spans="1:17">
      <c r="F30" s="202"/>
      <c r="G30" s="202"/>
    </row>
    <row r="31" spans="1:17" s="1" customFormat="1" ht="12">
      <c r="A31" s="244"/>
      <c r="B31" s="7">
        <v>2007</v>
      </c>
      <c r="C31" s="7">
        <v>2008</v>
      </c>
      <c r="D31" s="7">
        <v>2009</v>
      </c>
      <c r="E31" s="7">
        <v>2010</v>
      </c>
      <c r="F31" s="7">
        <v>2011</v>
      </c>
      <c r="G31" s="7">
        <v>2012</v>
      </c>
      <c r="H31" s="7">
        <v>2013</v>
      </c>
      <c r="I31" s="7">
        <v>2014</v>
      </c>
      <c r="J31" s="7">
        <v>2015</v>
      </c>
      <c r="K31" s="7">
        <v>2016</v>
      </c>
      <c r="L31" s="8" t="s">
        <v>6</v>
      </c>
    </row>
    <row r="32" spans="1:17" s="1" customFormat="1" ht="12">
      <c r="A32" s="392" t="s">
        <v>349</v>
      </c>
      <c r="B32" s="305">
        <f>-B22/B13</f>
        <v>2.415458937198068E-2</v>
      </c>
      <c r="C32" s="305">
        <f t="shared" ref="C32:L32" si="7">-C22/C13</f>
        <v>7.2638060419472766E-2</v>
      </c>
      <c r="D32" s="305">
        <f t="shared" si="7"/>
        <v>7.5023251007543659E-2</v>
      </c>
      <c r="E32" s="305">
        <f t="shared" si="7"/>
        <v>1.2124948623099055E-2</v>
      </c>
      <c r="F32" s="305">
        <f t="shared" si="7"/>
        <v>6.0189964897790625E-2</v>
      </c>
      <c r="G32" s="305">
        <f t="shared" si="7"/>
        <v>9.5715687343290085E-2</v>
      </c>
      <c r="H32" s="305">
        <f t="shared" si="7"/>
        <v>0.1831708568496665</v>
      </c>
      <c r="I32" s="305">
        <f t="shared" si="7"/>
        <v>0.81371372463451885</v>
      </c>
      <c r="J32" s="305">
        <f t="shared" si="7"/>
        <v>1.3748970161550309</v>
      </c>
      <c r="K32" s="305">
        <f t="shared" si="7"/>
        <v>0.878337903395908</v>
      </c>
      <c r="L32" s="305">
        <f>-L22/L13</f>
        <v>0.17759157376574491</v>
      </c>
    </row>
    <row r="33" spans="6:7">
      <c r="G33" s="202"/>
    </row>
    <row r="34" spans="6:7">
      <c r="F34" s="202"/>
      <c r="G34" s="202"/>
    </row>
    <row r="35" spans="6:7">
      <c r="F35" s="202"/>
      <c r="G35" s="202"/>
    </row>
    <row r="37" spans="6:7">
      <c r="F37" s="202"/>
      <c r="G37" s="202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0"/>
  <sheetViews>
    <sheetView showGridLines="0" workbookViewId="0">
      <pane xSplit="1" topLeftCell="B1" activePane="topRight" state="frozenSplit"/>
      <selection pane="topRight" activeCell="A26" sqref="A26"/>
    </sheetView>
  </sheetViews>
  <sheetFormatPr defaultColWidth="9.125" defaultRowHeight="14.25"/>
  <cols>
    <col min="1" max="1" width="17.25" style="65" customWidth="1"/>
    <col min="2" max="2" width="11.87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7" width="9.125" style="61"/>
    <col min="8" max="8" width="9.625" style="61" bestFit="1" customWidth="1"/>
    <col min="9" max="16384" width="9.125" style="61"/>
  </cols>
  <sheetData>
    <row r="1" spans="1:15">
      <c r="A1" s="59" t="str">
        <f>[1]!to_tradecode(A2)</f>
        <v>601998</v>
      </c>
      <c r="B1" s="166" t="s">
        <v>149</v>
      </c>
    </row>
    <row r="2" spans="1:15">
      <c r="A2" s="88" t="s">
        <v>251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5">
      <c r="A3" s="90" t="s">
        <v>48</v>
      </c>
      <c r="C3" s="2">
        <v>97.86</v>
      </c>
      <c r="D3" s="2">
        <v>93.42</v>
      </c>
      <c r="E3" s="2">
        <v>140</v>
      </c>
      <c r="F3" s="2">
        <v>151.70000000000002</v>
      </c>
      <c r="G3" s="2">
        <v>182.19</v>
      </c>
      <c r="H3" s="2">
        <v>232.58</v>
      </c>
      <c r="I3" s="2">
        <v>353.25</v>
      </c>
      <c r="J3" s="2">
        <v>412.54</v>
      </c>
      <c r="K3" s="2">
        <v>515.76</v>
      </c>
      <c r="L3" s="2">
        <v>604.97</v>
      </c>
      <c r="M3" s="2">
        <v>604.97</v>
      </c>
      <c r="N3" s="2">
        <v>755.43</v>
      </c>
    </row>
    <row r="4" spans="1:15">
      <c r="A4" s="90" t="s">
        <v>80</v>
      </c>
      <c r="C4" s="2">
        <v>28.6</v>
      </c>
      <c r="D4" s="2">
        <v>53.79</v>
      </c>
      <c r="E4" s="2">
        <v>24.46</v>
      </c>
      <c r="F4" s="2">
        <v>42.38</v>
      </c>
      <c r="G4" s="2">
        <v>57.34</v>
      </c>
      <c r="H4" s="2">
        <v>137.55000000000001</v>
      </c>
      <c r="I4" s="2">
        <v>157.34</v>
      </c>
      <c r="J4" s="2">
        <v>254.2</v>
      </c>
      <c r="K4" s="2">
        <v>374.21</v>
      </c>
      <c r="L4" s="2">
        <v>197.96</v>
      </c>
      <c r="M4" s="2">
        <v>484.25</v>
      </c>
      <c r="N4" s="2">
        <v>214.74</v>
      </c>
    </row>
    <row r="5" spans="1:15">
      <c r="A5" s="90" t="s">
        <v>52</v>
      </c>
      <c r="C5" s="2"/>
      <c r="D5" s="2"/>
      <c r="E5" s="2"/>
      <c r="F5" s="2"/>
      <c r="G5" s="2"/>
      <c r="H5" s="2">
        <v>-9.51</v>
      </c>
      <c r="I5" s="2">
        <v>-44.07</v>
      </c>
      <c r="J5" s="2">
        <v>-33.46</v>
      </c>
      <c r="K5" s="2">
        <v>-23.01</v>
      </c>
      <c r="L5" s="2"/>
      <c r="M5" s="2">
        <v>-27.1</v>
      </c>
      <c r="N5" s="2"/>
    </row>
    <row r="6" spans="1:15">
      <c r="A6" s="90" t="s">
        <v>138</v>
      </c>
      <c r="C6" s="2">
        <v>-1.87</v>
      </c>
      <c r="D6" s="2">
        <v>-1.6</v>
      </c>
      <c r="E6" s="2">
        <v>-1.26</v>
      </c>
      <c r="F6" s="2">
        <v>-1.33</v>
      </c>
      <c r="G6" s="2">
        <v>-1.41</v>
      </c>
      <c r="H6" s="2">
        <v>-2.06</v>
      </c>
      <c r="I6" s="2">
        <v>-2.75</v>
      </c>
      <c r="J6" s="2">
        <v>-4.5999999999999996</v>
      </c>
      <c r="K6" s="2">
        <v>-5.92</v>
      </c>
      <c r="L6" s="2">
        <v>-2.87</v>
      </c>
      <c r="M6" s="2">
        <v>-5.64</v>
      </c>
      <c r="N6" s="2">
        <v>-3.35</v>
      </c>
    </row>
    <row r="7" spans="1:15">
      <c r="A7" s="90" t="s">
        <v>139</v>
      </c>
      <c r="C7" s="2">
        <v>-0.45</v>
      </c>
      <c r="D7" s="2">
        <v>-0.72</v>
      </c>
      <c r="E7" s="2">
        <v>-0.02</v>
      </c>
      <c r="F7" s="2">
        <v>-0.93</v>
      </c>
      <c r="G7" s="2">
        <v>-0.37</v>
      </c>
      <c r="H7" s="2">
        <v>-0.54</v>
      </c>
      <c r="I7" s="2">
        <v>-0.42</v>
      </c>
      <c r="J7" s="2">
        <v>0.02</v>
      </c>
      <c r="K7" s="2">
        <v>0.32</v>
      </c>
      <c r="L7" s="2">
        <v>0.85</v>
      </c>
      <c r="M7" s="2">
        <v>2.75</v>
      </c>
      <c r="N7" s="2">
        <v>-1.93</v>
      </c>
    </row>
    <row r="8" spans="1:15">
      <c r="A8" s="90" t="s">
        <v>81</v>
      </c>
      <c r="C8" s="2">
        <v>-30.72</v>
      </c>
      <c r="D8" s="2">
        <v>-9.31</v>
      </c>
      <c r="E8" s="2">
        <v>-13.26</v>
      </c>
      <c r="F8" s="2">
        <v>-11.05</v>
      </c>
      <c r="G8" s="2">
        <v>-6.83</v>
      </c>
      <c r="H8" s="2">
        <v>-7.42</v>
      </c>
      <c r="I8" s="2">
        <v>-53.05</v>
      </c>
      <c r="J8" s="2">
        <v>-116.1</v>
      </c>
      <c r="K8" s="2">
        <v>-262.39</v>
      </c>
      <c r="L8" s="2">
        <v>-198.72</v>
      </c>
      <c r="M8" s="2">
        <v>-309.52</v>
      </c>
      <c r="N8" s="2">
        <v>-189.21</v>
      </c>
    </row>
    <row r="9" spans="1:15">
      <c r="A9" s="90" t="s">
        <v>140</v>
      </c>
      <c r="C9" s="2"/>
      <c r="D9" s="2">
        <v>0.14000000000000001</v>
      </c>
      <c r="E9" s="2">
        <v>1.78</v>
      </c>
      <c r="F9" s="2">
        <v>1.42</v>
      </c>
      <c r="G9" s="2">
        <v>1.6600000000000001</v>
      </c>
      <c r="H9" s="2">
        <v>2.65</v>
      </c>
      <c r="I9" s="2">
        <v>2.2400000000000002</v>
      </c>
      <c r="J9" s="2">
        <v>3.16</v>
      </c>
      <c r="K9" s="2">
        <v>6</v>
      </c>
      <c r="L9" s="2">
        <v>2.5299999999999998</v>
      </c>
      <c r="M9" s="2">
        <v>5.72</v>
      </c>
      <c r="N9" s="2">
        <v>6.31</v>
      </c>
    </row>
    <row r="10" spans="1:15">
      <c r="A10" s="90" t="s">
        <v>57</v>
      </c>
      <c r="C10" s="2">
        <v>93.42</v>
      </c>
      <c r="D10" s="2">
        <v>135.72</v>
      </c>
      <c r="E10" s="2">
        <v>151.70000000000002</v>
      </c>
      <c r="F10" s="2">
        <v>182.19</v>
      </c>
      <c r="G10" s="2">
        <v>232.58</v>
      </c>
      <c r="H10" s="2">
        <v>353.25</v>
      </c>
      <c r="I10" s="2">
        <v>412.54</v>
      </c>
      <c r="J10" s="2">
        <v>515.76</v>
      </c>
      <c r="K10" s="2">
        <v>604.97</v>
      </c>
      <c r="L10" s="2">
        <v>604.72</v>
      </c>
      <c r="M10" s="2">
        <v>755.43</v>
      </c>
      <c r="N10" s="2">
        <v>781.99</v>
      </c>
    </row>
    <row r="11" spans="1:15">
      <c r="A11" s="88" t="s">
        <v>252</v>
      </c>
      <c r="B11" s="5">
        <v>115.65</v>
      </c>
      <c r="C11" s="5">
        <v>84.92</v>
      </c>
      <c r="D11" s="5">
        <v>90.46</v>
      </c>
      <c r="E11" s="5">
        <v>101.57</v>
      </c>
      <c r="F11" s="5">
        <v>85.33</v>
      </c>
      <c r="G11" s="5">
        <v>85.41</v>
      </c>
      <c r="H11" s="5">
        <v>122.55</v>
      </c>
      <c r="I11" s="5">
        <v>199.66</v>
      </c>
      <c r="J11" s="5">
        <v>284.54000000000002</v>
      </c>
      <c r="K11" s="5">
        <v>360.5</v>
      </c>
      <c r="L11" s="5">
        <v>385.2</v>
      </c>
      <c r="M11" s="5">
        <v>485.8</v>
      </c>
      <c r="N11" s="5">
        <v>511.19</v>
      </c>
    </row>
    <row r="12" spans="1:15">
      <c r="A12" s="88" t="s">
        <v>253</v>
      </c>
      <c r="B12" s="5">
        <v>4631.67</v>
      </c>
      <c r="C12" s="5">
        <v>5752.08</v>
      </c>
      <c r="D12" s="5">
        <v>6649.24</v>
      </c>
      <c r="E12" s="5">
        <v>10656.49</v>
      </c>
      <c r="F12" s="5">
        <v>12642.45</v>
      </c>
      <c r="G12" s="5">
        <v>14340.37</v>
      </c>
      <c r="H12" s="5">
        <v>16629.009999999998</v>
      </c>
      <c r="I12" s="5">
        <v>19411.75</v>
      </c>
      <c r="J12" s="5">
        <v>21879.08</v>
      </c>
      <c r="K12" s="5">
        <v>25287.8</v>
      </c>
      <c r="L12" s="5">
        <v>27492.27</v>
      </c>
      <c r="M12" s="5">
        <v>28779.27</v>
      </c>
      <c r="N12" s="5">
        <v>30910.95</v>
      </c>
    </row>
    <row r="13" spans="1:15"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5">
      <c r="A14" s="61"/>
      <c r="B14" s="61"/>
      <c r="C14" s="61"/>
      <c r="D14" s="61"/>
      <c r="E14" s="61"/>
      <c r="F14" s="61"/>
    </row>
    <row r="15" spans="1:15">
      <c r="A15" s="61"/>
      <c r="B15" s="61"/>
      <c r="C15" s="61"/>
      <c r="D15" s="61"/>
      <c r="E15" s="61"/>
      <c r="F15" s="61"/>
      <c r="J15" s="74"/>
      <c r="K15" s="74"/>
      <c r="L15" s="74"/>
      <c r="M15" s="74"/>
      <c r="N15" s="74"/>
      <c r="O15" s="74"/>
    </row>
    <row r="16" spans="1:15">
      <c r="A16" s="61"/>
      <c r="B16" s="61"/>
      <c r="C16" s="61"/>
      <c r="D16" s="61"/>
      <c r="E16" s="61"/>
      <c r="F16" s="61"/>
    </row>
    <row r="17" spans="1:12">
      <c r="A17" s="61"/>
      <c r="B17" s="61"/>
      <c r="C17" s="61"/>
      <c r="D17" s="61"/>
      <c r="E17" s="61"/>
      <c r="F17" s="61"/>
    </row>
    <row r="19" spans="1:12">
      <c r="A19" s="61"/>
      <c r="B19" s="61"/>
      <c r="C19" s="61"/>
      <c r="D19" s="61"/>
      <c r="E19" s="61"/>
      <c r="F19" s="61"/>
    </row>
    <row r="20" spans="1:12">
      <c r="A20" s="66" t="s">
        <v>59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141</v>
      </c>
    </row>
    <row r="21" spans="1:12">
      <c r="A21" s="70" t="s">
        <v>61</v>
      </c>
      <c r="B21" s="271">
        <f t="shared" ref="B21:F21" si="0">C4</f>
        <v>28.6</v>
      </c>
      <c r="C21" s="271">
        <f t="shared" si="0"/>
        <v>53.79</v>
      </c>
      <c r="D21" s="271">
        <f t="shared" si="0"/>
        <v>24.46</v>
      </c>
      <c r="E21" s="271">
        <f t="shared" si="0"/>
        <v>42.38</v>
      </c>
      <c r="F21" s="271">
        <f t="shared" si="0"/>
        <v>57.34</v>
      </c>
      <c r="G21" s="271">
        <f>H4</f>
        <v>137.55000000000001</v>
      </c>
      <c r="H21" s="271">
        <f>I4</f>
        <v>157.34</v>
      </c>
      <c r="I21" s="271">
        <f>J4</f>
        <v>254.2</v>
      </c>
      <c r="J21" s="271">
        <f>K4</f>
        <v>374.21</v>
      </c>
      <c r="K21" s="272">
        <f>M4</f>
        <v>484.25</v>
      </c>
      <c r="L21" s="157">
        <f>N4</f>
        <v>214.74</v>
      </c>
    </row>
    <row r="22" spans="1:12">
      <c r="A22" s="75" t="s">
        <v>62</v>
      </c>
      <c r="B22" s="76">
        <f t="shared" ref="B22:F22" si="1">C8+C7</f>
        <v>-31.169999999999998</v>
      </c>
      <c r="C22" s="76">
        <f>D8+D7</f>
        <v>-10.030000000000001</v>
      </c>
      <c r="D22" s="76">
        <f t="shared" si="1"/>
        <v>-13.28</v>
      </c>
      <c r="E22" s="76">
        <f t="shared" si="1"/>
        <v>-11.98</v>
      </c>
      <c r="F22" s="76">
        <f t="shared" si="1"/>
        <v>-7.2</v>
      </c>
      <c r="G22" s="76">
        <f>H8+H7</f>
        <v>-7.96</v>
      </c>
      <c r="H22" s="76">
        <f>I8+I7</f>
        <v>-53.47</v>
      </c>
      <c r="I22" s="76">
        <f>J8+J7</f>
        <v>-116.08</v>
      </c>
      <c r="J22" s="76">
        <f>K8+K7</f>
        <v>-262.07</v>
      </c>
      <c r="K22" s="77">
        <f>M8+M7</f>
        <v>-306.77</v>
      </c>
      <c r="L22" s="158">
        <f>N8+N7</f>
        <v>-191.14000000000001</v>
      </c>
    </row>
    <row r="23" spans="1:12">
      <c r="A23" s="79" t="s">
        <v>223</v>
      </c>
      <c r="B23" s="259">
        <f>C9</f>
        <v>0</v>
      </c>
      <c r="C23" s="259">
        <f t="shared" ref="C23:I23" si="2">D9</f>
        <v>0.14000000000000001</v>
      </c>
      <c r="D23" s="259">
        <f t="shared" si="2"/>
        <v>1.78</v>
      </c>
      <c r="E23" s="259">
        <f t="shared" si="2"/>
        <v>1.42</v>
      </c>
      <c r="F23" s="259">
        <f t="shared" si="2"/>
        <v>1.6600000000000001</v>
      </c>
      <c r="G23" s="259">
        <f t="shared" si="2"/>
        <v>2.65</v>
      </c>
      <c r="H23" s="259">
        <f t="shared" si="2"/>
        <v>2.2400000000000002</v>
      </c>
      <c r="I23" s="259">
        <f t="shared" si="2"/>
        <v>3.16</v>
      </c>
      <c r="J23" s="259">
        <f>K9</f>
        <v>6</v>
      </c>
      <c r="K23" s="259">
        <f>M9</f>
        <v>5.72</v>
      </c>
      <c r="L23" s="366">
        <f>N9</f>
        <v>6.31</v>
      </c>
    </row>
    <row r="24" spans="1:12">
      <c r="A24" s="60"/>
      <c r="F24" s="61"/>
      <c r="G24" s="156"/>
    </row>
    <row r="25" spans="1:12">
      <c r="A25" s="209"/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141</v>
      </c>
    </row>
    <row r="26" spans="1:12">
      <c r="A26" s="240" t="s">
        <v>224</v>
      </c>
      <c r="B26" s="274">
        <f t="shared" ref="B26:F26" si="3">(C11-B11-B22)</f>
        <v>0.43999999999999417</v>
      </c>
      <c r="C26" s="274">
        <f t="shared" si="3"/>
        <v>15.569999999999993</v>
      </c>
      <c r="D26" s="274">
        <f t="shared" si="3"/>
        <v>24.39</v>
      </c>
      <c r="E26" s="274">
        <f>(F11-E11-E22)</f>
        <v>-4.2599999999999945</v>
      </c>
      <c r="F26" s="274">
        <f t="shared" si="3"/>
        <v>7.2799999999999985</v>
      </c>
      <c r="G26" s="274">
        <f>(H11-G11-G22)</f>
        <v>45.1</v>
      </c>
      <c r="H26" s="274">
        <f>(I11-H11-H22)</f>
        <v>130.57999999999998</v>
      </c>
      <c r="I26" s="274">
        <f>(J11-I11-I22)</f>
        <v>200.96000000000004</v>
      </c>
      <c r="J26" s="274">
        <f>(K11-J11-J22)</f>
        <v>338.03</v>
      </c>
      <c r="K26" s="275">
        <f>(M11-K11-K22)</f>
        <v>432.07</v>
      </c>
      <c r="L26" s="84">
        <f>(N11-M11-L22)</f>
        <v>216.53</v>
      </c>
    </row>
    <row r="27" spans="1:12">
      <c r="A27" s="240" t="s">
        <v>254</v>
      </c>
      <c r="B27" s="85">
        <f t="shared" ref="B27:F27" si="4">(C11-B11-B22)/B12</f>
        <v>9.4998132423077238E-5</v>
      </c>
      <c r="C27" s="85">
        <f t="shared" si="4"/>
        <v>2.7068469145074465E-3</v>
      </c>
      <c r="D27" s="85">
        <f t="shared" si="4"/>
        <v>3.6680883830332491E-3</v>
      </c>
      <c r="E27" s="85">
        <f t="shared" si="4"/>
        <v>-3.9975639258329847E-4</v>
      </c>
      <c r="F27" s="85">
        <f t="shared" si="4"/>
        <v>5.7583775296718583E-4</v>
      </c>
      <c r="G27" s="85">
        <f>(H11-G11-G22)/G12</f>
        <v>3.1449676681982405E-3</v>
      </c>
      <c r="H27" s="85">
        <f>(I11-H11-H22)/H12</f>
        <v>7.8525420334704232E-3</v>
      </c>
      <c r="I27" s="85">
        <f>(J11-I11-I22)/I12</f>
        <v>1.0352492691282343E-2</v>
      </c>
      <c r="J27" s="85">
        <f>(K11-J11-J22)/J12</f>
        <v>1.5449918369510963E-2</v>
      </c>
      <c r="K27" s="86">
        <f>(M11-K11-K22)/K12</f>
        <v>1.7086104761980084E-2</v>
      </c>
      <c r="L27" s="87">
        <f>L26/M12*2</f>
        <v>1.5047636719068969E-2</v>
      </c>
    </row>
    <row r="28" spans="1:12">
      <c r="A28" s="209"/>
    </row>
    <row r="30" spans="1:12" ht="15">
      <c r="A30" s="239" t="s">
        <v>239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44"/>
  <sheetViews>
    <sheetView showGridLines="0" workbookViewId="0">
      <pane xSplit="1" topLeftCell="B1" activePane="topRight" state="frozenSplit"/>
      <selection pane="topRight" activeCell="L27" sqref="L27"/>
    </sheetView>
  </sheetViews>
  <sheetFormatPr defaultColWidth="9.125" defaultRowHeight="14.25"/>
  <cols>
    <col min="1" max="1" width="17.25" style="65" customWidth="1"/>
    <col min="2" max="2" width="12.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7" width="9.125" style="61"/>
    <col min="8" max="8" width="9.625" style="61" bestFit="1" customWidth="1"/>
    <col min="9" max="16384" width="9.125" style="61"/>
  </cols>
  <sheetData>
    <row r="1" spans="1:16">
      <c r="A1" s="59" t="str">
        <f>[1]!to_tradecode(A2)</f>
        <v>600000</v>
      </c>
      <c r="B1" s="166" t="s">
        <v>149</v>
      </c>
    </row>
    <row r="2" spans="1:16">
      <c r="A2" s="88" t="s">
        <v>79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89">
        <v>41274</v>
      </c>
      <c r="I2" s="3">
        <v>41639</v>
      </c>
      <c r="J2" s="3">
        <v>42004</v>
      </c>
      <c r="K2" s="3">
        <v>42369</v>
      </c>
      <c r="L2" s="89">
        <v>42551</v>
      </c>
      <c r="M2" s="3">
        <v>42735</v>
      </c>
      <c r="N2" s="3">
        <v>42916</v>
      </c>
    </row>
    <row r="3" spans="1:16">
      <c r="A3" s="90" t="s">
        <v>48</v>
      </c>
      <c r="C3" s="278">
        <v>127.82455000000002</v>
      </c>
      <c r="D3" s="278">
        <v>153.30732</v>
      </c>
      <c r="E3" s="278">
        <v>162.98102</v>
      </c>
      <c r="F3" s="278">
        <v>183.46725000000001</v>
      </c>
      <c r="G3" s="278">
        <v>223.76311000000001</v>
      </c>
      <c r="H3" s="92">
        <v>291.12</v>
      </c>
      <c r="I3" s="2">
        <v>357.47</v>
      </c>
      <c r="J3" s="2">
        <v>417.49</v>
      </c>
      <c r="K3" s="2">
        <v>537.66</v>
      </c>
      <c r="L3" s="92">
        <v>741.05</v>
      </c>
      <c r="M3" s="2">
        <v>741.05</v>
      </c>
      <c r="N3" s="2">
        <v>882.49</v>
      </c>
    </row>
    <row r="4" spans="1:16">
      <c r="A4" s="90" t="s">
        <v>80</v>
      </c>
      <c r="C4" s="278">
        <v>35.167350000000006</v>
      </c>
      <c r="D4" s="278">
        <v>34.714150000000004</v>
      </c>
      <c r="E4" s="278">
        <v>30.526630000000001</v>
      </c>
      <c r="F4" s="278">
        <v>45.334010000000006</v>
      </c>
      <c r="G4" s="278">
        <v>71.591180000000008</v>
      </c>
      <c r="H4" s="92">
        <v>76.040000000000006</v>
      </c>
      <c r="I4" s="2">
        <v>104.19</v>
      </c>
      <c r="J4" s="2">
        <v>219.19</v>
      </c>
      <c r="K4" s="2">
        <v>370.7</v>
      </c>
      <c r="L4" s="92">
        <v>244.58</v>
      </c>
      <c r="M4" s="2">
        <v>468.45</v>
      </c>
      <c r="N4" s="2">
        <v>266.89</v>
      </c>
    </row>
    <row r="5" spans="1:16">
      <c r="A5" s="90" t="s">
        <v>81</v>
      </c>
      <c r="C5" s="278">
        <v>-7.7999500000000008</v>
      </c>
      <c r="D5" s="278">
        <v>-5.9879600000000002</v>
      </c>
      <c r="E5" s="278">
        <v>-8.1373800000000003</v>
      </c>
      <c r="F5" s="278">
        <v>-4.1534599999999999</v>
      </c>
      <c r="G5" s="278">
        <v>-5.0870700000000006</v>
      </c>
      <c r="H5" s="92">
        <v>-10.07</v>
      </c>
      <c r="I5" s="2">
        <v>-29.52</v>
      </c>
      <c r="J5" s="2">
        <v>-74.23</v>
      </c>
      <c r="K5" s="2">
        <v>-100.44</v>
      </c>
      <c r="L5" s="92">
        <v>-65.540000000000006</v>
      </c>
      <c r="M5" s="2">
        <v>-152.9</v>
      </c>
      <c r="N5" s="2">
        <v>-142.28</v>
      </c>
    </row>
    <row r="6" spans="1:16">
      <c r="A6" s="90" t="s">
        <v>82</v>
      </c>
      <c r="C6" s="278">
        <v>-0.25029000000000001</v>
      </c>
      <c r="D6" s="278">
        <v>-17.36046</v>
      </c>
      <c r="E6" s="278">
        <v>-5.2470000000000003E-2</v>
      </c>
      <c r="F6" s="278">
        <v>-4.3830000000000001E-2</v>
      </c>
      <c r="G6" s="278"/>
      <c r="H6" s="92"/>
      <c r="I6" s="2">
        <v>-14.85</v>
      </c>
      <c r="J6" s="2">
        <v>-22.03</v>
      </c>
      <c r="K6" s="2">
        <v>-64.319999999999993</v>
      </c>
      <c r="L6" s="92">
        <v>-84.41</v>
      </c>
      <c r="M6" s="2">
        <v>-179.49</v>
      </c>
      <c r="N6" s="2">
        <v>-34.730000000000004</v>
      </c>
    </row>
    <row r="7" spans="1:16">
      <c r="A7" s="90" t="s">
        <v>83</v>
      </c>
      <c r="C7" s="278">
        <v>0.66816000000000009</v>
      </c>
      <c r="D7" s="278">
        <v>0.59264000000000006</v>
      </c>
      <c r="E7" s="278">
        <v>0.69136000000000009</v>
      </c>
      <c r="F7" s="278">
        <v>1.35663</v>
      </c>
      <c r="G7" s="278">
        <v>2.3074300000000001</v>
      </c>
      <c r="H7" s="92">
        <v>2.5</v>
      </c>
      <c r="I7" s="2">
        <v>3.74</v>
      </c>
      <c r="J7" s="2">
        <v>2.92</v>
      </c>
      <c r="K7" s="2">
        <v>6.3</v>
      </c>
      <c r="L7" s="92">
        <v>6.97</v>
      </c>
      <c r="M7" s="2">
        <v>16.5</v>
      </c>
      <c r="N7" s="2">
        <v>11.69</v>
      </c>
    </row>
    <row r="8" spans="1:16">
      <c r="A8" s="90" t="s">
        <v>84</v>
      </c>
      <c r="C8" s="278">
        <v>-2.3025000000000002</v>
      </c>
      <c r="D8" s="278">
        <v>-2.2846700000000002</v>
      </c>
      <c r="E8" s="278">
        <v>-2.5419100000000001</v>
      </c>
      <c r="F8" s="278">
        <v>-2.1975000000000002</v>
      </c>
      <c r="G8" s="278">
        <v>-1.4537100000000001</v>
      </c>
      <c r="H8" s="92">
        <v>-2.12</v>
      </c>
      <c r="I8" s="2">
        <v>-3.54</v>
      </c>
      <c r="J8" s="2">
        <v>-6.3</v>
      </c>
      <c r="K8" s="2">
        <v>-9.14</v>
      </c>
      <c r="L8" s="92">
        <v>-2.57</v>
      </c>
      <c r="M8" s="2">
        <v>-11.66</v>
      </c>
      <c r="N8" s="2">
        <v>-6.5</v>
      </c>
    </row>
    <row r="9" spans="1:16">
      <c r="A9" s="90" t="s">
        <v>85</v>
      </c>
      <c r="C9" s="278"/>
      <c r="D9" s="278"/>
      <c r="E9" s="278"/>
      <c r="F9" s="278"/>
      <c r="G9" s="278"/>
      <c r="H9" s="92"/>
      <c r="I9" s="2"/>
      <c r="J9" s="2">
        <v>0.62</v>
      </c>
      <c r="K9" s="2">
        <v>0.28999999999999998</v>
      </c>
      <c r="L9" s="92">
        <v>0.1</v>
      </c>
      <c r="M9" s="2">
        <v>0.54</v>
      </c>
      <c r="N9" s="2">
        <v>0.09</v>
      </c>
    </row>
    <row r="10" spans="1:16">
      <c r="A10" s="90" t="s">
        <v>57</v>
      </c>
      <c r="C10" s="278">
        <v>153.30732</v>
      </c>
      <c r="D10" s="278">
        <v>162.98102</v>
      </c>
      <c r="E10" s="278">
        <v>183.46725000000001</v>
      </c>
      <c r="F10" s="278">
        <v>223.76311000000001</v>
      </c>
      <c r="G10" s="278">
        <v>291.12094000000002</v>
      </c>
      <c r="H10" s="92">
        <v>357.47</v>
      </c>
      <c r="I10" s="2">
        <v>417.49</v>
      </c>
      <c r="J10" s="2">
        <v>537.66</v>
      </c>
      <c r="K10" s="2">
        <v>741.05</v>
      </c>
      <c r="L10" s="92">
        <v>840.18</v>
      </c>
      <c r="M10" s="2">
        <v>882.49</v>
      </c>
      <c r="N10" s="2">
        <v>977.65</v>
      </c>
    </row>
    <row r="11" spans="1:16">
      <c r="A11" s="88" t="s">
        <v>58</v>
      </c>
      <c r="B11" s="5">
        <v>84.397553000000002</v>
      </c>
      <c r="C11" s="5">
        <v>80.23</v>
      </c>
      <c r="D11" s="5">
        <v>84.671570000000003</v>
      </c>
      <c r="E11" s="5">
        <v>74.600530000000006</v>
      </c>
      <c r="F11" s="5">
        <v>58.798839999999998</v>
      </c>
      <c r="G11" s="5">
        <v>58.271180000000001</v>
      </c>
      <c r="H11" s="93">
        <v>89.4</v>
      </c>
      <c r="I11" s="5">
        <v>130.61000000000001</v>
      </c>
      <c r="J11" s="5">
        <v>215.85</v>
      </c>
      <c r="K11" s="5">
        <v>350.54</v>
      </c>
      <c r="L11" s="93">
        <v>403.36</v>
      </c>
      <c r="M11" s="5">
        <v>521.78</v>
      </c>
      <c r="N11" s="2">
        <v>633.97</v>
      </c>
    </row>
    <row r="12" spans="1:16">
      <c r="A12" s="88" t="s">
        <v>86</v>
      </c>
      <c r="B12" s="5">
        <v>4608.9300199999998</v>
      </c>
      <c r="C12" s="5">
        <v>5509.8837800000001</v>
      </c>
      <c r="D12" s="5">
        <v>6975.6467000000002</v>
      </c>
      <c r="E12" s="5">
        <v>9288.5475000000006</v>
      </c>
      <c r="F12" s="5">
        <v>11464.89301</v>
      </c>
      <c r="G12" s="5">
        <v>13314.36044</v>
      </c>
      <c r="H12" s="93">
        <v>15445.53</v>
      </c>
      <c r="I12" s="5">
        <v>17674.939999999999</v>
      </c>
      <c r="J12" s="5">
        <v>20283.8</v>
      </c>
      <c r="K12" s="5">
        <v>22455.18</v>
      </c>
      <c r="L12" s="93">
        <v>24487.65</v>
      </c>
      <c r="M12" s="5">
        <v>27628.06</v>
      </c>
      <c r="N12" s="2">
        <v>30274.86</v>
      </c>
    </row>
    <row r="13" spans="1:16"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</row>
    <row r="14" spans="1:16">
      <c r="A14" s="61"/>
      <c r="B14" s="61"/>
      <c r="C14" s="61"/>
      <c r="D14" s="61"/>
      <c r="E14" s="61"/>
      <c r="F14" s="61"/>
    </row>
    <row r="15" spans="1:16">
      <c r="A15" s="61"/>
      <c r="B15" s="61"/>
      <c r="C15" s="61"/>
      <c r="D15" s="61"/>
      <c r="E15" s="61"/>
      <c r="F15" s="61"/>
      <c r="J15" s="74"/>
      <c r="K15" s="74"/>
      <c r="L15" s="74"/>
      <c r="M15" s="74"/>
      <c r="N15" s="74"/>
      <c r="O15" s="74"/>
      <c r="P15" s="74"/>
    </row>
    <row r="16" spans="1:16">
      <c r="A16" s="61"/>
      <c r="B16" s="61"/>
      <c r="C16" s="61"/>
      <c r="D16" s="61"/>
      <c r="E16" s="61"/>
      <c r="F16" s="61"/>
    </row>
    <row r="17" spans="1:12">
      <c r="A17" s="61"/>
      <c r="B17" s="61"/>
      <c r="C17" s="61"/>
      <c r="D17" s="61"/>
      <c r="E17" s="61"/>
      <c r="F17" s="61"/>
    </row>
    <row r="18" spans="1:12">
      <c r="B18" s="61"/>
      <c r="C18" s="61"/>
      <c r="D18" s="61"/>
      <c r="E18" s="61"/>
      <c r="F18" s="61"/>
    </row>
    <row r="19" spans="1:12">
      <c r="A19" s="61"/>
      <c r="B19" s="61"/>
      <c r="C19" s="61"/>
      <c r="D19" s="61"/>
      <c r="E19" s="61"/>
      <c r="F19" s="61"/>
    </row>
    <row r="20" spans="1:12">
      <c r="A20" s="66" t="s">
        <v>59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250</v>
      </c>
    </row>
    <row r="21" spans="1:12">
      <c r="A21" s="70" t="s">
        <v>61</v>
      </c>
      <c r="B21" s="279">
        <f t="shared" ref="B21:F21" si="0">C4</f>
        <v>35.167350000000006</v>
      </c>
      <c r="C21" s="279">
        <f t="shared" si="0"/>
        <v>34.714150000000004</v>
      </c>
      <c r="D21" s="279">
        <f t="shared" si="0"/>
        <v>30.526630000000001</v>
      </c>
      <c r="E21" s="279">
        <f t="shared" si="0"/>
        <v>45.334010000000006</v>
      </c>
      <c r="F21" s="279">
        <f t="shared" si="0"/>
        <v>71.591180000000008</v>
      </c>
      <c r="G21" s="271">
        <f>H4</f>
        <v>76.040000000000006</v>
      </c>
      <c r="H21" s="271">
        <f>I4</f>
        <v>104.19</v>
      </c>
      <c r="I21" s="271">
        <f>J4</f>
        <v>219.19</v>
      </c>
      <c r="J21" s="271">
        <f>K4</f>
        <v>370.7</v>
      </c>
      <c r="K21" s="272">
        <f>M4</f>
        <v>468.45</v>
      </c>
      <c r="L21" s="157">
        <f>N4</f>
        <v>266.89</v>
      </c>
    </row>
    <row r="22" spans="1:12">
      <c r="A22" s="75" t="s">
        <v>62</v>
      </c>
      <c r="B22" s="258">
        <f t="shared" ref="B22:F22" si="1">C6+C5</f>
        <v>-8.0502400000000005</v>
      </c>
      <c r="C22" s="258">
        <f t="shared" si="1"/>
        <v>-23.348420000000001</v>
      </c>
      <c r="D22" s="258">
        <f t="shared" si="1"/>
        <v>-8.1898499999999999</v>
      </c>
      <c r="E22" s="258">
        <f t="shared" si="1"/>
        <v>-4.1972899999999997</v>
      </c>
      <c r="F22" s="258">
        <f t="shared" si="1"/>
        <v>-5.0870700000000006</v>
      </c>
      <c r="G22" s="76">
        <f>H6+H5</f>
        <v>-10.07</v>
      </c>
      <c r="H22" s="76">
        <f>I6+I5</f>
        <v>-44.37</v>
      </c>
      <c r="I22" s="76">
        <f>J6+J5</f>
        <v>-96.26</v>
      </c>
      <c r="J22" s="76">
        <f>K6+K5</f>
        <v>-164.76</v>
      </c>
      <c r="K22" s="77">
        <f>M6+M5</f>
        <v>-332.39</v>
      </c>
      <c r="L22" s="158">
        <f>N6+N5</f>
        <v>-177.01</v>
      </c>
    </row>
    <row r="23" spans="1:12">
      <c r="A23" s="79" t="s">
        <v>63</v>
      </c>
      <c r="B23" s="259">
        <f t="shared" ref="B23:F23" si="2">C7</f>
        <v>0.66816000000000009</v>
      </c>
      <c r="C23" s="259">
        <f t="shared" si="2"/>
        <v>0.59264000000000006</v>
      </c>
      <c r="D23" s="259">
        <f t="shared" si="2"/>
        <v>0.69136000000000009</v>
      </c>
      <c r="E23" s="259">
        <f t="shared" si="2"/>
        <v>1.35663</v>
      </c>
      <c r="F23" s="259">
        <f t="shared" si="2"/>
        <v>2.3074300000000001</v>
      </c>
      <c r="G23" s="80">
        <f>H7</f>
        <v>2.5</v>
      </c>
      <c r="H23" s="80">
        <f>I7</f>
        <v>3.74</v>
      </c>
      <c r="I23" s="80">
        <f>J7</f>
        <v>2.92</v>
      </c>
      <c r="J23" s="80">
        <f>K7</f>
        <v>6.3</v>
      </c>
      <c r="K23" s="81">
        <f>M7</f>
        <v>16.5</v>
      </c>
      <c r="L23" s="159">
        <f>N7</f>
        <v>11.69</v>
      </c>
    </row>
    <row r="24" spans="1:12">
      <c r="A24" s="60"/>
      <c r="C24" s="94"/>
      <c r="H24" s="149"/>
    </row>
    <row r="25" spans="1:12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126</v>
      </c>
    </row>
    <row r="26" spans="1:12">
      <c r="A26" s="152" t="s">
        <v>87</v>
      </c>
      <c r="B26" s="274">
        <f t="shared" ref="B26:F26" si="3">(C11-B11-B22)</f>
        <v>3.8826870000000024</v>
      </c>
      <c r="C26" s="274">
        <f t="shared" si="3"/>
        <v>27.78999</v>
      </c>
      <c r="D26" s="274">
        <f t="shared" si="3"/>
        <v>-1.8811899999999966</v>
      </c>
      <c r="E26" s="274">
        <f t="shared" si="3"/>
        <v>-11.604400000000009</v>
      </c>
      <c r="F26" s="274">
        <f t="shared" si="3"/>
        <v>4.5594100000000033</v>
      </c>
      <c r="G26" s="274">
        <f>(H11-G11-G22)</f>
        <v>41.198820000000005</v>
      </c>
      <c r="H26" s="274">
        <f>(I11-H11-H22)</f>
        <v>85.580000000000013</v>
      </c>
      <c r="I26" s="274">
        <f>(J11-I11-I22)</f>
        <v>181.5</v>
      </c>
      <c r="J26" s="274">
        <f>(K11-J11-J22)</f>
        <v>299.45000000000005</v>
      </c>
      <c r="K26" s="275">
        <f>(M11-K11-K22)</f>
        <v>503.62999999999994</v>
      </c>
      <c r="L26" s="84">
        <f>(N11-M11-L22)</f>
        <v>289.20000000000005</v>
      </c>
    </row>
    <row r="27" spans="1:12">
      <c r="A27" s="152" t="s">
        <v>64</v>
      </c>
      <c r="B27" s="85">
        <f t="shared" ref="B27:F27" si="4">(C11-B11-B22)/B12</f>
        <v>8.4242698048168734E-4</v>
      </c>
      <c r="C27" s="85">
        <f t="shared" si="4"/>
        <v>5.0436617376346908E-3</v>
      </c>
      <c r="D27" s="85">
        <f t="shared" si="4"/>
        <v>-2.6967965565113792E-4</v>
      </c>
      <c r="E27" s="85">
        <f t="shared" si="4"/>
        <v>-1.2493234275864993E-3</v>
      </c>
      <c r="F27" s="85">
        <f t="shared" si="4"/>
        <v>3.9768447869711112E-4</v>
      </c>
      <c r="G27" s="85">
        <f>(H11-G11-G22)/G12</f>
        <v>3.0943146075741962E-3</v>
      </c>
      <c r="H27" s="85">
        <f>(I11-H11-H22)/H12</f>
        <v>5.540761631358717E-3</v>
      </c>
      <c r="I27" s="85">
        <f>(J11-I11-I22)/I12</f>
        <v>1.0268776018475877E-2</v>
      </c>
      <c r="J27" s="85">
        <f>(K11-J11-J22)/J12</f>
        <v>1.4763012847691263E-2</v>
      </c>
      <c r="K27" s="86">
        <f>(M11-K11-K22)/K12</f>
        <v>2.2428232594884561E-2</v>
      </c>
      <c r="L27" s="87">
        <f>(N11-M11-L22)/M12*2</f>
        <v>2.0935237580923166E-2</v>
      </c>
    </row>
    <row r="28" spans="1:12">
      <c r="A28" s="61"/>
      <c r="B28" s="61"/>
      <c r="C28" s="61"/>
      <c r="D28" s="61"/>
      <c r="E28" s="61"/>
      <c r="F28" s="61"/>
    </row>
    <row r="29" spans="1:12">
      <c r="A29" s="61"/>
      <c r="B29" s="61"/>
      <c r="C29" s="61"/>
      <c r="D29" s="61"/>
      <c r="E29" s="61"/>
      <c r="F29" s="61"/>
      <c r="G29" s="335"/>
      <c r="H29" s="335"/>
      <c r="I29" s="335"/>
      <c r="J29" s="335"/>
      <c r="K29" s="335"/>
      <c r="L29" s="335"/>
    </row>
    <row r="30" spans="1:12" ht="15">
      <c r="A30" s="239" t="s">
        <v>239</v>
      </c>
      <c r="B30" s="61"/>
      <c r="C30" s="61"/>
      <c r="D30" s="61"/>
      <c r="E30" s="61"/>
      <c r="F30" s="61"/>
      <c r="G30" s="365"/>
      <c r="H30" s="365"/>
      <c r="I30" s="365"/>
      <c r="J30" s="365"/>
      <c r="K30" s="365"/>
      <c r="L30" s="365"/>
    </row>
    <row r="31" spans="1:12">
      <c r="A31" s="61"/>
      <c r="B31" s="61"/>
      <c r="C31" s="61"/>
      <c r="D31" s="61"/>
      <c r="E31" s="61"/>
      <c r="F31" s="61"/>
    </row>
    <row r="32" spans="1:12">
      <c r="A32" s="61"/>
      <c r="B32" s="61"/>
      <c r="C32" s="61"/>
      <c r="D32" s="61"/>
      <c r="E32" s="61"/>
      <c r="F32" s="61"/>
    </row>
    <row r="33" spans="1:6">
      <c r="A33" s="61"/>
      <c r="B33" s="61"/>
      <c r="C33" s="61"/>
      <c r="D33" s="61"/>
      <c r="E33" s="61"/>
      <c r="F33" s="61"/>
    </row>
    <row r="34" spans="1:6">
      <c r="A34" s="61"/>
      <c r="B34" s="61"/>
      <c r="C34" s="61"/>
      <c r="D34" s="61"/>
      <c r="E34" s="61"/>
      <c r="F34" s="61"/>
    </row>
    <row r="35" spans="1:6">
      <c r="A35" s="61"/>
      <c r="B35" s="61"/>
      <c r="C35" s="61"/>
      <c r="D35" s="61"/>
      <c r="E35" s="61"/>
      <c r="F35" s="61"/>
    </row>
    <row r="36" spans="1:6">
      <c r="A36" s="61"/>
      <c r="B36" s="61"/>
      <c r="C36" s="61"/>
      <c r="D36" s="61"/>
      <c r="E36" s="61"/>
      <c r="F36" s="61"/>
    </row>
    <row r="37" spans="1:6">
      <c r="A37" s="61"/>
      <c r="B37" s="61"/>
      <c r="C37" s="61"/>
      <c r="D37" s="61"/>
      <c r="E37" s="61"/>
      <c r="F37" s="61"/>
    </row>
    <row r="38" spans="1:6">
      <c r="A38" s="61"/>
      <c r="B38" s="61"/>
      <c r="C38" s="61"/>
      <c r="D38" s="61"/>
      <c r="E38" s="61"/>
      <c r="F38" s="61"/>
    </row>
    <row r="39" spans="1:6">
      <c r="A39" s="61"/>
      <c r="B39" s="61"/>
      <c r="C39" s="61"/>
      <c r="D39" s="61"/>
      <c r="E39" s="61"/>
      <c r="F39" s="61"/>
    </row>
    <row r="40" spans="1:6">
      <c r="A40" s="61"/>
      <c r="B40" s="61"/>
      <c r="C40" s="61"/>
      <c r="D40" s="61"/>
      <c r="E40" s="61"/>
      <c r="F40" s="61"/>
    </row>
    <row r="41" spans="1:6">
      <c r="A41" s="61"/>
      <c r="B41" s="61"/>
      <c r="C41" s="61"/>
      <c r="D41" s="61"/>
      <c r="E41" s="61"/>
      <c r="F41" s="61"/>
    </row>
    <row r="42" spans="1:6">
      <c r="A42" s="61"/>
      <c r="B42" s="61"/>
      <c r="C42" s="61"/>
      <c r="D42" s="61"/>
      <c r="E42" s="61"/>
      <c r="F42" s="61"/>
    </row>
    <row r="43" spans="1:6">
      <c r="A43" s="61"/>
      <c r="B43" s="61"/>
      <c r="C43" s="61"/>
      <c r="D43" s="61"/>
      <c r="E43" s="61"/>
      <c r="F43" s="61"/>
    </row>
    <row r="44" spans="1:6">
      <c r="A44" s="61"/>
      <c r="B44" s="61"/>
      <c r="C44" s="61"/>
      <c r="D44" s="61"/>
      <c r="E44" s="61"/>
      <c r="F44" s="61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32"/>
  <sheetViews>
    <sheetView showGridLines="0" topLeftCell="A2" workbookViewId="0">
      <pane xSplit="1" topLeftCell="B1" activePane="topRight" state="frozenSplit"/>
      <selection pane="topRight" activeCell="C22" sqref="C22"/>
    </sheetView>
  </sheetViews>
  <sheetFormatPr defaultColWidth="9" defaultRowHeight="12"/>
  <cols>
    <col min="1" max="1" width="17.25" style="127" customWidth="1"/>
    <col min="2" max="2" width="11.25" style="91" customWidth="1"/>
    <col min="3" max="3" width="10.875" style="91" customWidth="1"/>
    <col min="4" max="4" width="11.25" style="91" customWidth="1"/>
    <col min="5" max="5" width="10.75" style="91" customWidth="1"/>
    <col min="6" max="6" width="10.875" style="91" customWidth="1"/>
    <col min="7" max="16384" width="9" style="128"/>
  </cols>
  <sheetData>
    <row r="1" spans="1:22">
      <c r="A1" s="127" t="str">
        <f>[1]!to_tradecode(A2)</f>
        <v>600016</v>
      </c>
      <c r="B1" s="166" t="s">
        <v>255</v>
      </c>
    </row>
    <row r="2" spans="1:22">
      <c r="A2" s="88" t="s">
        <v>256</v>
      </c>
      <c r="B2" s="3">
        <v>39082</v>
      </c>
      <c r="C2" s="276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2">
      <c r="A3" s="88" t="s">
        <v>48</v>
      </c>
      <c r="C3" s="109">
        <v>64.165649999999999</v>
      </c>
      <c r="D3" s="2">
        <v>76.63</v>
      </c>
      <c r="E3" s="2">
        <v>118.85</v>
      </c>
      <c r="F3" s="2">
        <v>152.41</v>
      </c>
      <c r="G3" s="2">
        <v>198.48000000000002</v>
      </c>
      <c r="H3" s="2">
        <v>269.36</v>
      </c>
      <c r="I3" s="2">
        <v>330.98</v>
      </c>
      <c r="J3" s="2">
        <v>348.16</v>
      </c>
      <c r="K3" s="2">
        <v>385.07</v>
      </c>
      <c r="L3" s="2">
        <v>504.23</v>
      </c>
      <c r="M3" s="2">
        <v>504.23</v>
      </c>
      <c r="N3" s="2">
        <v>643.94000000000005</v>
      </c>
    </row>
    <row r="4" spans="1:22">
      <c r="A4" s="88" t="s">
        <v>257</v>
      </c>
      <c r="C4" s="109">
        <v>22.364810000000002</v>
      </c>
      <c r="D4" s="2">
        <v>57.72</v>
      </c>
      <c r="E4" s="2">
        <v>48.660000000000004</v>
      </c>
      <c r="F4" s="2">
        <v>62.370000000000005</v>
      </c>
      <c r="G4" s="2">
        <v>90.48</v>
      </c>
      <c r="H4" s="2">
        <v>95.37</v>
      </c>
      <c r="I4" s="2">
        <v>150.91</v>
      </c>
      <c r="J4" s="2">
        <v>225.59</v>
      </c>
      <c r="K4" s="2">
        <v>355.28</v>
      </c>
      <c r="L4" s="2">
        <v>220.98</v>
      </c>
      <c r="M4" s="2">
        <v>431.62</v>
      </c>
      <c r="N4" s="2">
        <v>177.35</v>
      </c>
    </row>
    <row r="5" spans="1:22">
      <c r="A5" s="88" t="s">
        <v>51</v>
      </c>
      <c r="C5" s="109">
        <f>(-35650-792091)*0.00001</f>
        <v>-8.2774100000000015</v>
      </c>
      <c r="D5" s="2">
        <v>-13.4</v>
      </c>
      <c r="E5" s="2">
        <f>(-1345)*0.01</f>
        <v>-13.450000000000001</v>
      </c>
      <c r="F5" s="2">
        <v>-7.73</v>
      </c>
      <c r="G5" s="2">
        <f>(-2-861)*0.01</f>
        <v>-8.6300000000000008</v>
      </c>
      <c r="H5" s="2">
        <v>-22.83</v>
      </c>
      <c r="I5" s="2">
        <v>-113.52000000000001</v>
      </c>
      <c r="J5" s="2">
        <v>-171.75</v>
      </c>
      <c r="K5" s="2">
        <v>-213.2</v>
      </c>
      <c r="L5" s="2">
        <v>-135.61000000000001</v>
      </c>
      <c r="M5" s="2">
        <v>-282.10000000000002</v>
      </c>
      <c r="N5" s="2">
        <v>-111.61</v>
      </c>
    </row>
    <row r="6" spans="1:22">
      <c r="A6" s="88" t="s">
        <v>52</v>
      </c>
      <c r="C6" s="109"/>
      <c r="D6" s="2">
        <v>-0.86</v>
      </c>
      <c r="E6" s="2">
        <v>-0.74</v>
      </c>
      <c r="F6" s="2">
        <v>-9.34</v>
      </c>
      <c r="G6" s="2">
        <v>-10.75</v>
      </c>
      <c r="H6" s="2">
        <v>-12.06</v>
      </c>
      <c r="I6" s="2">
        <v>-21.44</v>
      </c>
      <c r="J6" s="2">
        <v>-26.31</v>
      </c>
      <c r="K6" s="2">
        <v>-24.99</v>
      </c>
      <c r="L6" s="2">
        <v>-12.82</v>
      </c>
      <c r="M6" s="2">
        <v>-19.48</v>
      </c>
      <c r="N6" s="2">
        <v>-14.05</v>
      </c>
    </row>
    <row r="7" spans="1:22">
      <c r="A7" s="88" t="s">
        <v>258</v>
      </c>
      <c r="C7" s="109">
        <v>0.10153000000000001</v>
      </c>
      <c r="D7" s="2">
        <v>0.56000000000000005</v>
      </c>
      <c r="E7" s="2">
        <v>0.87</v>
      </c>
      <c r="F7" s="2">
        <v>2.46</v>
      </c>
      <c r="G7" s="2">
        <v>2.2200000000000002</v>
      </c>
      <c r="H7" s="2">
        <v>4.4800000000000004</v>
      </c>
      <c r="I7" s="2">
        <v>5.96</v>
      </c>
      <c r="J7" s="2">
        <v>16.16</v>
      </c>
      <c r="K7" s="2">
        <v>11.65</v>
      </c>
      <c r="L7" s="2">
        <v>8.56</v>
      </c>
      <c r="M7" s="2">
        <v>18.489999999999998</v>
      </c>
      <c r="N7" s="2">
        <v>8.91</v>
      </c>
    </row>
    <row r="8" spans="1:22">
      <c r="A8" s="88" t="s">
        <v>124</v>
      </c>
      <c r="C8" s="109">
        <v>-1.6028200000000001</v>
      </c>
      <c r="D8" s="2">
        <v>-1.6400000000000001</v>
      </c>
      <c r="E8" s="2">
        <v>-1.78</v>
      </c>
      <c r="F8" s="2">
        <v>-1.7</v>
      </c>
      <c r="G8" s="2">
        <v>-2.34</v>
      </c>
      <c r="H8" s="2">
        <v>-3.34</v>
      </c>
      <c r="I8" s="2">
        <v>-4.7</v>
      </c>
      <c r="J8" s="2">
        <v>-6.74</v>
      </c>
      <c r="K8" s="2">
        <v>-10.32</v>
      </c>
      <c r="L8" s="2">
        <v>-4.8099999999999996</v>
      </c>
      <c r="M8" s="2">
        <v>-9.6999999999999993</v>
      </c>
      <c r="N8" s="2">
        <v>-4.46</v>
      </c>
    </row>
    <row r="9" spans="1:22">
      <c r="A9" s="88" t="s">
        <v>125</v>
      </c>
      <c r="C9" s="109">
        <v>-0.1232</v>
      </c>
      <c r="D9" s="2">
        <v>-0.16</v>
      </c>
      <c r="E9" s="2">
        <v>0</v>
      </c>
      <c r="F9" s="2">
        <v>0.01</v>
      </c>
      <c r="G9" s="2">
        <v>-0.1</v>
      </c>
      <c r="H9" s="2"/>
      <c r="I9" s="2">
        <v>-0.03</v>
      </c>
      <c r="J9" s="2">
        <v>-0.04</v>
      </c>
      <c r="K9" s="2">
        <v>0.74</v>
      </c>
      <c r="L9" s="2">
        <v>0.33</v>
      </c>
      <c r="M9" s="2">
        <v>0.88</v>
      </c>
      <c r="N9" s="2">
        <v>-0.75</v>
      </c>
    </row>
    <row r="10" spans="1:22">
      <c r="A10" s="88" t="s">
        <v>57</v>
      </c>
      <c r="C10" s="109">
        <v>76.628560000000007</v>
      </c>
      <c r="D10" s="2">
        <v>118.85000000000001</v>
      </c>
      <c r="E10" s="2">
        <v>152.41</v>
      </c>
      <c r="F10" s="2">
        <v>198.48000000000002</v>
      </c>
      <c r="G10" s="2">
        <v>269.36</v>
      </c>
      <c r="H10" s="2">
        <v>330.98</v>
      </c>
      <c r="I10" s="2">
        <v>348.16</v>
      </c>
      <c r="J10" s="2">
        <v>385.07</v>
      </c>
      <c r="K10" s="2">
        <v>504.23</v>
      </c>
      <c r="L10" s="2">
        <v>580.86</v>
      </c>
      <c r="M10" s="2">
        <v>643.94000000000005</v>
      </c>
      <c r="N10" s="2">
        <v>699.33</v>
      </c>
    </row>
    <row r="11" spans="1:22">
      <c r="A11" s="88" t="s">
        <v>259</v>
      </c>
      <c r="B11" s="5">
        <v>55.02</v>
      </c>
      <c r="C11" s="5">
        <v>67.730400000000003</v>
      </c>
      <c r="D11" s="5">
        <v>79.209999999999994</v>
      </c>
      <c r="E11" s="5">
        <v>73.97</v>
      </c>
      <c r="F11" s="5">
        <v>73.39</v>
      </c>
      <c r="G11" s="5">
        <v>75.39</v>
      </c>
      <c r="H11" s="5">
        <v>105.23</v>
      </c>
      <c r="I11" s="5">
        <v>134.04</v>
      </c>
      <c r="J11" s="5">
        <v>211.34</v>
      </c>
      <c r="K11" s="5">
        <v>328.21</v>
      </c>
      <c r="L11" s="5">
        <v>380.77</v>
      </c>
      <c r="M11" s="5">
        <v>414.35</v>
      </c>
      <c r="N11" s="5">
        <v>456.1</v>
      </c>
    </row>
    <row r="12" spans="1:22">
      <c r="A12" s="88" t="s">
        <v>260</v>
      </c>
      <c r="B12" s="5">
        <v>4474.4724800000004</v>
      </c>
      <c r="C12" s="5">
        <v>5549.5852800000002</v>
      </c>
      <c r="D12" s="5">
        <v>6583.6</v>
      </c>
      <c r="E12" s="5">
        <v>8829.7900000000009</v>
      </c>
      <c r="F12" s="5">
        <v>10575.71</v>
      </c>
      <c r="G12" s="5">
        <v>12052.21</v>
      </c>
      <c r="H12" s="5">
        <v>13846.1</v>
      </c>
      <c r="I12" s="5">
        <v>15742.63</v>
      </c>
      <c r="J12" s="5">
        <v>18126.66</v>
      </c>
      <c r="K12" s="5">
        <v>20480.48</v>
      </c>
      <c r="L12" s="5">
        <v>22747.1</v>
      </c>
      <c r="M12" s="5">
        <v>24615.86</v>
      </c>
      <c r="N12" s="5">
        <v>27062.94</v>
      </c>
    </row>
    <row r="13" spans="1:22"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</row>
    <row r="14" spans="1:22">
      <c r="A14" s="128"/>
      <c r="B14" s="128"/>
      <c r="C14" s="364"/>
      <c r="D14" s="364"/>
      <c r="E14" s="364"/>
      <c r="F14" s="364"/>
      <c r="G14" s="364"/>
      <c r="H14" s="364"/>
      <c r="I14" s="364"/>
      <c r="J14" s="364"/>
      <c r="K14" s="364"/>
      <c r="L14" s="364"/>
      <c r="M14" s="364"/>
      <c r="N14" s="364"/>
    </row>
    <row r="15" spans="1:22">
      <c r="A15" s="128"/>
      <c r="B15" s="128"/>
      <c r="C15" s="128"/>
      <c r="D15" s="128"/>
      <c r="E15" s="128"/>
      <c r="F15" s="128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</row>
    <row r="16" spans="1:22">
      <c r="A16" s="128"/>
      <c r="B16" s="128"/>
      <c r="C16" s="128"/>
      <c r="D16" s="128"/>
      <c r="E16" s="128"/>
      <c r="F16" s="128"/>
      <c r="P16" s="131"/>
      <c r="Q16" s="131"/>
      <c r="R16" s="131"/>
      <c r="S16" s="131"/>
      <c r="T16" s="131"/>
      <c r="U16" s="131"/>
      <c r="V16" s="131"/>
    </row>
    <row r="17" spans="1:22">
      <c r="A17" s="128"/>
      <c r="B17" s="128"/>
      <c r="C17" s="128"/>
      <c r="D17" s="128"/>
      <c r="E17" s="128"/>
      <c r="F17" s="128"/>
      <c r="P17" s="131"/>
      <c r="Q17" s="131"/>
      <c r="R17" s="131"/>
      <c r="S17" s="131"/>
      <c r="T17" s="131"/>
      <c r="U17" s="131"/>
      <c r="V17" s="131"/>
    </row>
    <row r="18" spans="1:22">
      <c r="B18" s="128"/>
      <c r="C18" s="128"/>
      <c r="D18" s="128"/>
      <c r="E18" s="128"/>
      <c r="F18" s="128"/>
      <c r="P18" s="131"/>
      <c r="Q18" s="131"/>
      <c r="R18" s="131"/>
      <c r="S18" s="131"/>
      <c r="T18" s="131"/>
      <c r="U18" s="131"/>
      <c r="V18" s="131"/>
    </row>
    <row r="19" spans="1:22">
      <c r="A19" s="128"/>
      <c r="B19" s="128"/>
      <c r="C19" s="128"/>
      <c r="D19" s="128"/>
      <c r="E19" s="128"/>
      <c r="F19" s="128"/>
      <c r="P19" s="131"/>
      <c r="Q19" s="131"/>
      <c r="R19" s="131"/>
      <c r="S19" s="131"/>
      <c r="T19" s="131"/>
      <c r="U19" s="131"/>
      <c r="V19" s="131"/>
    </row>
    <row r="20" spans="1:22" ht="12.75">
      <c r="A20" s="129" t="s">
        <v>261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262</v>
      </c>
      <c r="P20" s="131"/>
      <c r="Q20" s="131"/>
      <c r="R20" s="131"/>
      <c r="S20" s="131"/>
      <c r="T20" s="131"/>
      <c r="U20" s="131"/>
      <c r="V20" s="131"/>
    </row>
    <row r="21" spans="1:22" ht="12.75">
      <c r="A21" s="130" t="s">
        <v>263</v>
      </c>
      <c r="B21" s="279">
        <f t="shared" ref="B21:J22" si="0">C4</f>
        <v>22.364810000000002</v>
      </c>
      <c r="C21" s="271">
        <f t="shared" si="0"/>
        <v>57.72</v>
      </c>
      <c r="D21" s="271">
        <f t="shared" si="0"/>
        <v>48.660000000000004</v>
      </c>
      <c r="E21" s="271">
        <f t="shared" si="0"/>
        <v>62.370000000000005</v>
      </c>
      <c r="F21" s="271">
        <f t="shared" si="0"/>
        <v>90.48</v>
      </c>
      <c r="G21" s="271">
        <f t="shared" si="0"/>
        <v>95.37</v>
      </c>
      <c r="H21" s="271">
        <f t="shared" si="0"/>
        <v>150.91</v>
      </c>
      <c r="I21" s="271">
        <f t="shared" si="0"/>
        <v>225.59</v>
      </c>
      <c r="J21" s="271">
        <f t="shared" si="0"/>
        <v>355.28</v>
      </c>
      <c r="K21" s="272">
        <f>M4</f>
        <v>431.62</v>
      </c>
      <c r="L21" s="157">
        <f>N4</f>
        <v>177.35</v>
      </c>
      <c r="P21" s="131"/>
      <c r="Q21" s="131"/>
      <c r="R21" s="131"/>
      <c r="S21" s="131"/>
      <c r="T21" s="131"/>
      <c r="U21" s="131"/>
      <c r="V21" s="131"/>
    </row>
    <row r="22" spans="1:22" ht="12.75">
      <c r="A22" s="132" t="s">
        <v>62</v>
      </c>
      <c r="B22" s="258">
        <f>C5</f>
        <v>-8.2774100000000015</v>
      </c>
      <c r="C22" s="76">
        <f t="shared" si="0"/>
        <v>-13.4</v>
      </c>
      <c r="D22" s="76">
        <f t="shared" si="0"/>
        <v>-13.450000000000001</v>
      </c>
      <c r="E22" s="76">
        <f t="shared" si="0"/>
        <v>-7.73</v>
      </c>
      <c r="F22" s="76">
        <f t="shared" si="0"/>
        <v>-8.6300000000000008</v>
      </c>
      <c r="G22" s="76">
        <f t="shared" si="0"/>
        <v>-22.83</v>
      </c>
      <c r="H22" s="76">
        <f t="shared" si="0"/>
        <v>-113.52000000000001</v>
      </c>
      <c r="I22" s="76">
        <f t="shared" si="0"/>
        <v>-171.75</v>
      </c>
      <c r="J22" s="76">
        <f t="shared" si="0"/>
        <v>-213.2</v>
      </c>
      <c r="K22" s="77">
        <f>M5</f>
        <v>-282.10000000000002</v>
      </c>
      <c r="L22" s="158">
        <f>N5</f>
        <v>-111.61</v>
      </c>
      <c r="P22" s="131"/>
      <c r="Q22" s="131"/>
      <c r="R22" s="131"/>
      <c r="S22" s="131"/>
      <c r="T22" s="131"/>
      <c r="U22" s="131"/>
      <c r="V22" s="131"/>
    </row>
    <row r="23" spans="1:22" ht="12.75">
      <c r="A23" s="133" t="s">
        <v>63</v>
      </c>
      <c r="B23" s="259">
        <f t="shared" ref="B23:F23" si="1">C7</f>
        <v>0.10153000000000001</v>
      </c>
      <c r="C23" s="80">
        <f t="shared" si="1"/>
        <v>0.56000000000000005</v>
      </c>
      <c r="D23" s="80">
        <f t="shared" si="1"/>
        <v>0.87</v>
      </c>
      <c r="E23" s="80">
        <f t="shared" si="1"/>
        <v>2.46</v>
      </c>
      <c r="F23" s="80">
        <f t="shared" si="1"/>
        <v>2.2200000000000002</v>
      </c>
      <c r="G23" s="80">
        <f>H7</f>
        <v>4.4800000000000004</v>
      </c>
      <c r="H23" s="80">
        <f>I7</f>
        <v>5.96</v>
      </c>
      <c r="I23" s="80">
        <f>J7</f>
        <v>16.16</v>
      </c>
      <c r="J23" s="80">
        <f>K7</f>
        <v>11.65</v>
      </c>
      <c r="K23" s="81">
        <f>M7</f>
        <v>18.489999999999998</v>
      </c>
      <c r="L23" s="159">
        <f>N7</f>
        <v>8.91</v>
      </c>
      <c r="P23" s="131"/>
      <c r="Q23" s="131"/>
      <c r="R23" s="131"/>
      <c r="S23" s="131"/>
      <c r="T23" s="131"/>
      <c r="U23" s="131"/>
      <c r="V23" s="131"/>
    </row>
    <row r="24" spans="1:22">
      <c r="A24" s="91"/>
      <c r="G24" s="91"/>
      <c r="H24" s="91"/>
      <c r="I24" s="91"/>
      <c r="J24" s="91"/>
      <c r="L24" s="134"/>
      <c r="P24" s="131"/>
      <c r="Q24" s="131"/>
      <c r="R24" s="131"/>
      <c r="S24" s="131"/>
      <c r="T24" s="131"/>
      <c r="U24" s="131"/>
      <c r="V24" s="131"/>
    </row>
    <row r="25" spans="1:22" ht="12.75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264</v>
      </c>
      <c r="P25" s="131"/>
      <c r="Q25" s="131"/>
      <c r="R25" s="131"/>
      <c r="S25" s="131"/>
      <c r="T25" s="131"/>
      <c r="U25" s="131"/>
      <c r="V25" s="131"/>
    </row>
    <row r="26" spans="1:22" ht="12.75">
      <c r="A26" s="154" t="s">
        <v>87</v>
      </c>
      <c r="B26" s="274">
        <f t="shared" ref="B26:F26" si="2">(C11-B11-B22)</f>
        <v>20.987810000000003</v>
      </c>
      <c r="C26" s="274">
        <f t="shared" si="2"/>
        <v>24.879599999999989</v>
      </c>
      <c r="D26" s="274">
        <f t="shared" si="2"/>
        <v>8.2100000000000062</v>
      </c>
      <c r="E26" s="274">
        <f t="shared" si="2"/>
        <v>7.1500000000000021</v>
      </c>
      <c r="F26" s="274">
        <f t="shared" si="2"/>
        <v>10.63</v>
      </c>
      <c r="G26" s="274">
        <f>(H11-G11-G22)</f>
        <v>52.67</v>
      </c>
      <c r="H26" s="274">
        <f>(I11-H11-H22)</f>
        <v>142.32999999999998</v>
      </c>
      <c r="I26" s="274">
        <f>(J11-I11-I22)</f>
        <v>249.05</v>
      </c>
      <c r="J26" s="274">
        <f>(K11-J11-J22)</f>
        <v>330.06999999999994</v>
      </c>
      <c r="K26" s="275">
        <f>(M11-K11-K22)</f>
        <v>368.24000000000007</v>
      </c>
      <c r="L26" s="84">
        <f>(N11-M11-L22)</f>
        <v>153.36000000000001</v>
      </c>
    </row>
    <row r="27" spans="1:22" ht="12.75">
      <c r="A27" s="154" t="s">
        <v>265</v>
      </c>
      <c r="B27" s="85">
        <f t="shared" ref="B27:F27" si="3">(C11-B11-B22)/B12</f>
        <v>4.6905663391184835E-3</v>
      </c>
      <c r="C27" s="85">
        <f t="shared" si="3"/>
        <v>4.4831458108523722E-3</v>
      </c>
      <c r="D27" s="85">
        <f t="shared" si="3"/>
        <v>1.2470380946594578E-3</v>
      </c>
      <c r="E27" s="85">
        <f t="shared" si="3"/>
        <v>8.0975878248520082E-4</v>
      </c>
      <c r="F27" s="85">
        <f t="shared" si="3"/>
        <v>1.0051334614886377E-3</v>
      </c>
      <c r="G27" s="85">
        <f>(H11-G11-G22)/G12</f>
        <v>4.3701528599319134E-3</v>
      </c>
      <c r="H27" s="85">
        <f>(I11-H11-H22)/H12</f>
        <v>1.0279428864445583E-2</v>
      </c>
      <c r="I27" s="85">
        <f>(J11-I11-I22)/I12</f>
        <v>1.5820101215616451E-2</v>
      </c>
      <c r="J27" s="85">
        <f>(K11-J11-J22)/J12</f>
        <v>1.8209090919121335E-2</v>
      </c>
      <c r="K27" s="86">
        <f>(M11-K11-K22)/K12</f>
        <v>1.7980047342640412E-2</v>
      </c>
      <c r="L27" s="87">
        <f>L26/M12*2</f>
        <v>1.2460259361241087E-2</v>
      </c>
    </row>
    <row r="28" spans="1:22">
      <c r="A28" s="153"/>
    </row>
    <row r="29" spans="1:22">
      <c r="B29" s="363"/>
      <c r="C29" s="363"/>
      <c r="D29" s="363"/>
      <c r="E29" s="363"/>
      <c r="F29" s="363"/>
      <c r="G29" s="363"/>
      <c r="H29" s="363"/>
      <c r="I29" s="363"/>
      <c r="J29" s="363"/>
      <c r="K29" s="363"/>
    </row>
    <row r="30" spans="1:22">
      <c r="G30" s="363"/>
      <c r="H30" s="363"/>
      <c r="I30" s="363"/>
      <c r="J30" s="363"/>
      <c r="K30" s="363"/>
      <c r="L30" s="363"/>
    </row>
    <row r="32" spans="1:22" ht="15">
      <c r="A32" s="239" t="s">
        <v>239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8"/>
  <sheetViews>
    <sheetView showGridLines="0" topLeftCell="A4" workbookViewId="0">
      <pane xSplit="1" topLeftCell="B1" activePane="topRight" state="frozenSplit"/>
      <selection pane="topRight" activeCell="L30" sqref="L30"/>
    </sheetView>
  </sheetViews>
  <sheetFormatPr defaultColWidth="9" defaultRowHeight="12"/>
  <cols>
    <col min="1" max="1" width="17.25" style="1" customWidth="1"/>
    <col min="2" max="2" width="13.7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" style="41"/>
    <col min="8" max="10" width="9" style="1"/>
    <col min="11" max="11" width="10.5" style="1" customWidth="1"/>
    <col min="12" max="16384" width="9" style="1"/>
  </cols>
  <sheetData>
    <row r="1" spans="1:14">
      <c r="A1" s="1" t="str">
        <f>[1]!to_tradecode(A2)</f>
        <v>601166</v>
      </c>
      <c r="B1" s="166" t="s">
        <v>266</v>
      </c>
    </row>
    <row r="2" spans="1:14">
      <c r="A2" s="2" t="s">
        <v>88</v>
      </c>
      <c r="B2" s="97">
        <v>39082</v>
      </c>
      <c r="C2" s="97">
        <v>39447</v>
      </c>
      <c r="D2" s="97">
        <v>39813</v>
      </c>
      <c r="E2" s="97">
        <v>40178</v>
      </c>
      <c r="F2" s="97">
        <v>40543</v>
      </c>
      <c r="G2" s="97">
        <v>40908</v>
      </c>
      <c r="H2" s="97">
        <v>41274</v>
      </c>
      <c r="I2" s="97">
        <v>41639</v>
      </c>
      <c r="J2" s="97">
        <v>42004</v>
      </c>
      <c r="K2" s="97">
        <v>42369</v>
      </c>
      <c r="L2" s="98">
        <v>42551</v>
      </c>
      <c r="M2" s="97">
        <v>42735</v>
      </c>
      <c r="N2" s="3">
        <v>42916</v>
      </c>
    </row>
    <row r="3" spans="1:14">
      <c r="A3" s="2" t="s">
        <v>267</v>
      </c>
      <c r="C3" s="280">
        <v>62.756670000000007</v>
      </c>
      <c r="D3" s="280">
        <v>71.139990000000012</v>
      </c>
      <c r="E3" s="280">
        <v>94.006550000000004</v>
      </c>
      <c r="F3" s="1">
        <v>96.350000000000009</v>
      </c>
      <c r="G3" s="1">
        <v>117.71000000000001</v>
      </c>
      <c r="H3" s="100">
        <v>143.13999999999999</v>
      </c>
      <c r="I3" s="100">
        <v>246.23</v>
      </c>
      <c r="J3" s="100">
        <v>363.75</v>
      </c>
      <c r="K3" s="100">
        <v>438.96</v>
      </c>
      <c r="L3" s="101">
        <v>545.86</v>
      </c>
      <c r="M3" s="100">
        <v>545.86</v>
      </c>
      <c r="N3" s="1">
        <v>724.48</v>
      </c>
    </row>
    <row r="4" spans="1:14">
      <c r="A4" s="2" t="s">
        <v>121</v>
      </c>
      <c r="C4" s="280">
        <v>15.913960000000001</v>
      </c>
      <c r="D4" s="280">
        <v>32.376620000000003</v>
      </c>
      <c r="E4" s="280">
        <v>5.5913100000000009</v>
      </c>
      <c r="F4" s="1">
        <v>22.21</v>
      </c>
      <c r="G4" s="1">
        <v>26.25</v>
      </c>
      <c r="H4" s="102">
        <v>117.58</v>
      </c>
      <c r="I4" s="102">
        <v>164.17</v>
      </c>
      <c r="J4" s="102">
        <v>196.51</v>
      </c>
      <c r="K4" s="102">
        <v>370.93</v>
      </c>
      <c r="L4" s="101">
        <v>238.89</v>
      </c>
      <c r="M4" s="102">
        <v>463.76</v>
      </c>
      <c r="N4" s="1">
        <v>110.28</v>
      </c>
    </row>
    <row r="5" spans="1:14">
      <c r="A5" s="2" t="s">
        <v>89</v>
      </c>
      <c r="C5" s="110">
        <f t="shared" ref="C5:F5" si="0">C6+C7</f>
        <v>-6.1806200000000002</v>
      </c>
      <c r="D5" s="1">
        <f t="shared" si="0"/>
        <v>-8.6000300000000003</v>
      </c>
      <c r="E5" s="1">
        <f t="shared" si="0"/>
        <v>-2.9786000000000001</v>
      </c>
      <c r="F5" s="1">
        <f t="shared" si="0"/>
        <v>-0.71</v>
      </c>
      <c r="G5" s="1">
        <f>G6+G7</f>
        <v>-0.91</v>
      </c>
      <c r="H5" s="99">
        <f>H6+H7</f>
        <v>-13.14</v>
      </c>
      <c r="I5" s="99">
        <f t="shared" ref="I5" si="1">I6+I7</f>
        <v>-43.91</v>
      </c>
      <c r="J5" s="102">
        <v>-117.16</v>
      </c>
      <c r="K5" s="102">
        <v>-260.27999999999997</v>
      </c>
      <c r="L5" s="101">
        <v>-87.84</v>
      </c>
      <c r="M5" s="102">
        <v>-288.47000000000003</v>
      </c>
      <c r="N5" s="362">
        <v>-22.37</v>
      </c>
    </row>
    <row r="6" spans="1:14">
      <c r="A6" s="45" t="s">
        <v>268</v>
      </c>
      <c r="C6" s="280">
        <v>-1.6697900000000001</v>
      </c>
      <c r="D6" s="280">
        <v>0</v>
      </c>
      <c r="E6" s="280">
        <v>0</v>
      </c>
      <c r="F6" s="1">
        <v>0</v>
      </c>
      <c r="G6" s="1">
        <v>0</v>
      </c>
      <c r="H6" s="102">
        <v>-1.83</v>
      </c>
      <c r="I6" s="102">
        <v>-34.94</v>
      </c>
      <c r="J6" s="358" t="s">
        <v>128</v>
      </c>
      <c r="K6" s="358" t="s">
        <v>128</v>
      </c>
      <c r="L6" s="358" t="s">
        <v>269</v>
      </c>
      <c r="M6" s="358" t="s">
        <v>128</v>
      </c>
      <c r="N6" s="45" t="s">
        <v>269</v>
      </c>
    </row>
    <row r="7" spans="1:14">
      <c r="A7" s="45" t="s">
        <v>270</v>
      </c>
      <c r="C7" s="280">
        <v>-4.5108300000000003</v>
      </c>
      <c r="D7" s="280">
        <v>-8.6000300000000003</v>
      </c>
      <c r="E7" s="280">
        <v>-2.9786000000000001</v>
      </c>
      <c r="F7" s="1">
        <v>-0.71</v>
      </c>
      <c r="G7" s="1">
        <v>-0.91</v>
      </c>
      <c r="H7" s="102">
        <v>-11.31</v>
      </c>
      <c r="I7" s="102">
        <v>-8.9700000000000006</v>
      </c>
      <c r="J7" s="358" t="s">
        <v>128</v>
      </c>
      <c r="K7" s="358" t="s">
        <v>269</v>
      </c>
      <c r="L7" s="358" t="s">
        <v>269</v>
      </c>
      <c r="M7" s="358" t="s">
        <v>128</v>
      </c>
      <c r="N7" s="45" t="s">
        <v>269</v>
      </c>
    </row>
    <row r="8" spans="1:14">
      <c r="A8" s="104" t="s">
        <v>271</v>
      </c>
      <c r="C8" s="280">
        <v>-1.5864500000000001</v>
      </c>
      <c r="D8" s="280">
        <v>-1.3376700000000001</v>
      </c>
      <c r="E8" s="280">
        <v>-1.33857</v>
      </c>
      <c r="F8" s="1">
        <v>-1.3</v>
      </c>
      <c r="G8" s="1">
        <v>-1.1500000000000001</v>
      </c>
      <c r="H8" s="102">
        <v>-1.89</v>
      </c>
      <c r="I8" s="102">
        <v>-3.87</v>
      </c>
      <c r="J8" s="358" t="s">
        <v>272</v>
      </c>
      <c r="K8" s="358" t="s">
        <v>269</v>
      </c>
      <c r="L8" s="358" t="s">
        <v>269</v>
      </c>
      <c r="M8" s="358" t="s">
        <v>269</v>
      </c>
      <c r="N8" s="45" t="s">
        <v>128</v>
      </c>
    </row>
    <row r="9" spans="1:14">
      <c r="A9" s="105" t="s">
        <v>273</v>
      </c>
      <c r="C9" s="280">
        <v>0.23643000000000003</v>
      </c>
      <c r="D9" s="280">
        <v>0.28370000000000001</v>
      </c>
      <c r="E9" s="280">
        <v>1.01674</v>
      </c>
      <c r="F9" s="1">
        <v>1.07</v>
      </c>
      <c r="G9" s="1">
        <v>1.24</v>
      </c>
      <c r="H9" s="102">
        <v>0.54</v>
      </c>
      <c r="I9" s="102">
        <v>1.1299999999999999</v>
      </c>
      <c r="J9" s="102">
        <v>2.38</v>
      </c>
      <c r="K9" s="102">
        <v>5.1100000000000003</v>
      </c>
      <c r="L9" s="106">
        <v>5.43</v>
      </c>
      <c r="M9" s="102">
        <v>14.14</v>
      </c>
      <c r="N9" s="1">
        <v>8.99</v>
      </c>
    </row>
    <row r="10" spans="1:14">
      <c r="A10" s="107" t="s">
        <v>274</v>
      </c>
      <c r="C10" s="280"/>
      <c r="D10" s="280"/>
      <c r="E10" s="280"/>
      <c r="G10" s="1"/>
      <c r="H10" s="358" t="s">
        <v>128</v>
      </c>
      <c r="I10" s="358" t="s">
        <v>128</v>
      </c>
      <c r="J10" s="102">
        <v>-6.75</v>
      </c>
      <c r="K10" s="102">
        <v>-9.07</v>
      </c>
      <c r="L10" s="106">
        <v>-5.73</v>
      </c>
      <c r="M10" s="102">
        <v>-11.33</v>
      </c>
      <c r="N10" s="1">
        <v>-6.37</v>
      </c>
    </row>
    <row r="11" spans="1:14">
      <c r="A11" s="281" t="s">
        <v>275</v>
      </c>
      <c r="C11" s="280"/>
      <c r="D11" s="280">
        <v>0.14394000000000001</v>
      </c>
      <c r="E11" s="280">
        <v>5.1830000000000001E-2</v>
      </c>
      <c r="F11" s="1">
        <v>0.09</v>
      </c>
      <c r="G11" s="1"/>
      <c r="H11" s="358"/>
      <c r="I11" s="358"/>
      <c r="J11" s="102"/>
      <c r="K11" s="102"/>
      <c r="L11" s="106"/>
      <c r="M11" s="102"/>
    </row>
    <row r="12" spans="1:14">
      <c r="A12" s="108" t="s">
        <v>276</v>
      </c>
      <c r="C12" s="280"/>
      <c r="D12" s="280"/>
      <c r="E12" s="280"/>
      <c r="G12" s="1"/>
      <c r="H12" s="45" t="s">
        <v>269</v>
      </c>
      <c r="I12" s="45" t="s">
        <v>272</v>
      </c>
      <c r="J12" s="108">
        <v>0.23</v>
      </c>
      <c r="K12" s="108">
        <v>0.21</v>
      </c>
      <c r="L12" s="1">
        <v>0.21</v>
      </c>
      <c r="M12" s="108">
        <v>0.52</v>
      </c>
      <c r="N12" s="1">
        <v>-0.15</v>
      </c>
    </row>
    <row r="13" spans="1:14">
      <c r="A13" s="2" t="s">
        <v>277</v>
      </c>
      <c r="C13" s="280">
        <v>71.139990000000012</v>
      </c>
      <c r="D13" s="280">
        <v>94.006550000000004</v>
      </c>
      <c r="E13" s="280">
        <v>96.349260000000001</v>
      </c>
      <c r="F13" s="1">
        <v>117.71000000000001</v>
      </c>
      <c r="G13" s="1">
        <v>143.14000000000001</v>
      </c>
      <c r="H13" s="108">
        <v>246.23</v>
      </c>
      <c r="I13" s="108">
        <v>363.75</v>
      </c>
      <c r="J13" s="108">
        <v>438.96</v>
      </c>
      <c r="K13" s="108">
        <v>545.86</v>
      </c>
      <c r="L13" s="1">
        <v>696.82</v>
      </c>
      <c r="M13" s="108">
        <v>724.48</v>
      </c>
      <c r="N13" s="1">
        <v>814.86</v>
      </c>
    </row>
    <row r="14" spans="1:14">
      <c r="A14" s="2" t="s">
        <v>122</v>
      </c>
      <c r="B14" s="108"/>
      <c r="C14" s="108">
        <f>SUM(C3:C5,C8:C12)</f>
        <v>71.139989999999997</v>
      </c>
      <c r="D14" s="108">
        <f>SUM(D3:D5,D8:D12)</f>
        <v>94.006550000000004</v>
      </c>
      <c r="E14" s="108">
        <f>SUM(E3:E5,E8:E12)</f>
        <v>96.349260000000001</v>
      </c>
      <c r="F14" s="108">
        <f>SUM(F3:F5,F8:F12)</f>
        <v>117.71000000000001</v>
      </c>
      <c r="G14" s="108">
        <f>SUM(G3:G5,G8:G12)</f>
        <v>143.14000000000001</v>
      </c>
      <c r="H14" s="108">
        <f>SUM(H3:H5,H8:H9)</f>
        <v>246.23</v>
      </c>
      <c r="I14" s="108">
        <f>SUM(I3:I5,I8:I9)</f>
        <v>363.75</v>
      </c>
      <c r="J14" s="108">
        <f>SUM(J3:J5,J9:J12)</f>
        <v>438.96000000000004</v>
      </c>
      <c r="K14" s="108">
        <f t="shared" ref="K14:N14" si="2">SUM(K3:K5,K9:K12)</f>
        <v>545.86</v>
      </c>
      <c r="L14" s="108">
        <f t="shared" si="2"/>
        <v>696.81999999999994</v>
      </c>
      <c r="M14" s="108">
        <f t="shared" si="2"/>
        <v>724.4799999999999</v>
      </c>
      <c r="N14" s="108">
        <f t="shared" si="2"/>
        <v>814.86</v>
      </c>
    </row>
    <row r="15" spans="1:14">
      <c r="A15" s="2" t="s">
        <v>278</v>
      </c>
      <c r="B15" s="5">
        <v>49.8</v>
      </c>
      <c r="C15" s="5">
        <v>45.83372</v>
      </c>
      <c r="D15" s="5">
        <v>41.49</v>
      </c>
      <c r="E15" s="5">
        <v>37.79</v>
      </c>
      <c r="F15" s="5">
        <v>36.159999999999997</v>
      </c>
      <c r="G15" s="5">
        <v>37.15</v>
      </c>
      <c r="H15" s="5">
        <v>52.86</v>
      </c>
      <c r="I15" s="5">
        <v>103.31</v>
      </c>
      <c r="J15" s="5">
        <v>175.44</v>
      </c>
      <c r="K15" s="5">
        <v>259.83</v>
      </c>
      <c r="L15" s="46">
        <v>318.5</v>
      </c>
      <c r="M15" s="5">
        <v>344.16</v>
      </c>
      <c r="N15" s="1">
        <v>366.23</v>
      </c>
    </row>
    <row r="16" spans="1:14">
      <c r="A16" s="2" t="s">
        <v>106</v>
      </c>
      <c r="B16" s="5">
        <v>3245.1191899999999</v>
      </c>
      <c r="C16" s="5">
        <v>4001.4277699999998</v>
      </c>
      <c r="D16" s="5">
        <v>4993.8642900000004</v>
      </c>
      <c r="E16" s="5">
        <v>7015.9746100000002</v>
      </c>
      <c r="F16" s="5">
        <v>8543.39</v>
      </c>
      <c r="G16" s="5">
        <v>9832.5400000000009</v>
      </c>
      <c r="H16" s="5">
        <v>12291.65</v>
      </c>
      <c r="I16" s="5">
        <v>13570.57</v>
      </c>
      <c r="J16" s="5">
        <v>15931.48</v>
      </c>
      <c r="K16" s="5">
        <v>17794.080000000002</v>
      </c>
      <c r="L16" s="46">
        <v>19492.150000000001</v>
      </c>
      <c r="M16" s="46">
        <v>20798.14</v>
      </c>
      <c r="N16" s="46">
        <v>22846.65</v>
      </c>
    </row>
    <row r="17" spans="1:17">
      <c r="A17" s="2"/>
      <c r="B17" s="5"/>
      <c r="C17" s="5"/>
      <c r="D17" s="5"/>
      <c r="E17" s="5"/>
      <c r="F17" s="5"/>
      <c r="G17" s="5"/>
      <c r="H17" s="5"/>
      <c r="I17" s="5"/>
      <c r="J17" s="5"/>
      <c r="K17" s="5"/>
      <c r="L17" s="46"/>
      <c r="M17" s="46"/>
      <c r="N17" s="46"/>
    </row>
    <row r="18" spans="1:17" ht="12.75">
      <c r="A18" s="2"/>
      <c r="B18" s="5"/>
      <c r="C18" s="360" t="s">
        <v>332</v>
      </c>
      <c r="D18" s="361"/>
      <c r="E18" s="361"/>
      <c r="F18" s="359"/>
      <c r="G18" s="5"/>
      <c r="H18" s="5"/>
      <c r="I18" s="5"/>
      <c r="J18" s="5"/>
      <c r="K18" s="5"/>
      <c r="L18" s="46"/>
      <c r="M18" s="46"/>
      <c r="N18" s="46"/>
    </row>
    <row r="19" spans="1:17"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</row>
    <row r="20" spans="1:17">
      <c r="A20" s="2"/>
      <c r="C20" s="23"/>
    </row>
    <row r="21" spans="1:17">
      <c r="A21" s="127"/>
      <c r="J21" s="11"/>
      <c r="K21" s="11"/>
      <c r="L21" s="11"/>
      <c r="M21" s="11"/>
      <c r="N21" s="11"/>
      <c r="O21" s="11"/>
      <c r="P21" s="11"/>
      <c r="Q21" s="11"/>
    </row>
    <row r="22" spans="1:17" ht="12.75">
      <c r="A22" s="6"/>
      <c r="B22" s="273">
        <v>2007</v>
      </c>
      <c r="C22" s="67">
        <v>2008</v>
      </c>
      <c r="D22" s="270">
        <v>2009</v>
      </c>
      <c r="E22" s="67">
        <v>2010</v>
      </c>
      <c r="F22" s="270">
        <v>2011</v>
      </c>
      <c r="G22" s="67">
        <v>2012</v>
      </c>
      <c r="H22" s="67">
        <v>2013</v>
      </c>
      <c r="I22" s="67">
        <v>2014</v>
      </c>
      <c r="J22" s="67">
        <v>2015</v>
      </c>
      <c r="K22" s="68">
        <v>2016</v>
      </c>
      <c r="L22" s="157" t="s">
        <v>279</v>
      </c>
    </row>
    <row r="23" spans="1:17" ht="12.75">
      <c r="A23" s="135" t="s">
        <v>280</v>
      </c>
      <c r="B23" s="279">
        <f t="shared" ref="B23:J23" si="3">C4</f>
        <v>15.913960000000001</v>
      </c>
      <c r="C23" s="279">
        <f t="shared" si="3"/>
        <v>32.376620000000003</v>
      </c>
      <c r="D23" s="279">
        <f t="shared" si="3"/>
        <v>5.5913100000000009</v>
      </c>
      <c r="E23" s="271">
        <f t="shared" si="3"/>
        <v>22.21</v>
      </c>
      <c r="F23" s="271">
        <f t="shared" si="3"/>
        <v>26.25</v>
      </c>
      <c r="G23" s="271">
        <f t="shared" si="3"/>
        <v>117.58</v>
      </c>
      <c r="H23" s="271">
        <f t="shared" si="3"/>
        <v>164.17</v>
      </c>
      <c r="I23" s="271">
        <f t="shared" si="3"/>
        <v>196.51</v>
      </c>
      <c r="J23" s="271">
        <f t="shared" si="3"/>
        <v>370.93</v>
      </c>
      <c r="K23" s="272">
        <f>M4</f>
        <v>463.76</v>
      </c>
      <c r="L23" s="157">
        <f>N4</f>
        <v>110.28</v>
      </c>
    </row>
    <row r="24" spans="1:17" ht="12.75">
      <c r="A24" s="12" t="s">
        <v>8</v>
      </c>
      <c r="B24" s="258">
        <f t="shared" ref="B24:J24" si="4">C5</f>
        <v>-6.1806200000000002</v>
      </c>
      <c r="C24" s="258">
        <f t="shared" si="4"/>
        <v>-8.6000300000000003</v>
      </c>
      <c r="D24" s="258">
        <f t="shared" si="4"/>
        <v>-2.9786000000000001</v>
      </c>
      <c r="E24" s="76">
        <f t="shared" si="4"/>
        <v>-0.71</v>
      </c>
      <c r="F24" s="76">
        <f t="shared" si="4"/>
        <v>-0.91</v>
      </c>
      <c r="G24" s="76">
        <f t="shared" si="4"/>
        <v>-13.14</v>
      </c>
      <c r="H24" s="76">
        <f t="shared" si="4"/>
        <v>-43.91</v>
      </c>
      <c r="I24" s="76">
        <f t="shared" si="4"/>
        <v>-117.16</v>
      </c>
      <c r="J24" s="76">
        <f t="shared" si="4"/>
        <v>-260.27999999999997</v>
      </c>
      <c r="K24" s="77">
        <f>M5</f>
        <v>-288.47000000000003</v>
      </c>
      <c r="L24" s="158">
        <f>N5</f>
        <v>-22.37</v>
      </c>
    </row>
    <row r="25" spans="1:17" ht="12.75">
      <c r="A25" s="282" t="s">
        <v>63</v>
      </c>
      <c r="B25" s="259">
        <f t="shared" ref="B25:J25" si="5">C9</f>
        <v>0.23643000000000003</v>
      </c>
      <c r="C25" s="259">
        <f t="shared" si="5"/>
        <v>0.28370000000000001</v>
      </c>
      <c r="D25" s="259">
        <f t="shared" si="5"/>
        <v>1.01674</v>
      </c>
      <c r="E25" s="80">
        <f t="shared" si="5"/>
        <v>1.07</v>
      </c>
      <c r="F25" s="80">
        <f t="shared" si="5"/>
        <v>1.24</v>
      </c>
      <c r="G25" s="80">
        <f t="shared" si="5"/>
        <v>0.54</v>
      </c>
      <c r="H25" s="80">
        <f t="shared" si="5"/>
        <v>1.1299999999999999</v>
      </c>
      <c r="I25" s="80">
        <f t="shared" si="5"/>
        <v>2.38</v>
      </c>
      <c r="J25" s="80">
        <f t="shared" si="5"/>
        <v>5.1100000000000003</v>
      </c>
      <c r="K25" s="324">
        <f>M9</f>
        <v>14.14</v>
      </c>
      <c r="L25" s="324">
        <f>N9</f>
        <v>8.99</v>
      </c>
    </row>
    <row r="27" spans="1:17" ht="12.75">
      <c r="A27" s="127"/>
      <c r="B27" s="273">
        <v>2007</v>
      </c>
      <c r="C27" s="67">
        <v>2008</v>
      </c>
      <c r="D27" s="270">
        <v>2009</v>
      </c>
      <c r="E27" s="67">
        <v>2010</v>
      </c>
      <c r="F27" s="270">
        <v>2011</v>
      </c>
      <c r="G27" s="67">
        <v>2012</v>
      </c>
      <c r="H27" s="67">
        <v>2013</v>
      </c>
      <c r="I27" s="67">
        <v>2014</v>
      </c>
      <c r="J27" s="67">
        <v>2015</v>
      </c>
      <c r="K27" s="68">
        <v>2016</v>
      </c>
      <c r="L27" s="69" t="s">
        <v>279</v>
      </c>
    </row>
    <row r="28" spans="1:17" ht="12.75">
      <c r="A28" s="154" t="s">
        <v>108</v>
      </c>
      <c r="B28" s="274">
        <f t="shared" ref="B28:J28" si="6">(C15-B15-B24)</f>
        <v>2.2143400000000026</v>
      </c>
      <c r="C28" s="274">
        <f t="shared" si="6"/>
        <v>4.2563100000000027</v>
      </c>
      <c r="D28" s="274">
        <f t="shared" si="6"/>
        <v>-0.72140000000000271</v>
      </c>
      <c r="E28" s="274">
        <f t="shared" si="6"/>
        <v>-0.92000000000000259</v>
      </c>
      <c r="F28" s="274">
        <f t="shared" si="6"/>
        <v>1.9000000000000021</v>
      </c>
      <c r="G28" s="274">
        <f t="shared" si="6"/>
        <v>28.85</v>
      </c>
      <c r="H28" s="274">
        <f t="shared" si="6"/>
        <v>94.36</v>
      </c>
      <c r="I28" s="274">
        <f t="shared" si="6"/>
        <v>189.29</v>
      </c>
      <c r="J28" s="274">
        <f t="shared" si="6"/>
        <v>344.66999999999996</v>
      </c>
      <c r="K28" s="275">
        <f>(M15-K15-K24)</f>
        <v>372.80000000000007</v>
      </c>
      <c r="L28" s="84">
        <f>(N15-M15-L24)</f>
        <v>44.44</v>
      </c>
    </row>
    <row r="29" spans="1:17" ht="12.75">
      <c r="A29" s="154" t="s">
        <v>281</v>
      </c>
      <c r="B29" s="85">
        <f t="shared" ref="B29:J29" si="7">(C15-B15-B24)/B16</f>
        <v>6.8236014468239076E-4</v>
      </c>
      <c r="C29" s="85">
        <f t="shared" si="7"/>
        <v>1.063697821040514E-3</v>
      </c>
      <c r="D29" s="85">
        <f t="shared" si="7"/>
        <v>-1.444572695827108E-4</v>
      </c>
      <c r="E29" s="85">
        <f t="shared" si="7"/>
        <v>-1.3112932288676036E-4</v>
      </c>
      <c r="F29" s="85">
        <f t="shared" si="7"/>
        <v>2.223941550134083E-4</v>
      </c>
      <c r="G29" s="85">
        <f t="shared" si="7"/>
        <v>2.934135025130841E-3</v>
      </c>
      <c r="H29" s="85">
        <f t="shared" si="7"/>
        <v>7.6767561718727754E-3</v>
      </c>
      <c r="I29" s="85">
        <f t="shared" si="7"/>
        <v>1.3948566640900124E-2</v>
      </c>
      <c r="J29" s="85">
        <f t="shared" si="7"/>
        <v>2.1634524852681608E-2</v>
      </c>
      <c r="K29" s="86">
        <f>(M15-K15-K24)/K16</f>
        <v>2.0950788127287279E-2</v>
      </c>
      <c r="L29" s="87">
        <f>L28/M16*2</f>
        <v>4.2734590689359718E-3</v>
      </c>
    </row>
    <row r="30" spans="1:17">
      <c r="G30" s="1"/>
    </row>
    <row r="32" spans="1:17" hidden="1">
      <c r="K32" s="1" t="s">
        <v>91</v>
      </c>
      <c r="L32" s="1" t="s">
        <v>92</v>
      </c>
    </row>
    <row r="33" spans="1:13" hidden="1">
      <c r="K33" s="1" t="s">
        <v>0</v>
      </c>
      <c r="L33" s="23">
        <v>72448</v>
      </c>
      <c r="M33" s="1">
        <f>L33/100</f>
        <v>724.48</v>
      </c>
    </row>
    <row r="34" spans="1:13" hidden="1">
      <c r="K34" s="1" t="s">
        <v>93</v>
      </c>
      <c r="L34" s="23">
        <v>11028</v>
      </c>
      <c r="M34" s="1">
        <f t="shared" ref="M34:M39" si="8">L34/100</f>
        <v>110.28</v>
      </c>
    </row>
    <row r="35" spans="1:13" hidden="1">
      <c r="K35" s="1" t="s">
        <v>94</v>
      </c>
      <c r="L35" s="23">
        <v>2237</v>
      </c>
      <c r="M35" s="1">
        <f t="shared" si="8"/>
        <v>22.37</v>
      </c>
    </row>
    <row r="36" spans="1:13" hidden="1">
      <c r="K36" s="1" t="s">
        <v>95</v>
      </c>
      <c r="L36" s="1">
        <v>899</v>
      </c>
      <c r="M36" s="1">
        <f t="shared" si="8"/>
        <v>8.99</v>
      </c>
    </row>
    <row r="37" spans="1:13" hidden="1">
      <c r="K37" s="1" t="s">
        <v>96</v>
      </c>
      <c r="L37" s="1">
        <v>637</v>
      </c>
      <c r="M37" s="1">
        <f t="shared" si="8"/>
        <v>6.37</v>
      </c>
    </row>
    <row r="38" spans="1:13" hidden="1">
      <c r="K38" s="1" t="s">
        <v>97</v>
      </c>
      <c r="L38" s="1">
        <v>-15</v>
      </c>
      <c r="M38" s="1">
        <f t="shared" si="8"/>
        <v>-0.15</v>
      </c>
    </row>
    <row r="39" spans="1:13" hidden="1">
      <c r="K39" s="1" t="s">
        <v>2</v>
      </c>
      <c r="L39" s="23">
        <v>81486</v>
      </c>
      <c r="M39" s="1">
        <f t="shared" si="8"/>
        <v>814.86</v>
      </c>
    </row>
    <row r="40" spans="1:13" hidden="1"/>
    <row r="41" spans="1:13" hidden="1"/>
    <row r="42" spans="1:13" hidden="1"/>
    <row r="43" spans="1:13" hidden="1"/>
    <row r="44" spans="1:13" hidden="1"/>
    <row r="45" spans="1:13" hidden="1"/>
    <row r="47" spans="1:13" ht="15">
      <c r="A47" s="239" t="s">
        <v>239</v>
      </c>
    </row>
    <row r="48" spans="1:13" ht="15">
      <c r="A48" s="239"/>
    </row>
  </sheetData>
  <phoneticPr fontId="3" type="noConversion"/>
  <conditionalFormatting sqref="J3:K3 M3">
    <cfRule type="cellIs" dxfId="5" priority="1" operator="lessThan">
      <formula>0</formula>
    </cfRule>
    <cfRule type="cellIs" dxfId="4" priority="2" operator="lessThan">
      <formula>0</formula>
    </cfRule>
    <cfRule type="cellIs" dxfId="3" priority="3" operator="lessThan">
      <formula>0</formula>
    </cfRule>
  </conditionalFormatting>
  <conditionalFormatting sqref="H3:I3">
    <cfRule type="cellIs" dxfId="2" priority="4" operator="lessThan">
      <formula>0</formula>
    </cfRule>
    <cfRule type="cellIs" dxfId="1" priority="5" operator="lessThan">
      <formula>0</formula>
    </cfRule>
    <cfRule type="cellIs" dxfId="0" priority="6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43"/>
  <sheetViews>
    <sheetView showGridLines="0" workbookViewId="0">
      <pane xSplit="1" topLeftCell="B1" activePane="topRight" state="frozenSplit"/>
      <selection pane="topRight" activeCell="H21" sqref="H21"/>
    </sheetView>
  </sheetViews>
  <sheetFormatPr defaultColWidth="9.125" defaultRowHeight="12.75"/>
  <cols>
    <col min="1" max="1" width="17.25" style="173" customWidth="1"/>
    <col min="2" max="2" width="12.25" style="173" customWidth="1"/>
    <col min="3" max="3" width="10.875" style="173" customWidth="1"/>
    <col min="4" max="4" width="11.25" style="173" customWidth="1"/>
    <col min="5" max="5" width="10.75" style="173" customWidth="1"/>
    <col min="6" max="6" width="10.875" style="173" customWidth="1"/>
    <col min="7" max="7" width="9.5" style="173" bestFit="1" customWidth="1"/>
    <col min="8" max="8" width="10.5" style="173" bestFit="1" customWidth="1"/>
    <col min="9" max="9" width="12.5" style="173" customWidth="1"/>
    <col min="10" max="13" width="9.125" style="173"/>
    <col min="14" max="14" width="9.75" style="173" bestFit="1" customWidth="1"/>
    <col min="15" max="16384" width="9.125" style="173"/>
  </cols>
  <sheetData>
    <row r="1" spans="1:20">
      <c r="A1" s="173" t="str">
        <f>[1]!to_tradecode(A2)</f>
        <v>601818</v>
      </c>
      <c r="B1" s="166" t="s">
        <v>149</v>
      </c>
    </row>
    <row r="2" spans="1:20">
      <c r="A2" s="64" t="s">
        <v>165</v>
      </c>
      <c r="B2" s="63">
        <v>39813</v>
      </c>
      <c r="C2" s="63">
        <v>40178</v>
      </c>
      <c r="D2" s="63">
        <v>40543</v>
      </c>
      <c r="E2" s="63">
        <v>40908</v>
      </c>
      <c r="F2" s="63">
        <v>41274</v>
      </c>
      <c r="G2" s="63">
        <v>41639</v>
      </c>
      <c r="H2" s="63">
        <v>42004</v>
      </c>
      <c r="I2" s="63">
        <v>42369</v>
      </c>
      <c r="J2" s="63">
        <v>42551</v>
      </c>
      <c r="K2" s="63">
        <v>42735</v>
      </c>
      <c r="L2" s="63">
        <v>42916</v>
      </c>
    </row>
    <row r="3" spans="1:20">
      <c r="A3" s="64" t="s">
        <v>166</v>
      </c>
      <c r="B3" s="64"/>
      <c r="C3" s="64">
        <v>55.89</v>
      </c>
      <c r="D3" s="64">
        <v>157.65</v>
      </c>
      <c r="E3" s="64">
        <v>182.73</v>
      </c>
      <c r="F3" s="64">
        <v>210.43</v>
      </c>
      <c r="G3" s="64">
        <v>258.56</v>
      </c>
      <c r="H3" s="64">
        <v>241.72</v>
      </c>
      <c r="I3" s="64">
        <v>280.25</v>
      </c>
      <c r="J3" s="64">
        <v>381.19</v>
      </c>
      <c r="K3" s="64">
        <v>381.19</v>
      </c>
      <c r="L3" s="173">
        <v>436.34</v>
      </c>
    </row>
    <row r="4" spans="1:20">
      <c r="A4" s="64" t="s">
        <v>167</v>
      </c>
      <c r="B4" s="64"/>
      <c r="C4" s="64">
        <v>1.18</v>
      </c>
      <c r="D4" s="64">
        <v>43.32</v>
      </c>
      <c r="E4" s="64">
        <v>38.909999999999997</v>
      </c>
      <c r="F4" s="64">
        <v>63.22</v>
      </c>
      <c r="G4" s="64">
        <v>67.19</v>
      </c>
      <c r="H4" s="64">
        <v>105.48</v>
      </c>
      <c r="I4" s="64">
        <v>200.71</v>
      </c>
      <c r="J4" s="64">
        <v>99.53</v>
      </c>
      <c r="K4" s="64">
        <v>227.98</v>
      </c>
      <c r="L4" s="173">
        <v>101.23</v>
      </c>
    </row>
    <row r="5" spans="1:20">
      <c r="A5" s="64" t="s">
        <v>168</v>
      </c>
      <c r="B5" s="64"/>
      <c r="C5" s="64">
        <v>-1.44</v>
      </c>
      <c r="D5" s="64">
        <v>-10.78</v>
      </c>
      <c r="E5" s="64">
        <v>-4.71</v>
      </c>
      <c r="F5" s="64">
        <v>-6.32</v>
      </c>
      <c r="G5" s="64">
        <v>-23.83</v>
      </c>
      <c r="H5" s="64">
        <v>-5.67</v>
      </c>
      <c r="I5" s="64">
        <v>-3.47</v>
      </c>
      <c r="J5" s="64">
        <v>-6.23</v>
      </c>
      <c r="K5" s="64">
        <v>-6.87</v>
      </c>
      <c r="L5" s="173">
        <v>-8.18</v>
      </c>
    </row>
    <row r="6" spans="1:20">
      <c r="A6" s="64" t="s">
        <v>169</v>
      </c>
      <c r="B6" s="64"/>
      <c r="C6" s="64">
        <v>0</v>
      </c>
      <c r="D6" s="64">
        <v>1.41</v>
      </c>
      <c r="E6" s="64">
        <v>1.51</v>
      </c>
      <c r="F6" s="64">
        <v>1.88</v>
      </c>
      <c r="G6" s="64">
        <v>2.0699999999999998</v>
      </c>
      <c r="H6" s="64">
        <v>3.3</v>
      </c>
      <c r="I6" s="64">
        <v>3.34</v>
      </c>
      <c r="J6" s="64">
        <v>3.12</v>
      </c>
      <c r="K6" s="64">
        <v>7.47</v>
      </c>
      <c r="L6" s="173">
        <v>4.53</v>
      </c>
    </row>
    <row r="7" spans="1:20">
      <c r="A7" s="62" t="s">
        <v>190</v>
      </c>
      <c r="B7" s="64"/>
      <c r="C7" s="64">
        <v>0</v>
      </c>
      <c r="D7" s="64">
        <v>-0.66</v>
      </c>
      <c r="E7" s="64">
        <v>-0.52</v>
      </c>
      <c r="F7" s="64">
        <v>-1.56</v>
      </c>
      <c r="G7" s="64">
        <v>-3.67</v>
      </c>
      <c r="H7" s="64">
        <v>-5.58</v>
      </c>
      <c r="I7" s="64">
        <v>-8.02</v>
      </c>
      <c r="J7" s="64">
        <v>-4.17</v>
      </c>
      <c r="K7" s="64">
        <v>-8.76</v>
      </c>
      <c r="L7" s="173">
        <v>-4.68</v>
      </c>
    </row>
    <row r="8" spans="1:20">
      <c r="A8" s="64" t="s">
        <v>170</v>
      </c>
      <c r="B8" s="64"/>
      <c r="C8" s="64">
        <v>-0.31</v>
      </c>
      <c r="D8" s="64">
        <v>-8.2100000000000009</v>
      </c>
      <c r="E8" s="64">
        <v>-7.49</v>
      </c>
      <c r="F8" s="64">
        <v>-9.09</v>
      </c>
      <c r="G8" s="64">
        <v>-22.4</v>
      </c>
      <c r="H8" s="64">
        <v>-40.96</v>
      </c>
      <c r="I8" s="64">
        <v>-55.79</v>
      </c>
      <c r="J8" s="64">
        <v>-31.11</v>
      </c>
      <c r="K8" s="64">
        <v>-56.32</v>
      </c>
      <c r="L8" s="173">
        <v>-20.36</v>
      </c>
    </row>
    <row r="9" spans="1:20">
      <c r="A9" s="64" t="s">
        <v>171</v>
      </c>
      <c r="B9" s="64"/>
      <c r="C9" s="64"/>
      <c r="D9" s="64"/>
      <c r="E9" s="64"/>
      <c r="F9" s="64"/>
      <c r="G9" s="64">
        <v>-36.200000000000003</v>
      </c>
      <c r="H9" s="64">
        <v>-18.04</v>
      </c>
      <c r="I9" s="64">
        <v>-35.83</v>
      </c>
      <c r="J9" s="64">
        <v>-59.09</v>
      </c>
      <c r="K9" s="64">
        <v>-108.35</v>
      </c>
      <c r="L9" s="173">
        <v>-36.21</v>
      </c>
    </row>
    <row r="10" spans="1:20">
      <c r="A10" s="64" t="s">
        <v>172</v>
      </c>
      <c r="B10" s="64">
        <v>55.89</v>
      </c>
      <c r="C10" s="64">
        <v>55.33</v>
      </c>
      <c r="D10" s="64">
        <v>182.73</v>
      </c>
      <c r="E10" s="64">
        <v>210.43</v>
      </c>
      <c r="F10" s="64">
        <v>258.56</v>
      </c>
      <c r="G10" s="64">
        <v>241.72</v>
      </c>
      <c r="H10" s="64">
        <v>280.25</v>
      </c>
      <c r="I10" s="64">
        <v>381.19</v>
      </c>
      <c r="J10" s="64">
        <v>383.24</v>
      </c>
      <c r="K10" s="64">
        <v>436.34</v>
      </c>
      <c r="L10" s="173">
        <v>472.67</v>
      </c>
    </row>
    <row r="11" spans="1:20">
      <c r="A11" s="64" t="s">
        <v>173</v>
      </c>
      <c r="B11" s="168">
        <v>92.914743799999997</v>
      </c>
      <c r="C11" s="168">
        <v>80.985007124999996</v>
      </c>
      <c r="D11" s="168">
        <v>58.31</v>
      </c>
      <c r="E11" s="168">
        <v>57.34</v>
      </c>
      <c r="F11" s="168">
        <v>76.13</v>
      </c>
      <c r="G11" s="168">
        <v>100.29</v>
      </c>
      <c r="H11" s="168">
        <v>155.25</v>
      </c>
      <c r="I11" s="168">
        <v>243.75</v>
      </c>
      <c r="J11" s="168">
        <v>255.07</v>
      </c>
      <c r="K11" s="168">
        <v>287.02</v>
      </c>
      <c r="L11" s="173">
        <v>310.61</v>
      </c>
    </row>
    <row r="12" spans="1:20">
      <c r="A12" s="64" t="s">
        <v>174</v>
      </c>
      <c r="B12" s="168">
        <v>4684.87</v>
      </c>
      <c r="C12" s="168">
        <v>6489.69</v>
      </c>
      <c r="D12" s="168">
        <v>7788.2842000000001</v>
      </c>
      <c r="E12" s="168">
        <v>8903.65</v>
      </c>
      <c r="F12" s="168">
        <v>10231.870000000001</v>
      </c>
      <c r="G12" s="168">
        <v>11663.1</v>
      </c>
      <c r="H12" s="168">
        <v>12994.55</v>
      </c>
      <c r="I12" s="168">
        <v>15135.43</v>
      </c>
      <c r="J12" s="168">
        <v>17003.72</v>
      </c>
      <c r="K12" s="168">
        <v>17952.78</v>
      </c>
      <c r="L12" s="168">
        <v>19644.48</v>
      </c>
    </row>
    <row r="13" spans="1:20" s="180" customFormat="1">
      <c r="B13" s="285"/>
      <c r="C13" s="285"/>
      <c r="D13" s="285"/>
      <c r="E13" s="285"/>
      <c r="F13" s="285"/>
      <c r="G13" s="285"/>
      <c r="H13" s="285"/>
      <c r="I13" s="285"/>
      <c r="J13" s="285"/>
      <c r="K13" s="285"/>
      <c r="L13" s="285"/>
    </row>
    <row r="15" spans="1:20">
      <c r="K15" s="186"/>
      <c r="L15" s="186"/>
      <c r="M15" s="186"/>
      <c r="N15" s="186"/>
      <c r="O15" s="186"/>
      <c r="P15" s="186"/>
      <c r="Q15" s="186"/>
      <c r="R15" s="186"/>
      <c r="S15" s="186"/>
      <c r="T15" s="186"/>
    </row>
    <row r="16" spans="1:20">
      <c r="N16" s="186"/>
      <c r="O16" s="186"/>
      <c r="P16" s="186"/>
      <c r="Q16" s="186"/>
      <c r="R16" s="186"/>
      <c r="S16" s="186"/>
      <c r="T16" s="186"/>
    </row>
    <row r="17" spans="1:20">
      <c r="N17" s="186"/>
      <c r="O17" s="186"/>
      <c r="P17" s="186"/>
      <c r="Q17" s="186"/>
      <c r="R17" s="186"/>
      <c r="S17" s="186"/>
      <c r="T17" s="186"/>
    </row>
    <row r="18" spans="1:20">
      <c r="N18" s="186"/>
      <c r="O18" s="186"/>
      <c r="P18" s="186"/>
      <c r="Q18" s="186"/>
      <c r="R18" s="186"/>
      <c r="S18" s="186"/>
      <c r="T18" s="186"/>
    </row>
    <row r="19" spans="1:20">
      <c r="N19" s="186"/>
      <c r="O19" s="186"/>
      <c r="P19" s="186"/>
      <c r="Q19" s="186"/>
      <c r="R19" s="186"/>
      <c r="S19" s="186"/>
      <c r="T19" s="186"/>
    </row>
    <row r="20" spans="1:20">
      <c r="A20" s="187" t="s">
        <v>175</v>
      </c>
      <c r="B20" s="67">
        <v>2009</v>
      </c>
      <c r="C20" s="67">
        <v>2010</v>
      </c>
      <c r="D20" s="67">
        <v>2011</v>
      </c>
      <c r="E20" s="67">
        <v>2012</v>
      </c>
      <c r="F20" s="67">
        <v>2013</v>
      </c>
      <c r="G20" s="67">
        <v>2014</v>
      </c>
      <c r="H20" s="67">
        <v>2015</v>
      </c>
      <c r="I20" s="67">
        <v>2016</v>
      </c>
      <c r="J20" s="171" t="s">
        <v>6</v>
      </c>
      <c r="N20" s="186"/>
      <c r="O20" s="186"/>
      <c r="P20" s="186"/>
      <c r="Q20" s="186"/>
      <c r="R20" s="186"/>
      <c r="S20" s="186"/>
      <c r="T20" s="186"/>
    </row>
    <row r="21" spans="1:20">
      <c r="A21" s="188" t="s">
        <v>176</v>
      </c>
      <c r="B21" s="71">
        <f t="shared" ref="B21:H21" si="0">C4</f>
        <v>1.18</v>
      </c>
      <c r="C21" s="71">
        <f t="shared" si="0"/>
        <v>43.32</v>
      </c>
      <c r="D21" s="71">
        <f t="shared" si="0"/>
        <v>38.909999999999997</v>
      </c>
      <c r="E21" s="71">
        <f t="shared" si="0"/>
        <v>63.22</v>
      </c>
      <c r="F21" s="71">
        <f t="shared" si="0"/>
        <v>67.19</v>
      </c>
      <c r="G21" s="71">
        <f t="shared" si="0"/>
        <v>105.48</v>
      </c>
      <c r="H21" s="71">
        <f t="shared" si="0"/>
        <v>200.71</v>
      </c>
      <c r="I21" s="71">
        <f>K4</f>
        <v>227.98</v>
      </c>
      <c r="J21" s="241">
        <f>L4</f>
        <v>101.23</v>
      </c>
      <c r="N21" s="186"/>
      <c r="O21" s="186"/>
      <c r="P21" s="186"/>
      <c r="Q21" s="186"/>
      <c r="R21" s="186"/>
      <c r="S21" s="186"/>
      <c r="T21" s="186"/>
    </row>
    <row r="22" spans="1:20">
      <c r="A22" s="175" t="s">
        <v>177</v>
      </c>
      <c r="B22" s="76">
        <f t="shared" ref="B22:G22" si="1">C8+C9</f>
        <v>-0.31</v>
      </c>
      <c r="C22" s="76">
        <f t="shared" si="1"/>
        <v>-8.2100000000000009</v>
      </c>
      <c r="D22" s="76">
        <f t="shared" si="1"/>
        <v>-7.49</v>
      </c>
      <c r="E22" s="76">
        <f t="shared" si="1"/>
        <v>-9.09</v>
      </c>
      <c r="F22" s="76">
        <f t="shared" si="1"/>
        <v>-58.6</v>
      </c>
      <c r="G22" s="76">
        <f t="shared" si="1"/>
        <v>-59</v>
      </c>
      <c r="H22" s="76">
        <f>I8+I9</f>
        <v>-91.62</v>
      </c>
      <c r="I22" s="76">
        <f>K8+K9</f>
        <v>-164.67</v>
      </c>
      <c r="J22" s="242">
        <f>L8+L9</f>
        <v>-56.57</v>
      </c>
      <c r="N22" s="186"/>
      <c r="O22" s="186"/>
      <c r="P22" s="186"/>
      <c r="Q22" s="186"/>
      <c r="R22" s="186"/>
      <c r="S22" s="186"/>
      <c r="T22" s="186"/>
    </row>
    <row r="23" spans="1:20">
      <c r="A23" s="198" t="s">
        <v>178</v>
      </c>
      <c r="B23" s="80">
        <f t="shared" ref="B23:G23" si="2">C6</f>
        <v>0</v>
      </c>
      <c r="C23" s="80">
        <f t="shared" si="2"/>
        <v>1.41</v>
      </c>
      <c r="D23" s="80">
        <f t="shared" si="2"/>
        <v>1.51</v>
      </c>
      <c r="E23" s="80">
        <f t="shared" si="2"/>
        <v>1.88</v>
      </c>
      <c r="F23" s="80">
        <f t="shared" si="2"/>
        <v>2.0699999999999998</v>
      </c>
      <c r="G23" s="80">
        <f t="shared" si="2"/>
        <v>3.3</v>
      </c>
      <c r="H23" s="80">
        <f>I6</f>
        <v>3.34</v>
      </c>
      <c r="I23" s="80">
        <f>K6</f>
        <v>7.47</v>
      </c>
      <c r="J23" s="243">
        <f>L6</f>
        <v>4.53</v>
      </c>
      <c r="N23" s="186"/>
      <c r="O23" s="186"/>
      <c r="P23" s="186"/>
      <c r="Q23" s="186"/>
      <c r="R23" s="186"/>
      <c r="S23" s="186"/>
      <c r="T23" s="186"/>
    </row>
    <row r="24" spans="1:20">
      <c r="J24" s="178"/>
      <c r="N24" s="186"/>
      <c r="O24" s="186"/>
      <c r="P24" s="186"/>
      <c r="Q24" s="186"/>
      <c r="R24" s="186"/>
      <c r="S24" s="186"/>
      <c r="T24" s="186"/>
    </row>
    <row r="25" spans="1:20">
      <c r="B25" s="294">
        <v>2009</v>
      </c>
      <c r="C25" s="67">
        <v>2010</v>
      </c>
      <c r="D25" s="67">
        <v>2011</v>
      </c>
      <c r="E25" s="67">
        <v>2012</v>
      </c>
      <c r="F25" s="67">
        <v>2013</v>
      </c>
      <c r="G25" s="67">
        <v>2014</v>
      </c>
      <c r="H25" s="67">
        <v>2015</v>
      </c>
      <c r="I25" s="67">
        <v>2016</v>
      </c>
      <c r="J25" s="171" t="s">
        <v>6</v>
      </c>
      <c r="N25" s="186"/>
      <c r="O25" s="186"/>
      <c r="P25" s="186"/>
      <c r="Q25" s="186"/>
      <c r="R25" s="186"/>
      <c r="S25" s="186"/>
      <c r="T25" s="186"/>
    </row>
    <row r="26" spans="1:20">
      <c r="A26" s="293" t="s">
        <v>179</v>
      </c>
      <c r="B26" s="295">
        <f t="shared" ref="B26:G26" si="3">(C11-B11-B22)</f>
        <v>-11.619736675</v>
      </c>
      <c r="C26" s="83">
        <f t="shared" si="3"/>
        <v>-14.465007124999993</v>
      </c>
      <c r="D26" s="83">
        <f t="shared" si="3"/>
        <v>6.5200000000000014</v>
      </c>
      <c r="E26" s="83">
        <f t="shared" si="3"/>
        <v>27.879999999999992</v>
      </c>
      <c r="F26" s="83">
        <f t="shared" si="3"/>
        <v>82.760000000000019</v>
      </c>
      <c r="G26" s="83">
        <f t="shared" si="3"/>
        <v>113.96</v>
      </c>
      <c r="H26" s="83">
        <f>(I11-H11-H22)</f>
        <v>180.12</v>
      </c>
      <c r="I26" s="83">
        <f>(K11-I11-I22)</f>
        <v>207.93999999999997</v>
      </c>
      <c r="J26" s="150">
        <f>(L11-K11-J22)</f>
        <v>80.160000000000025</v>
      </c>
    </row>
    <row r="27" spans="1:20">
      <c r="A27" s="293" t="s">
        <v>180</v>
      </c>
      <c r="B27" s="296">
        <f t="shared" ref="B27:G27" si="4">(C11-B11-B22)/B12</f>
        <v>-2.480268753455272E-3</v>
      </c>
      <c r="C27" s="199">
        <f t="shared" si="4"/>
        <v>-2.2289211233510373E-3</v>
      </c>
      <c r="D27" s="199">
        <f t="shared" si="4"/>
        <v>8.3715486396862624E-4</v>
      </c>
      <c r="E27" s="199">
        <f t="shared" si="4"/>
        <v>3.1313000847966836E-3</v>
      </c>
      <c r="F27" s="199">
        <f t="shared" si="4"/>
        <v>8.088453039375991E-3</v>
      </c>
      <c r="G27" s="199">
        <f t="shared" si="4"/>
        <v>9.7709871303512785E-3</v>
      </c>
      <c r="H27" s="199">
        <f>(I11-H11-H22)/H12</f>
        <v>1.3861195655101563E-2</v>
      </c>
      <c r="I27" s="199">
        <f>I26/I12</f>
        <v>1.3738625199284062E-2</v>
      </c>
      <c r="J27" s="151">
        <f>J26/K12*2</f>
        <v>8.9300932780327098E-3</v>
      </c>
    </row>
    <row r="28" spans="1:20">
      <c r="B28" s="137"/>
      <c r="C28" s="64"/>
      <c r="D28" s="64"/>
      <c r="E28" s="64"/>
      <c r="F28" s="64"/>
      <c r="G28" s="64"/>
      <c r="H28" s="64"/>
    </row>
    <row r="29" spans="1:20">
      <c r="B29" s="197"/>
      <c r="C29" s="64"/>
      <c r="D29" s="64"/>
      <c r="E29" s="64"/>
      <c r="F29" s="64"/>
      <c r="G29" s="64"/>
      <c r="H29" s="64"/>
    </row>
    <row r="30" spans="1:20">
      <c r="B30" s="137"/>
      <c r="C30" s="64"/>
      <c r="D30" s="64"/>
      <c r="E30" s="356"/>
      <c r="F30" s="356"/>
      <c r="G30" s="356"/>
      <c r="H30" s="356"/>
      <c r="I30" s="356"/>
      <c r="J30" s="356"/>
    </row>
    <row r="31" spans="1:20" ht="15">
      <c r="A31" s="239" t="s">
        <v>191</v>
      </c>
    </row>
    <row r="32" spans="1:20">
      <c r="C32" s="64"/>
      <c r="D32" s="64"/>
      <c r="E32" s="64"/>
      <c r="F32" s="64"/>
      <c r="G32" s="64"/>
      <c r="H32" s="64"/>
    </row>
    <row r="36" spans="1:3">
      <c r="A36" s="64"/>
      <c r="C36" s="64"/>
    </row>
    <row r="37" spans="1:3">
      <c r="A37" s="64"/>
      <c r="B37" s="137"/>
      <c r="C37" s="64"/>
    </row>
    <row r="38" spans="1:3">
      <c r="A38" s="64"/>
      <c r="B38" s="197"/>
      <c r="C38" s="64"/>
    </row>
    <row r="39" spans="1:3">
      <c r="A39" s="64"/>
      <c r="B39" s="137"/>
      <c r="C39" s="64"/>
    </row>
    <row r="40" spans="1:3">
      <c r="A40" s="64"/>
      <c r="B40" s="137"/>
      <c r="C40" s="64"/>
    </row>
    <row r="41" spans="1:3">
      <c r="A41" s="64"/>
      <c r="B41" s="137"/>
      <c r="C41" s="64"/>
    </row>
    <row r="42" spans="1:3">
      <c r="A42" s="64"/>
      <c r="B42" s="137"/>
      <c r="C42" s="64"/>
    </row>
    <row r="43" spans="1:3">
      <c r="A43" s="64"/>
      <c r="B43" s="197"/>
      <c r="C43" s="6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30"/>
  <sheetViews>
    <sheetView showGridLines="0" workbookViewId="0">
      <pane xSplit="1" topLeftCell="B1" activePane="topRight" state="frozenSplit"/>
      <selection pane="topRight" activeCell="K1" sqref="K1"/>
    </sheetView>
  </sheetViews>
  <sheetFormatPr defaultColWidth="9" defaultRowHeight="12.75"/>
  <cols>
    <col min="1" max="1" width="17.25" style="173" customWidth="1"/>
    <col min="2" max="2" width="13" style="173" customWidth="1"/>
    <col min="3" max="3" width="10.875" style="173" customWidth="1"/>
    <col min="4" max="4" width="11.25" style="173" customWidth="1"/>
    <col min="5" max="5" width="10.75" style="173" customWidth="1"/>
    <col min="6" max="6" width="10.875" style="173" customWidth="1"/>
    <col min="7" max="7" width="9.625" style="180" bestFit="1" customWidth="1"/>
    <col min="8" max="8" width="9.625" style="173" bestFit="1" customWidth="1"/>
    <col min="9" max="16384" width="9" style="173"/>
  </cols>
  <sheetData>
    <row r="1" spans="1:22">
      <c r="A1" s="173" t="str">
        <f>[1]!to_tradecode(A2)</f>
        <v>600015</v>
      </c>
      <c r="B1" s="166" t="s">
        <v>149</v>
      </c>
    </row>
    <row r="2" spans="1:22">
      <c r="A2" s="181" t="s">
        <v>127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182">
        <v>42551</v>
      </c>
      <c r="M2" s="63">
        <v>42735</v>
      </c>
      <c r="N2" s="63">
        <v>42916</v>
      </c>
    </row>
    <row r="3" spans="1:22">
      <c r="A3" s="64" t="s">
        <v>150</v>
      </c>
      <c r="B3" s="284"/>
      <c r="C3" s="267">
        <v>59.641599999999997</v>
      </c>
      <c r="D3" s="267">
        <v>75.283169999999998</v>
      </c>
      <c r="E3" s="267">
        <v>98.098640000000003</v>
      </c>
      <c r="F3" s="267">
        <v>107.73336999999999</v>
      </c>
      <c r="G3" s="267">
        <v>130.73253</v>
      </c>
      <c r="H3" s="267">
        <v>172.59</v>
      </c>
      <c r="I3" s="267">
        <v>203.07</v>
      </c>
      <c r="J3" s="267">
        <v>224.43</v>
      </c>
      <c r="K3" s="267">
        <v>238.84</v>
      </c>
      <c r="L3" s="287">
        <v>272.35000000000002</v>
      </c>
      <c r="M3" s="267">
        <v>272.35000000000002</v>
      </c>
      <c r="N3" s="267">
        <v>322.99</v>
      </c>
      <c r="P3" s="183"/>
      <c r="Q3" s="183"/>
      <c r="R3" s="183"/>
      <c r="S3" s="183"/>
      <c r="T3" s="180"/>
      <c r="U3" s="183"/>
      <c r="V3" s="183"/>
    </row>
    <row r="4" spans="1:22">
      <c r="A4" s="64" t="s">
        <v>151</v>
      </c>
      <c r="B4" s="284"/>
      <c r="C4" s="267">
        <v>33.113349999999997</v>
      </c>
      <c r="D4" s="267">
        <v>45.074010000000001</v>
      </c>
      <c r="E4" s="267">
        <v>33.298990000000003</v>
      </c>
      <c r="F4" s="267">
        <v>41.735120000000002</v>
      </c>
      <c r="G4" s="267">
        <v>46.662460000000003</v>
      </c>
      <c r="H4" s="267">
        <v>38.119999999999997</v>
      </c>
      <c r="I4" s="267">
        <v>36.340000000000003</v>
      </c>
      <c r="J4" s="267">
        <v>52.25</v>
      </c>
      <c r="K4" s="267">
        <v>88.18</v>
      </c>
      <c r="L4" s="287">
        <v>55.1</v>
      </c>
      <c r="M4" s="267">
        <v>134.11000000000001</v>
      </c>
      <c r="N4" s="267">
        <v>76.83</v>
      </c>
      <c r="P4" s="183"/>
      <c r="Q4" s="183"/>
      <c r="R4" s="183"/>
      <c r="S4" s="183"/>
      <c r="T4" s="180"/>
      <c r="U4" s="183"/>
      <c r="V4" s="183"/>
    </row>
    <row r="5" spans="1:22">
      <c r="A5" s="64" t="s">
        <v>152</v>
      </c>
      <c r="B5" s="284"/>
      <c r="C5" s="288">
        <f>SUM(C6:C7)</f>
        <v>-15.367990000000001</v>
      </c>
      <c r="D5" s="289">
        <f t="shared" ref="D5:F5" si="0">SUM(D6:D7)</f>
        <v>-20.574660000000002</v>
      </c>
      <c r="E5" s="289">
        <f t="shared" si="0"/>
        <v>-21.84591</v>
      </c>
      <c r="F5" s="289">
        <f t="shared" si="0"/>
        <v>-17.698909999999998</v>
      </c>
      <c r="G5" s="289">
        <f>SUM(G6:G7)</f>
        <v>-6.5807700000000002</v>
      </c>
      <c r="H5" s="284">
        <f>H6+H7</f>
        <v>-7.01</v>
      </c>
      <c r="I5" s="284">
        <f t="shared" ref="I5:M5" si="1">I6+I7</f>
        <v>-16.399999999999999</v>
      </c>
      <c r="J5" s="289">
        <f>J6+J7</f>
        <v>-39.64</v>
      </c>
      <c r="K5" s="289">
        <f>K6+K7</f>
        <v>-55.449999999999996</v>
      </c>
      <c r="L5" s="284">
        <f>L6+L7</f>
        <v>-28.19</v>
      </c>
      <c r="M5" s="284">
        <f t="shared" si="1"/>
        <v>-84.89</v>
      </c>
      <c r="N5" s="267">
        <f>SUM(N6:N7)</f>
        <v>-54.26</v>
      </c>
      <c r="P5" s="64"/>
      <c r="Q5" s="64"/>
      <c r="R5" s="64"/>
      <c r="S5" s="64"/>
      <c r="T5" s="64"/>
      <c r="U5" s="64"/>
      <c r="V5" s="183"/>
    </row>
    <row r="6" spans="1:22">
      <c r="A6" s="184" t="s">
        <v>153</v>
      </c>
      <c r="B6" s="184"/>
      <c r="C6" s="267">
        <v>-14.99596</v>
      </c>
      <c r="D6" s="267">
        <v>-20.54485</v>
      </c>
      <c r="E6" s="267">
        <v>-19.869579999999999</v>
      </c>
      <c r="F6" s="267">
        <v>-17.566939999999999</v>
      </c>
      <c r="G6" s="267">
        <v>-6.4308500000000004</v>
      </c>
      <c r="H6" s="267">
        <v>-6.92</v>
      </c>
      <c r="I6" s="267">
        <v>-14.98</v>
      </c>
      <c r="J6" s="267">
        <v>-37.97</v>
      </c>
      <c r="K6" s="267">
        <v>-52.01</v>
      </c>
      <c r="L6" s="287">
        <v>-25.12</v>
      </c>
      <c r="M6" s="267">
        <v>-78.02</v>
      </c>
      <c r="N6" s="267">
        <v>-50.05</v>
      </c>
      <c r="P6" s="183"/>
      <c r="Q6" s="183"/>
      <c r="R6" s="183"/>
      <c r="S6" s="183"/>
      <c r="T6" s="180"/>
      <c r="U6" s="183"/>
      <c r="V6" s="183"/>
    </row>
    <row r="7" spans="1:22">
      <c r="A7" s="184" t="s">
        <v>154</v>
      </c>
      <c r="B7" s="184"/>
      <c r="C7" s="267">
        <v>-0.37203000000000003</v>
      </c>
      <c r="D7" s="267">
        <v>-2.981E-2</v>
      </c>
      <c r="E7" s="267">
        <v>-1.9763299999999999</v>
      </c>
      <c r="F7" s="267">
        <v>-0.13197</v>
      </c>
      <c r="G7" s="267">
        <v>-0.14992</v>
      </c>
      <c r="H7" s="267">
        <v>-0.09</v>
      </c>
      <c r="I7" s="267">
        <v>-1.42</v>
      </c>
      <c r="J7" s="267">
        <v>-1.67</v>
      </c>
      <c r="K7" s="267">
        <v>-3.44</v>
      </c>
      <c r="L7" s="287">
        <v>-3.07</v>
      </c>
      <c r="M7" s="267">
        <v>-6.87</v>
      </c>
      <c r="N7" s="267">
        <v>-4.21</v>
      </c>
      <c r="P7" s="183"/>
      <c r="Q7" s="183"/>
      <c r="R7" s="183"/>
      <c r="S7" s="183"/>
      <c r="T7" s="180"/>
      <c r="U7" s="183"/>
      <c r="V7" s="183"/>
    </row>
    <row r="8" spans="1:22">
      <c r="A8" s="185" t="s">
        <v>155</v>
      </c>
      <c r="B8" s="290"/>
      <c r="C8" s="267">
        <v>-2.4559899999999999</v>
      </c>
      <c r="D8" s="267">
        <v>-2.2795000000000001</v>
      </c>
      <c r="E8" s="267">
        <v>-2.1461399999999999</v>
      </c>
      <c r="F8" s="267">
        <v>-1.7878400000000001</v>
      </c>
      <c r="G8" s="267">
        <v>-1.67597</v>
      </c>
      <c r="H8" s="267">
        <v>-2.04</v>
      </c>
      <c r="I8" s="267" t="s">
        <v>129</v>
      </c>
      <c r="J8" s="184" t="s">
        <v>128</v>
      </c>
      <c r="K8" s="184" t="s">
        <v>130</v>
      </c>
      <c r="L8" s="184" t="s">
        <v>131</v>
      </c>
      <c r="M8" s="184" t="s">
        <v>132</v>
      </c>
      <c r="N8" s="267" t="s">
        <v>133</v>
      </c>
      <c r="P8" s="183"/>
      <c r="Q8" s="353"/>
      <c r="R8" s="354"/>
      <c r="S8" s="354"/>
      <c r="T8" s="354"/>
      <c r="U8" s="354"/>
      <c r="V8" s="183"/>
    </row>
    <row r="9" spans="1:22">
      <c r="A9" s="183" t="s">
        <v>156</v>
      </c>
      <c r="B9" s="267"/>
      <c r="C9" s="267">
        <v>0.35220000000000001</v>
      </c>
      <c r="D9" s="267">
        <v>0.59562000000000004</v>
      </c>
      <c r="E9" s="267">
        <v>0.32779000000000003</v>
      </c>
      <c r="F9" s="267">
        <v>0.75078999999999996</v>
      </c>
      <c r="G9" s="267">
        <v>3.4499200000000001</v>
      </c>
      <c r="H9" s="267">
        <v>1.42</v>
      </c>
      <c r="I9" s="267">
        <v>1.45</v>
      </c>
      <c r="J9" s="267">
        <v>1.72</v>
      </c>
      <c r="K9" s="267">
        <v>0.78</v>
      </c>
      <c r="L9" s="287">
        <v>0.34</v>
      </c>
      <c r="M9" s="267">
        <v>1.42</v>
      </c>
      <c r="N9" s="267">
        <v>2.02</v>
      </c>
      <c r="P9" s="183"/>
      <c r="Q9" s="183"/>
      <c r="R9" s="183"/>
      <c r="S9" s="183"/>
      <c r="T9" s="180"/>
      <c r="U9" s="183"/>
      <c r="V9" s="183"/>
    </row>
    <row r="10" spans="1:22">
      <c r="A10" s="183" t="s">
        <v>157</v>
      </c>
      <c r="B10" s="267"/>
      <c r="C10" s="184"/>
      <c r="D10" s="267"/>
      <c r="E10" s="267"/>
      <c r="F10" s="267"/>
      <c r="G10" s="267"/>
      <c r="H10" s="184" t="s">
        <v>134</v>
      </c>
      <c r="I10" s="267">
        <v>-0.03</v>
      </c>
      <c r="J10" s="267" t="s">
        <v>133</v>
      </c>
      <c r="K10" s="267" t="s">
        <v>128</v>
      </c>
      <c r="L10" s="267" t="s">
        <v>135</v>
      </c>
      <c r="M10" s="267" t="s">
        <v>136</v>
      </c>
      <c r="N10" s="267"/>
      <c r="P10" s="354"/>
      <c r="Q10" s="183"/>
      <c r="R10" s="183"/>
      <c r="S10" s="183"/>
      <c r="T10" s="183"/>
      <c r="U10" s="183"/>
      <c r="V10" s="183"/>
    </row>
    <row r="11" spans="1:22">
      <c r="A11" s="297" t="s">
        <v>282</v>
      </c>
      <c r="B11" s="267"/>
      <c r="C11" s="184"/>
      <c r="D11" s="267"/>
      <c r="E11" s="267"/>
      <c r="F11" s="267"/>
      <c r="G11" s="267"/>
      <c r="H11" s="184"/>
      <c r="I11" s="267"/>
      <c r="J11" s="267">
        <v>0.08</v>
      </c>
      <c r="K11" s="267"/>
      <c r="L11" s="267"/>
      <c r="M11" s="267"/>
      <c r="N11" s="267"/>
      <c r="P11" s="183"/>
      <c r="Q11" s="183"/>
      <c r="R11" s="183"/>
      <c r="S11" s="183"/>
      <c r="U11" s="183"/>
      <c r="V11" s="183"/>
    </row>
    <row r="12" spans="1:22">
      <c r="A12" s="64" t="s">
        <v>158</v>
      </c>
      <c r="B12" s="284"/>
      <c r="C12" s="267">
        <v>75.283169999999998</v>
      </c>
      <c r="D12" s="267">
        <v>98.098640000000003</v>
      </c>
      <c r="E12" s="267">
        <v>107.73336999999999</v>
      </c>
      <c r="F12" s="267">
        <v>130.73253</v>
      </c>
      <c r="G12" s="267">
        <v>172.58816999999999</v>
      </c>
      <c r="H12" s="267">
        <v>203.07</v>
      </c>
      <c r="I12" s="267">
        <v>224.43</v>
      </c>
      <c r="J12" s="267">
        <v>238.84</v>
      </c>
      <c r="K12" s="267">
        <v>272.35000000000002</v>
      </c>
      <c r="L12" s="178">
        <v>299.60000000000002</v>
      </c>
      <c r="M12" s="267">
        <v>322.99</v>
      </c>
      <c r="N12" s="267">
        <v>347.58</v>
      </c>
    </row>
    <row r="13" spans="1:22">
      <c r="A13" s="64" t="s">
        <v>159</v>
      </c>
      <c r="B13" s="291">
        <v>70.916430585000001</v>
      </c>
      <c r="C13" s="291">
        <v>68.896467465909993</v>
      </c>
      <c r="D13" s="291">
        <v>64.871799999999993</v>
      </c>
      <c r="E13" s="291">
        <v>64.572649999999996</v>
      </c>
      <c r="F13" s="291">
        <v>62.540370000000003</v>
      </c>
      <c r="G13" s="291">
        <v>55.996870000000001</v>
      </c>
      <c r="H13" s="291">
        <v>63.390549999999998</v>
      </c>
      <c r="I13" s="291">
        <v>74.430000000000007</v>
      </c>
      <c r="J13" s="291">
        <v>102.45</v>
      </c>
      <c r="K13" s="291">
        <v>162.97</v>
      </c>
      <c r="L13" s="292">
        <v>181.43</v>
      </c>
      <c r="M13" s="291">
        <v>203.48</v>
      </c>
      <c r="N13" s="267">
        <v>220.51</v>
      </c>
    </row>
    <row r="14" spans="1:22">
      <c r="A14" s="64" t="s">
        <v>160</v>
      </c>
      <c r="B14" s="291">
        <v>2597.6714499999998</v>
      </c>
      <c r="C14" s="291">
        <v>3060.7766999999999</v>
      </c>
      <c r="D14" s="291">
        <v>3554.7783800000002</v>
      </c>
      <c r="E14" s="291">
        <v>4302.2558399999998</v>
      </c>
      <c r="F14" s="291">
        <v>5279.3668118421001</v>
      </c>
      <c r="G14" s="291">
        <v>6114.6291717058994</v>
      </c>
      <c r="H14" s="291">
        <v>7201.6802403257998</v>
      </c>
      <c r="I14" s="291">
        <v>8231.69</v>
      </c>
      <c r="J14" s="291">
        <v>9399.89</v>
      </c>
      <c r="K14" s="291">
        <v>10691.72</v>
      </c>
      <c r="L14" s="292">
        <v>11642.48</v>
      </c>
      <c r="M14" s="291">
        <v>12166.54</v>
      </c>
      <c r="N14" s="267">
        <v>13095.53</v>
      </c>
    </row>
    <row r="15" spans="1:22">
      <c r="C15" s="286"/>
      <c r="D15" s="286"/>
      <c r="E15" s="286"/>
      <c r="F15" s="286"/>
      <c r="G15" s="286"/>
      <c r="H15" s="286"/>
      <c r="I15" s="286"/>
      <c r="J15" s="286"/>
      <c r="K15" s="286"/>
      <c r="L15" s="286"/>
      <c r="M15" s="286"/>
      <c r="N15" s="286"/>
    </row>
    <row r="16" spans="1:22">
      <c r="A16" s="64"/>
      <c r="B16" s="64"/>
      <c r="G16" s="173"/>
    </row>
    <row r="17" spans="1:18">
      <c r="G17" s="173"/>
      <c r="K17" s="186"/>
      <c r="L17" s="186"/>
      <c r="M17" s="186"/>
      <c r="N17" s="186"/>
      <c r="O17" s="186"/>
    </row>
    <row r="18" spans="1:18">
      <c r="G18" s="173"/>
    </row>
    <row r="19" spans="1:18" ht="14.25">
      <c r="G19" s="173"/>
      <c r="H19" s="180"/>
      <c r="O19" s="265"/>
    </row>
    <row r="20" spans="1:18" ht="14.25">
      <c r="A20" s="187"/>
      <c r="B20" s="67">
        <v>2007</v>
      </c>
      <c r="C20" s="67">
        <v>2008</v>
      </c>
      <c r="D20" s="67">
        <v>2009</v>
      </c>
      <c r="E20" s="67">
        <v>2010</v>
      </c>
      <c r="F20" s="67">
        <v>2011</v>
      </c>
      <c r="G20" s="67">
        <v>2012</v>
      </c>
      <c r="H20" s="67">
        <v>2013</v>
      </c>
      <c r="I20" s="67">
        <v>2014</v>
      </c>
      <c r="J20" s="67">
        <v>2015</v>
      </c>
      <c r="K20" s="67">
        <v>2016</v>
      </c>
      <c r="L20" s="69" t="s">
        <v>137</v>
      </c>
      <c r="O20" s="265"/>
    </row>
    <row r="21" spans="1:18" ht="14.25">
      <c r="A21" s="188" t="s">
        <v>161</v>
      </c>
      <c r="B21" s="189">
        <f t="shared" ref="B21:J21" si="2">C4</f>
        <v>33.113349999999997</v>
      </c>
      <c r="C21" s="189">
        <f t="shared" si="2"/>
        <v>45.074010000000001</v>
      </c>
      <c r="D21" s="189">
        <f t="shared" si="2"/>
        <v>33.298990000000003</v>
      </c>
      <c r="E21" s="189">
        <f t="shared" si="2"/>
        <v>41.735120000000002</v>
      </c>
      <c r="F21" s="189">
        <f t="shared" si="2"/>
        <v>46.662460000000003</v>
      </c>
      <c r="G21" s="189">
        <f t="shared" si="2"/>
        <v>38.119999999999997</v>
      </c>
      <c r="H21" s="189">
        <f>I4</f>
        <v>36.340000000000003</v>
      </c>
      <c r="I21" s="71">
        <f t="shared" si="2"/>
        <v>52.25</v>
      </c>
      <c r="J21" s="71">
        <f t="shared" si="2"/>
        <v>88.18</v>
      </c>
      <c r="K21" s="189">
        <f>M4</f>
        <v>134.11000000000001</v>
      </c>
      <c r="L21" s="72">
        <f>N4</f>
        <v>76.83</v>
      </c>
      <c r="O21" s="265"/>
    </row>
    <row r="22" spans="1:18" ht="14.25">
      <c r="A22" s="177" t="s">
        <v>162</v>
      </c>
      <c r="B22" s="190">
        <f t="shared" ref="B22:J22" si="3">C5</f>
        <v>-15.367990000000001</v>
      </c>
      <c r="C22" s="190">
        <f t="shared" si="3"/>
        <v>-20.574660000000002</v>
      </c>
      <c r="D22" s="190">
        <f t="shared" si="3"/>
        <v>-21.84591</v>
      </c>
      <c r="E22" s="190">
        <f t="shared" si="3"/>
        <v>-17.698909999999998</v>
      </c>
      <c r="F22" s="190">
        <f t="shared" si="3"/>
        <v>-6.5807700000000002</v>
      </c>
      <c r="G22" s="190">
        <f t="shared" si="3"/>
        <v>-7.01</v>
      </c>
      <c r="H22" s="80">
        <f t="shared" si="3"/>
        <v>-16.399999999999999</v>
      </c>
      <c r="I22" s="80">
        <f t="shared" si="3"/>
        <v>-39.64</v>
      </c>
      <c r="J22" s="80">
        <f t="shared" si="3"/>
        <v>-55.449999999999996</v>
      </c>
      <c r="K22" s="190">
        <f>M5</f>
        <v>-84.89</v>
      </c>
      <c r="L22" s="324">
        <f>N5</f>
        <v>-54.26</v>
      </c>
      <c r="O22" s="265"/>
    </row>
    <row r="23" spans="1:18" ht="14.25">
      <c r="G23" s="173"/>
      <c r="O23" s="265"/>
    </row>
    <row r="24" spans="1:18" ht="14.25">
      <c r="G24" s="173"/>
      <c r="L24" s="180"/>
      <c r="O24" s="265"/>
      <c r="Q24" s="76"/>
      <c r="R24" s="76"/>
    </row>
    <row r="25" spans="1:18" ht="14.25">
      <c r="A25" s="191"/>
      <c r="B25" s="67">
        <v>2007</v>
      </c>
      <c r="C25" s="67">
        <v>2008</v>
      </c>
      <c r="D25" s="67">
        <v>2009</v>
      </c>
      <c r="E25" s="67">
        <v>2010</v>
      </c>
      <c r="F25" s="67">
        <v>2011</v>
      </c>
      <c r="G25" s="67">
        <v>2012</v>
      </c>
      <c r="H25" s="67">
        <v>2013</v>
      </c>
      <c r="I25" s="67">
        <v>2014</v>
      </c>
      <c r="J25" s="67">
        <v>2015</v>
      </c>
      <c r="K25" s="67">
        <v>2016</v>
      </c>
      <c r="L25" s="69" t="s">
        <v>6</v>
      </c>
      <c r="O25" s="265"/>
      <c r="P25" s="266"/>
      <c r="Q25" s="76"/>
      <c r="R25" s="76"/>
    </row>
    <row r="26" spans="1:18">
      <c r="A26" s="192" t="s">
        <v>163</v>
      </c>
      <c r="B26" s="193">
        <f t="shared" ref="B26:F26" si="4">(C13-B13-B22)</f>
        <v>13.348026880909993</v>
      </c>
      <c r="C26" s="193">
        <f t="shared" si="4"/>
        <v>16.549992534090002</v>
      </c>
      <c r="D26" s="193">
        <f t="shared" si="4"/>
        <v>21.546760000000003</v>
      </c>
      <c r="E26" s="193">
        <f t="shared" si="4"/>
        <v>15.666630000000005</v>
      </c>
      <c r="F26" s="193">
        <f t="shared" si="4"/>
        <v>3.7269999999998582E-2</v>
      </c>
      <c r="G26" s="193">
        <f>(H13-G13-G22)</f>
        <v>14.403679999999996</v>
      </c>
      <c r="H26" s="193">
        <f>(I13-H13-H22)</f>
        <v>27.439450000000008</v>
      </c>
      <c r="I26" s="193">
        <f>(J13-I13-I22)</f>
        <v>67.66</v>
      </c>
      <c r="J26" s="193">
        <f>(K13-J13-J22)</f>
        <v>115.97</v>
      </c>
      <c r="K26" s="193">
        <f>(M13-K13-K22)</f>
        <v>125.39999999999999</v>
      </c>
      <c r="L26" s="194">
        <f>(N13-M13-L22)</f>
        <v>71.289999999999992</v>
      </c>
      <c r="O26" s="76"/>
      <c r="P26" s="76"/>
      <c r="Q26" s="76"/>
      <c r="R26" s="76"/>
    </row>
    <row r="27" spans="1:18">
      <c r="A27" s="195" t="s">
        <v>164</v>
      </c>
      <c r="B27" s="85">
        <f t="shared" ref="B27:F27" si="5">(C13-B13-B22)/B14</f>
        <v>5.1384584763057677E-3</v>
      </c>
      <c r="C27" s="85">
        <f t="shared" si="5"/>
        <v>5.4071218374375377E-3</v>
      </c>
      <c r="D27" s="85">
        <f t="shared" si="5"/>
        <v>6.061351143921383E-3</v>
      </c>
      <c r="E27" s="85">
        <f t="shared" si="5"/>
        <v>3.6414919480939108E-3</v>
      </c>
      <c r="F27" s="85">
        <f t="shared" si="5"/>
        <v>7.0595587176095776E-6</v>
      </c>
      <c r="G27" s="85">
        <f>(H13-G13-G22)/G14</f>
        <v>2.3556097345444685E-3</v>
      </c>
      <c r="H27" s="85">
        <f>(I13-H13-H22)/H14</f>
        <v>3.8101455610807101E-3</v>
      </c>
      <c r="I27" s="85">
        <f>(J13-I13-I22)/I14</f>
        <v>8.2194543283335489E-3</v>
      </c>
      <c r="J27" s="85">
        <f>(K13-J13-J22)/J14</f>
        <v>1.2337378416130402E-2</v>
      </c>
      <c r="K27" s="85">
        <f>(M13-K13-K22)/K14</f>
        <v>1.1728702210682659E-2</v>
      </c>
      <c r="L27" s="196">
        <f>L26/N14*2</f>
        <v>1.088768457634017E-2</v>
      </c>
      <c r="O27" s="76"/>
      <c r="P27" s="76"/>
      <c r="Q27" s="76"/>
      <c r="R27" s="76"/>
    </row>
    <row r="29" spans="1:18">
      <c r="G29" s="357"/>
      <c r="H29" s="337"/>
      <c r="I29" s="337"/>
      <c r="J29" s="337"/>
      <c r="K29" s="337"/>
      <c r="L29" s="337"/>
    </row>
    <row r="30" spans="1:18" ht="15">
      <c r="A30" s="239" t="s">
        <v>191</v>
      </c>
      <c r="G30" s="355"/>
      <c r="H30" s="356"/>
      <c r="I30" s="356"/>
      <c r="J30" s="356"/>
      <c r="K30" s="356"/>
      <c r="L30" s="356"/>
    </row>
  </sheetData>
  <phoneticPr fontId="5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37"/>
  <sheetViews>
    <sheetView showGridLines="0" topLeftCell="A4" workbookViewId="0">
      <pane xSplit="1" topLeftCell="B1" activePane="topRight" state="frozenSplit"/>
      <selection pane="topRight" activeCell="G29" sqref="G29:L30"/>
    </sheetView>
  </sheetViews>
  <sheetFormatPr defaultColWidth="9.125" defaultRowHeight="12"/>
  <cols>
    <col min="1" max="1" width="17.25" style="1" customWidth="1"/>
    <col min="2" max="2" width="13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.5" style="1" bestFit="1" customWidth="1"/>
    <col min="8" max="8" width="10.5" style="1" bestFit="1" customWidth="1"/>
    <col min="9" max="9" width="12.25" style="1" bestFit="1" customWidth="1"/>
    <col min="10" max="16384" width="9.125" style="1"/>
  </cols>
  <sheetData>
    <row r="1" spans="1:23">
      <c r="A1" s="1" t="str">
        <f>[1]!to_tradecode(A2)</f>
        <v>000001</v>
      </c>
      <c r="B1" s="136" t="s">
        <v>291</v>
      </c>
    </row>
    <row r="2" spans="1:23">
      <c r="A2" s="2" t="s">
        <v>292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3">
      <c r="A3" s="36" t="s">
        <v>98</v>
      </c>
      <c r="B3" s="36"/>
      <c r="C3" s="261">
        <v>69.371409999999997</v>
      </c>
      <c r="D3" s="299">
        <v>60.239640000000001</v>
      </c>
      <c r="E3" s="299">
        <v>20.26679</v>
      </c>
      <c r="F3" s="299">
        <v>39.549999999999997</v>
      </c>
      <c r="G3" s="299">
        <v>64.25</v>
      </c>
      <c r="H3" s="2">
        <v>105.67</v>
      </c>
      <c r="I3" s="2">
        <v>125.18</v>
      </c>
      <c r="J3" s="2">
        <v>151.62</v>
      </c>
      <c r="K3" s="2">
        <v>210.97</v>
      </c>
      <c r="L3" s="2">
        <v>292.66000000000003</v>
      </c>
      <c r="M3" s="2">
        <v>292.66000000000003</v>
      </c>
      <c r="N3" s="109">
        <v>399.32</v>
      </c>
      <c r="Q3" s="1">
        <v>105.67</v>
      </c>
      <c r="R3" s="1">
        <v>125.18</v>
      </c>
      <c r="S3" s="1">
        <v>151.62</v>
      </c>
      <c r="T3" s="1">
        <v>210.97</v>
      </c>
      <c r="U3" s="1">
        <v>292.66000000000003</v>
      </c>
      <c r="V3" s="1">
        <v>292.66000000000003</v>
      </c>
      <c r="W3" s="1">
        <v>399.32</v>
      </c>
    </row>
    <row r="4" spans="1:23">
      <c r="A4" s="36" t="s">
        <v>99</v>
      </c>
      <c r="B4" s="36"/>
      <c r="C4" s="261">
        <v>14.27651</v>
      </c>
      <c r="D4" s="299">
        <v>65.886009999999999</v>
      </c>
      <c r="E4" s="299">
        <v>13.310420000000001</v>
      </c>
      <c r="F4" s="299">
        <v>14.05</v>
      </c>
      <c r="G4" s="299">
        <v>20.58</v>
      </c>
      <c r="H4" s="2">
        <v>30.37</v>
      </c>
      <c r="I4" s="2">
        <v>66.75</v>
      </c>
      <c r="J4" s="2">
        <v>146.13999999999999</v>
      </c>
      <c r="K4" s="2">
        <v>298.67</v>
      </c>
      <c r="L4" s="2">
        <v>197.14</v>
      </c>
      <c r="M4" s="2">
        <v>454.35</v>
      </c>
      <c r="N4" s="109">
        <v>228.56</v>
      </c>
      <c r="Q4" s="1">
        <v>30.37</v>
      </c>
      <c r="R4" s="1">
        <v>66.75</v>
      </c>
      <c r="S4" s="1">
        <v>146.13999999999999</v>
      </c>
      <c r="T4" s="1">
        <v>298.67</v>
      </c>
      <c r="U4" s="1">
        <v>197.14</v>
      </c>
      <c r="V4" s="1">
        <v>454.35</v>
      </c>
      <c r="W4" s="1">
        <v>228.56</v>
      </c>
    </row>
    <row r="5" spans="1:23">
      <c r="A5" s="36" t="s">
        <v>100</v>
      </c>
      <c r="B5" s="36"/>
      <c r="C5" s="261">
        <v>-23.01981</v>
      </c>
      <c r="D5" s="299">
        <v>-106.06712</v>
      </c>
      <c r="E5" s="299">
        <v>-1.75017</v>
      </c>
      <c r="F5" s="298">
        <v>-2.13</v>
      </c>
      <c r="G5" s="298">
        <v>-2.36</v>
      </c>
      <c r="H5" s="2">
        <v>-12.44</v>
      </c>
      <c r="I5" s="2">
        <v>-31.94</v>
      </c>
      <c r="J5" s="2">
        <v>-66.64</v>
      </c>
      <c r="K5" s="2">
        <v>-100.09</v>
      </c>
      <c r="L5" s="2">
        <v>-109.08</v>
      </c>
      <c r="M5" s="2">
        <v>-299.47000000000003</v>
      </c>
      <c r="N5" s="109">
        <v>-188.9</v>
      </c>
      <c r="Q5" s="1">
        <v>-12.44</v>
      </c>
      <c r="R5" s="1">
        <v>-31.94</v>
      </c>
      <c r="S5" s="1">
        <v>-66.64</v>
      </c>
      <c r="T5" s="1">
        <v>-100.09</v>
      </c>
      <c r="U5" s="1">
        <v>-109.08</v>
      </c>
      <c r="V5" s="1">
        <v>-299.47000000000003</v>
      </c>
      <c r="W5" s="1">
        <v>-188.9</v>
      </c>
    </row>
    <row r="6" spans="1:23">
      <c r="A6" s="36" t="s">
        <v>101</v>
      </c>
      <c r="B6" s="36"/>
      <c r="C6" s="261">
        <v>0.34061000000000002</v>
      </c>
      <c r="D6" s="299">
        <v>0.29943999999999998</v>
      </c>
      <c r="E6" s="299">
        <v>6.7316000000000003</v>
      </c>
      <c r="F6" s="299">
        <v>12.85</v>
      </c>
      <c r="G6" s="299">
        <v>10.130000000000001</v>
      </c>
      <c r="H6" s="2">
        <v>4.22</v>
      </c>
      <c r="I6" s="2">
        <v>3.91</v>
      </c>
      <c r="J6" s="2">
        <v>7.39</v>
      </c>
      <c r="K6" s="2">
        <v>23.84</v>
      </c>
      <c r="L6" s="2">
        <v>6.94</v>
      </c>
      <c r="M6" s="2">
        <v>15.08</v>
      </c>
      <c r="N6" s="109">
        <v>17.68</v>
      </c>
      <c r="Q6" s="1">
        <v>4.22</v>
      </c>
      <c r="R6" s="1">
        <v>3.91</v>
      </c>
      <c r="S6" s="1">
        <v>7.39</v>
      </c>
      <c r="T6" s="1">
        <v>23.84</v>
      </c>
      <c r="U6" s="1">
        <v>6.94</v>
      </c>
      <c r="V6" s="1">
        <v>15.08</v>
      </c>
      <c r="W6" s="1">
        <v>17.68</v>
      </c>
    </row>
    <row r="7" spans="1:23">
      <c r="A7" s="36" t="s">
        <v>102</v>
      </c>
      <c r="B7" s="36"/>
      <c r="C7" s="2"/>
      <c r="D7" s="2"/>
      <c r="E7" s="299">
        <v>-3.0271699999999999</v>
      </c>
      <c r="F7" s="2"/>
      <c r="G7" s="2"/>
      <c r="H7" s="2"/>
      <c r="I7" s="2">
        <v>-8.08</v>
      </c>
      <c r="J7" s="2">
        <v>-24.3</v>
      </c>
      <c r="K7" s="2">
        <v>-135.74</v>
      </c>
      <c r="L7" s="2">
        <v>-44.33</v>
      </c>
      <c r="M7" s="2">
        <v>-58.5</v>
      </c>
      <c r="N7" s="109">
        <v>-0.27</v>
      </c>
      <c r="R7" s="1">
        <v>-8.08</v>
      </c>
      <c r="S7" s="1">
        <v>-24.3</v>
      </c>
      <c r="T7" s="1">
        <v>-135.74</v>
      </c>
      <c r="U7" s="1">
        <v>-44.33</v>
      </c>
      <c r="V7" s="1">
        <v>-58.5</v>
      </c>
      <c r="W7" s="1">
        <v>-0.27</v>
      </c>
    </row>
    <row r="8" spans="1:23" s="41" customFormat="1">
      <c r="A8" s="347" t="s">
        <v>286</v>
      </c>
      <c r="B8" s="347"/>
      <c r="C8" s="4"/>
      <c r="D8" s="4"/>
      <c r="E8" s="4"/>
      <c r="F8" s="4"/>
      <c r="G8" s="348">
        <v>13.15</v>
      </c>
      <c r="H8" s="4"/>
      <c r="I8" s="4"/>
      <c r="J8" s="4"/>
      <c r="K8" s="4"/>
      <c r="L8" s="4"/>
      <c r="M8" s="4"/>
      <c r="N8" s="349"/>
    </row>
    <row r="9" spans="1:23" s="41" customFormat="1">
      <c r="A9" s="347" t="s">
        <v>103</v>
      </c>
      <c r="B9" s="347"/>
      <c r="C9" s="4"/>
      <c r="D9" s="4"/>
      <c r="E9" s="4"/>
      <c r="F9" s="4"/>
      <c r="G9" s="4"/>
      <c r="H9" s="4">
        <v>-2.19</v>
      </c>
      <c r="I9" s="4">
        <v>-4.03</v>
      </c>
      <c r="J9" s="4">
        <v>-3.13</v>
      </c>
      <c r="K9" s="4">
        <v>-4.0599999999999996</v>
      </c>
      <c r="L9" s="4">
        <v>-2.44</v>
      </c>
      <c r="M9" s="4">
        <v>-5.44</v>
      </c>
      <c r="N9" s="349">
        <v>-3.36</v>
      </c>
      <c r="Q9" s="41">
        <v>-2.19</v>
      </c>
      <c r="R9" s="41">
        <v>-4.03</v>
      </c>
      <c r="S9" s="41">
        <v>-3.13</v>
      </c>
      <c r="T9" s="41">
        <v>-4.0599999999999996</v>
      </c>
      <c r="U9" s="41">
        <v>-2.44</v>
      </c>
      <c r="V9" s="41">
        <v>-5.44</v>
      </c>
      <c r="W9" s="41">
        <v>-3.36</v>
      </c>
    </row>
    <row r="10" spans="1:23" s="41" customFormat="1">
      <c r="A10" s="350" t="s">
        <v>329</v>
      </c>
      <c r="B10" s="347"/>
      <c r="C10" s="4"/>
      <c r="D10" s="4"/>
      <c r="E10" s="348">
        <v>3.5623499999999999</v>
      </c>
      <c r="G10" s="4"/>
      <c r="H10" s="4"/>
      <c r="I10" s="4"/>
      <c r="J10" s="4"/>
      <c r="K10" s="4"/>
      <c r="L10" s="4"/>
      <c r="M10" s="4"/>
      <c r="N10" s="349"/>
    </row>
    <row r="11" spans="1:23" s="41" customFormat="1">
      <c r="A11" s="347" t="s">
        <v>104</v>
      </c>
      <c r="B11" s="347"/>
      <c r="C11" s="351">
        <v>-0.72907999999999995</v>
      </c>
      <c r="D11" s="348">
        <v>-9.1179999999999997E-2</v>
      </c>
      <c r="E11" s="348">
        <v>0.45485999999999999</v>
      </c>
      <c r="F11" s="352">
        <v>-7.0000000000000007E-2</v>
      </c>
      <c r="G11" s="352">
        <v>-0.09</v>
      </c>
      <c r="H11" s="4">
        <v>-0.45</v>
      </c>
      <c r="I11" s="4">
        <v>-0.17</v>
      </c>
      <c r="J11" s="4">
        <v>-0.11</v>
      </c>
      <c r="K11" s="4">
        <v>-0.93</v>
      </c>
      <c r="L11" s="4">
        <v>-0.03</v>
      </c>
      <c r="M11" s="4">
        <v>0.64</v>
      </c>
      <c r="N11" s="349">
        <v>-0.74</v>
      </c>
      <c r="Q11" s="41">
        <v>-0.45</v>
      </c>
      <c r="R11" s="41">
        <v>-0.17</v>
      </c>
      <c r="S11" s="41">
        <v>-0.11</v>
      </c>
      <c r="T11" s="41">
        <v>-0.93</v>
      </c>
      <c r="U11" s="41">
        <v>-0.03</v>
      </c>
      <c r="V11" s="41">
        <v>0.64</v>
      </c>
      <c r="W11" s="41">
        <v>-0.74</v>
      </c>
    </row>
    <row r="12" spans="1:23">
      <c r="A12" s="36" t="s">
        <v>105</v>
      </c>
      <c r="B12" s="36"/>
      <c r="C12" s="261">
        <v>60.239640000000001</v>
      </c>
      <c r="D12" s="299">
        <v>20.26679</v>
      </c>
      <c r="E12" s="299">
        <v>39.548679999999997</v>
      </c>
      <c r="F12" s="299">
        <v>64.25</v>
      </c>
      <c r="G12" s="299">
        <v>105.66</v>
      </c>
      <c r="H12" s="2">
        <v>125.18</v>
      </c>
      <c r="I12" s="2">
        <v>151.62</v>
      </c>
      <c r="J12" s="2">
        <v>210.97</v>
      </c>
      <c r="K12" s="2">
        <v>292.66000000000003</v>
      </c>
      <c r="L12" s="2">
        <v>340.86</v>
      </c>
      <c r="M12" s="2">
        <v>399.32</v>
      </c>
      <c r="N12" s="109">
        <v>452.29</v>
      </c>
      <c r="Q12" s="1">
        <v>125.18</v>
      </c>
      <c r="R12" s="1">
        <v>151.62</v>
      </c>
      <c r="S12" s="1">
        <v>210.97</v>
      </c>
      <c r="T12" s="1">
        <v>292.66000000000003</v>
      </c>
      <c r="U12" s="1">
        <v>340.86</v>
      </c>
      <c r="V12" s="1">
        <v>399.32</v>
      </c>
      <c r="W12" s="1">
        <v>452.29</v>
      </c>
    </row>
    <row r="13" spans="1:23">
      <c r="A13" s="2" t="s">
        <v>289</v>
      </c>
      <c r="B13" s="5">
        <v>145.65</v>
      </c>
      <c r="C13" s="5">
        <v>124.76</v>
      </c>
      <c r="D13" s="5">
        <v>19</v>
      </c>
      <c r="E13" s="5">
        <v>24.436720000000001</v>
      </c>
      <c r="F13" s="110">
        <v>280.37</v>
      </c>
      <c r="G13" s="5">
        <v>32.950000000000003</v>
      </c>
      <c r="H13" s="5">
        <v>68.66</v>
      </c>
      <c r="I13" s="5">
        <v>75.41</v>
      </c>
      <c r="J13" s="5">
        <v>105.01</v>
      </c>
      <c r="K13" s="5">
        <v>176.45</v>
      </c>
      <c r="L13" s="5">
        <v>211.95</v>
      </c>
      <c r="M13" s="5">
        <v>257.02</v>
      </c>
      <c r="N13" s="110">
        <v>280.37</v>
      </c>
      <c r="P13" s="1">
        <v>32.950000000000003</v>
      </c>
      <c r="Q13" s="1">
        <v>68.66</v>
      </c>
      <c r="R13" s="1">
        <v>75.41</v>
      </c>
      <c r="S13" s="1">
        <v>105.01</v>
      </c>
      <c r="T13" s="1">
        <v>176.45</v>
      </c>
      <c r="U13" s="1">
        <v>211.95</v>
      </c>
      <c r="V13" s="1">
        <v>257.02</v>
      </c>
      <c r="W13" s="1">
        <v>280.37</v>
      </c>
    </row>
    <row r="14" spans="1:23">
      <c r="A14" s="2" t="s">
        <v>288</v>
      </c>
      <c r="B14" s="5">
        <v>1821.8194696099999</v>
      </c>
      <c r="C14" s="5">
        <v>2218.13598</v>
      </c>
      <c r="D14" s="5">
        <v>2837.4136600000002</v>
      </c>
      <c r="E14" s="5">
        <v>3595.1741299999999</v>
      </c>
      <c r="F14" s="111">
        <v>15490.52</v>
      </c>
      <c r="G14" s="5">
        <v>6206.4181699999999</v>
      </c>
      <c r="H14" s="5">
        <v>7207.8004799999999</v>
      </c>
      <c r="I14" s="5">
        <v>8472.89</v>
      </c>
      <c r="J14" s="5">
        <v>10247.34</v>
      </c>
      <c r="K14" s="5">
        <v>12161.38</v>
      </c>
      <c r="L14" s="5">
        <v>13580.21</v>
      </c>
      <c r="M14" s="5">
        <v>14758.01</v>
      </c>
      <c r="N14" s="111">
        <v>15490.52</v>
      </c>
      <c r="P14" s="283">
        <v>6206.4181699999999</v>
      </c>
      <c r="Q14" s="283">
        <v>7207.8004799999999</v>
      </c>
      <c r="R14" s="283">
        <v>8472.89</v>
      </c>
      <c r="S14" s="283">
        <v>10247.34</v>
      </c>
      <c r="T14" s="283">
        <v>12161.38</v>
      </c>
      <c r="U14" s="283">
        <v>13580.21</v>
      </c>
      <c r="V14" s="283">
        <v>14758.01</v>
      </c>
      <c r="W14" s="283">
        <v>15490.52</v>
      </c>
    </row>
    <row r="15" spans="1:2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</row>
    <row r="16" spans="1:23">
      <c r="B16" s="346" t="s">
        <v>330</v>
      </c>
      <c r="C16" s="343"/>
      <c r="D16" s="343"/>
      <c r="E16" s="343"/>
      <c r="F16" s="343"/>
      <c r="G16" s="343"/>
      <c r="H16" s="343"/>
      <c r="I16" s="343"/>
    </row>
    <row r="17" spans="1:23">
      <c r="B17" s="342" t="s">
        <v>331</v>
      </c>
      <c r="C17" s="343"/>
      <c r="D17" s="343"/>
      <c r="E17" s="343"/>
      <c r="F17" s="343"/>
      <c r="G17" s="343"/>
      <c r="H17" s="343"/>
      <c r="I17" s="343"/>
      <c r="K17" s="11"/>
      <c r="L17" s="11"/>
      <c r="M17" s="11"/>
      <c r="N17" s="11"/>
      <c r="O17" s="11"/>
      <c r="P17" s="11"/>
      <c r="Q17" s="11"/>
    </row>
    <row r="20" spans="1:23">
      <c r="A20" s="6" t="s">
        <v>283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112">
        <v>2016</v>
      </c>
      <c r="L20" s="96" t="s">
        <v>107</v>
      </c>
      <c r="Q20" s="1" t="b">
        <f t="shared" ref="Q20:W24" si="0">Q3=H3</f>
        <v>1</v>
      </c>
      <c r="R20" s="1" t="b">
        <f t="shared" si="0"/>
        <v>1</v>
      </c>
      <c r="S20" s="1" t="b">
        <f t="shared" si="0"/>
        <v>1</v>
      </c>
      <c r="T20" s="1" t="b">
        <f t="shared" si="0"/>
        <v>1</v>
      </c>
      <c r="U20" s="1" t="b">
        <f t="shared" si="0"/>
        <v>1</v>
      </c>
      <c r="V20" s="1" t="b">
        <f t="shared" si="0"/>
        <v>1</v>
      </c>
      <c r="W20" s="1" t="b">
        <f t="shared" si="0"/>
        <v>1</v>
      </c>
    </row>
    <row r="21" spans="1:23">
      <c r="A21" s="9" t="s">
        <v>7</v>
      </c>
      <c r="B21" s="262">
        <f t="shared" ref="B21:J21" si="1">C4</f>
        <v>14.27651</v>
      </c>
      <c r="C21" s="262">
        <f t="shared" si="1"/>
        <v>65.886009999999999</v>
      </c>
      <c r="D21" s="262">
        <f t="shared" si="1"/>
        <v>13.310420000000001</v>
      </c>
      <c r="E21" s="262">
        <f t="shared" si="1"/>
        <v>14.05</v>
      </c>
      <c r="F21" s="262">
        <f t="shared" si="1"/>
        <v>20.58</v>
      </c>
      <c r="G21" s="262">
        <f>H4</f>
        <v>30.37</v>
      </c>
      <c r="H21" s="10">
        <f t="shared" si="1"/>
        <v>66.75</v>
      </c>
      <c r="I21" s="10">
        <f t="shared" si="1"/>
        <v>146.13999999999999</v>
      </c>
      <c r="J21" s="10">
        <f t="shared" si="1"/>
        <v>298.67</v>
      </c>
      <c r="K21" s="9">
        <f>M4</f>
        <v>454.35</v>
      </c>
      <c r="L21" s="113">
        <f>N4</f>
        <v>228.56</v>
      </c>
      <c r="Q21" s="1" t="b">
        <f t="shared" si="0"/>
        <v>1</v>
      </c>
      <c r="R21" s="1" t="b">
        <f t="shared" si="0"/>
        <v>1</v>
      </c>
      <c r="S21" s="1" t="b">
        <f t="shared" si="0"/>
        <v>1</v>
      </c>
      <c r="T21" s="1" t="b">
        <f t="shared" si="0"/>
        <v>1</v>
      </c>
      <c r="U21" s="1" t="b">
        <f t="shared" si="0"/>
        <v>1</v>
      </c>
      <c r="V21" s="1" t="b">
        <f t="shared" si="0"/>
        <v>1</v>
      </c>
      <c r="W21" s="1" t="b">
        <f t="shared" si="0"/>
        <v>1</v>
      </c>
    </row>
    <row r="22" spans="1:23">
      <c r="A22" s="12" t="s">
        <v>8</v>
      </c>
      <c r="B22" s="263">
        <f t="shared" ref="B22:I22" si="2">C5+C7</f>
        <v>-23.01981</v>
      </c>
      <c r="C22" s="263">
        <f t="shared" si="2"/>
        <v>-106.06712</v>
      </c>
      <c r="D22" s="263">
        <f t="shared" si="2"/>
        <v>-4.7773399999999997</v>
      </c>
      <c r="E22" s="263">
        <f t="shared" si="2"/>
        <v>-2.13</v>
      </c>
      <c r="F22" s="263">
        <f t="shared" si="2"/>
        <v>-2.36</v>
      </c>
      <c r="G22" s="263">
        <f t="shared" si="2"/>
        <v>-12.44</v>
      </c>
      <c r="H22" s="13">
        <f t="shared" si="2"/>
        <v>-40.020000000000003</v>
      </c>
      <c r="I22" s="13">
        <f t="shared" si="2"/>
        <v>-90.94</v>
      </c>
      <c r="J22" s="13">
        <f>K5+K7</f>
        <v>-235.83</v>
      </c>
      <c r="K22" s="12">
        <f>M5+M7</f>
        <v>-357.97</v>
      </c>
      <c r="L22" s="114">
        <f>N5+N7</f>
        <v>-189.17000000000002</v>
      </c>
      <c r="Q22" s="1" t="b">
        <f t="shared" si="0"/>
        <v>1</v>
      </c>
      <c r="R22" s="1" t="b">
        <f t="shared" si="0"/>
        <v>1</v>
      </c>
      <c r="S22" s="1" t="b">
        <f t="shared" si="0"/>
        <v>1</v>
      </c>
      <c r="T22" s="1" t="b">
        <f t="shared" si="0"/>
        <v>1</v>
      </c>
      <c r="U22" s="1" t="b">
        <f t="shared" si="0"/>
        <v>1</v>
      </c>
      <c r="V22" s="1" t="b">
        <f t="shared" si="0"/>
        <v>1</v>
      </c>
      <c r="W22" s="1" t="b">
        <f t="shared" si="0"/>
        <v>1</v>
      </c>
    </row>
    <row r="23" spans="1:23">
      <c r="A23" s="14" t="s">
        <v>285</v>
      </c>
      <c r="B23" s="264">
        <f t="shared" ref="B23:J23" si="3">C6</f>
        <v>0.34061000000000002</v>
      </c>
      <c r="C23" s="264">
        <f t="shared" si="3"/>
        <v>0.29943999999999998</v>
      </c>
      <c r="D23" s="264">
        <f t="shared" si="3"/>
        <v>6.7316000000000003</v>
      </c>
      <c r="E23" s="264">
        <f t="shared" si="3"/>
        <v>12.85</v>
      </c>
      <c r="F23" s="264">
        <f t="shared" si="3"/>
        <v>10.130000000000001</v>
      </c>
      <c r="G23" s="264">
        <f t="shared" si="3"/>
        <v>4.22</v>
      </c>
      <c r="H23" s="15">
        <f t="shared" si="3"/>
        <v>3.91</v>
      </c>
      <c r="I23" s="15">
        <f t="shared" si="3"/>
        <v>7.39</v>
      </c>
      <c r="J23" s="15">
        <f t="shared" si="3"/>
        <v>23.84</v>
      </c>
      <c r="K23" s="38">
        <f>M6</f>
        <v>15.08</v>
      </c>
      <c r="L23" s="38">
        <f>N6</f>
        <v>17.68</v>
      </c>
      <c r="Q23" s="1" t="b">
        <f t="shared" si="0"/>
        <v>1</v>
      </c>
      <c r="R23" s="1" t="b">
        <f t="shared" si="0"/>
        <v>1</v>
      </c>
      <c r="S23" s="1" t="b">
        <f t="shared" si="0"/>
        <v>1</v>
      </c>
      <c r="T23" s="1" t="b">
        <f t="shared" si="0"/>
        <v>1</v>
      </c>
      <c r="U23" s="1" t="b">
        <f t="shared" si="0"/>
        <v>1</v>
      </c>
      <c r="V23" s="1" t="b">
        <f t="shared" si="0"/>
        <v>1</v>
      </c>
      <c r="W23" s="1" t="b">
        <f t="shared" si="0"/>
        <v>1</v>
      </c>
    </row>
    <row r="24" spans="1:23">
      <c r="Q24" s="1" t="b">
        <f t="shared" si="0"/>
        <v>1</v>
      </c>
      <c r="R24" s="1" t="b">
        <f t="shared" si="0"/>
        <v>1</v>
      </c>
      <c r="S24" s="1" t="b">
        <f t="shared" si="0"/>
        <v>1</v>
      </c>
      <c r="T24" s="1" t="b">
        <f t="shared" si="0"/>
        <v>1</v>
      </c>
      <c r="U24" s="1" t="b">
        <f t="shared" si="0"/>
        <v>1</v>
      </c>
      <c r="V24" s="1" t="b">
        <f t="shared" si="0"/>
        <v>1</v>
      </c>
      <c r="W24" s="1" t="b">
        <f t="shared" si="0"/>
        <v>1</v>
      </c>
    </row>
    <row r="25" spans="1:23">
      <c r="B25" s="4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112">
        <v>2016</v>
      </c>
      <c r="L25" s="96" t="s">
        <v>6</v>
      </c>
      <c r="Q25" s="343" t="b">
        <f>Q9=H9</f>
        <v>1</v>
      </c>
      <c r="R25" s="343" t="b">
        <f t="shared" ref="R25:W25" si="4">R9=I9</f>
        <v>1</v>
      </c>
      <c r="S25" s="343" t="b">
        <f t="shared" si="4"/>
        <v>1</v>
      </c>
      <c r="T25" s="343" t="b">
        <f t="shared" si="4"/>
        <v>1</v>
      </c>
      <c r="U25" s="343" t="b">
        <f t="shared" si="4"/>
        <v>1</v>
      </c>
      <c r="V25" s="343" t="b">
        <f t="shared" si="4"/>
        <v>1</v>
      </c>
      <c r="W25" s="343" t="b">
        <f t="shared" si="4"/>
        <v>1</v>
      </c>
    </row>
    <row r="26" spans="1:23">
      <c r="A26" s="245" t="s">
        <v>290</v>
      </c>
      <c r="B26" s="301">
        <f t="shared" ref="B26:J26" si="5">(C13-B13-B22)</f>
        <v>2.1298099999999991</v>
      </c>
      <c r="C26" s="54">
        <f t="shared" si="5"/>
        <v>0.30711999999999762</v>
      </c>
      <c r="D26" s="54">
        <f t="shared" si="5"/>
        <v>10.21406</v>
      </c>
      <c r="E26" s="54">
        <f t="shared" si="5"/>
        <v>258.06328000000002</v>
      </c>
      <c r="F26" s="54">
        <f t="shared" si="5"/>
        <v>-245.06</v>
      </c>
      <c r="G26" s="54">
        <f t="shared" si="5"/>
        <v>48.149999999999991</v>
      </c>
      <c r="H26" s="54">
        <f t="shared" si="5"/>
        <v>46.77</v>
      </c>
      <c r="I26" s="54">
        <f t="shared" si="5"/>
        <v>120.54</v>
      </c>
      <c r="J26" s="54">
        <f t="shared" si="5"/>
        <v>307.27</v>
      </c>
      <c r="K26" s="95">
        <f>(M13-K13-K22)</f>
        <v>438.54</v>
      </c>
      <c r="L26" s="55">
        <f>(N13-M13-L22)</f>
        <v>212.52000000000004</v>
      </c>
      <c r="Q26" s="343" t="b">
        <f>Q11=H11</f>
        <v>1</v>
      </c>
      <c r="R26" s="343" t="b">
        <f t="shared" ref="R26:W28" si="6">R11=I11</f>
        <v>1</v>
      </c>
      <c r="S26" s="343" t="b">
        <f t="shared" si="6"/>
        <v>1</v>
      </c>
      <c r="T26" s="343" t="b">
        <f t="shared" si="6"/>
        <v>1</v>
      </c>
      <c r="U26" s="343" t="b">
        <f t="shared" si="6"/>
        <v>1</v>
      </c>
      <c r="V26" s="343" t="b">
        <f t="shared" si="6"/>
        <v>1</v>
      </c>
      <c r="W26" s="343" t="b">
        <f t="shared" si="6"/>
        <v>1</v>
      </c>
    </row>
    <row r="27" spans="1:23">
      <c r="A27" s="245" t="s">
        <v>287</v>
      </c>
      <c r="B27" s="20">
        <f t="shared" ref="B27:J27" si="7">(C13-B13-B22)/B14</f>
        <v>1.1690565588564773E-3</v>
      </c>
      <c r="C27" s="21">
        <f t="shared" si="7"/>
        <v>1.384585989178164E-4</v>
      </c>
      <c r="D27" s="21">
        <f t="shared" si="7"/>
        <v>3.5997782572175251E-3</v>
      </c>
      <c r="E27" s="21">
        <f t="shared" si="7"/>
        <v>7.1780467556935845E-2</v>
      </c>
      <c r="F27" s="21">
        <f t="shared" si="7"/>
        <v>-1.581999829573184E-2</v>
      </c>
      <c r="G27" s="21">
        <f t="shared" si="7"/>
        <v>7.7580979368652488E-3</v>
      </c>
      <c r="H27" s="21">
        <f t="shared" si="7"/>
        <v>6.4888033637690266E-3</v>
      </c>
      <c r="I27" s="21">
        <f t="shared" si="7"/>
        <v>1.4226550799078003E-2</v>
      </c>
      <c r="J27" s="21">
        <f t="shared" si="7"/>
        <v>2.9985342537673189E-2</v>
      </c>
      <c r="K27" s="20">
        <f>(M13-K13-K22)/K14</f>
        <v>3.6060052395369607E-2</v>
      </c>
      <c r="L27" s="115">
        <f>(N13-M13-L22)/M14*2</f>
        <v>2.8800630979380015E-2</v>
      </c>
      <c r="Q27" s="343" t="b">
        <f t="shared" ref="Q27:Q28" si="8">Q12=H12</f>
        <v>1</v>
      </c>
      <c r="R27" s="343" t="b">
        <f t="shared" si="6"/>
        <v>1</v>
      </c>
      <c r="S27" s="343" t="b">
        <f t="shared" si="6"/>
        <v>1</v>
      </c>
      <c r="T27" s="343" t="b">
        <f t="shared" si="6"/>
        <v>1</v>
      </c>
      <c r="U27" s="343" t="b">
        <f t="shared" si="6"/>
        <v>1</v>
      </c>
      <c r="V27" s="343" t="b">
        <f t="shared" si="6"/>
        <v>1</v>
      </c>
      <c r="W27" s="343" t="b">
        <f t="shared" si="6"/>
        <v>1</v>
      </c>
    </row>
    <row r="28" spans="1:23">
      <c r="Q28" s="343" t="b">
        <f t="shared" si="8"/>
        <v>1</v>
      </c>
      <c r="R28" s="343" t="b">
        <f t="shared" si="6"/>
        <v>1</v>
      </c>
      <c r="S28" s="343" t="b">
        <f t="shared" si="6"/>
        <v>1</v>
      </c>
      <c r="T28" s="343" t="b">
        <f t="shared" si="6"/>
        <v>1</v>
      </c>
      <c r="U28" s="343" t="b">
        <f t="shared" si="6"/>
        <v>1</v>
      </c>
      <c r="V28" s="343" t="b">
        <f t="shared" si="6"/>
        <v>1</v>
      </c>
      <c r="W28" s="343" t="b">
        <f t="shared" si="6"/>
        <v>1</v>
      </c>
    </row>
    <row r="30" spans="1:23">
      <c r="D30" s="23"/>
      <c r="G30" s="333"/>
      <c r="H30" s="333"/>
      <c r="I30" s="333"/>
      <c r="J30" s="333"/>
      <c r="K30" s="333"/>
      <c r="L30" s="333"/>
    </row>
    <row r="31" spans="1:23">
      <c r="D31" s="23"/>
    </row>
    <row r="32" spans="1:23">
      <c r="D32" s="23"/>
    </row>
    <row r="33" spans="1:4">
      <c r="A33" s="300" t="s">
        <v>293</v>
      </c>
      <c r="D33" s="23"/>
    </row>
    <row r="37" spans="1:4">
      <c r="D37" s="23"/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32"/>
  <sheetViews>
    <sheetView showGridLines="0" topLeftCell="A7" workbookViewId="0">
      <pane xSplit="1" topLeftCell="B1" activePane="topRight" state="frozenSplit"/>
      <selection pane="topRight" activeCell="I30" sqref="I30"/>
    </sheetView>
  </sheetViews>
  <sheetFormatPr defaultColWidth="9" defaultRowHeight="12"/>
  <cols>
    <col min="1" max="1" width="17.25" style="1" customWidth="1"/>
    <col min="2" max="2" width="14.37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11" width="9.625" style="1" bestFit="1" customWidth="1"/>
    <col min="12" max="12" width="9" style="1"/>
    <col min="13" max="13" width="9.625" style="1" bestFit="1" customWidth="1"/>
    <col min="14" max="16384" width="9" style="1"/>
  </cols>
  <sheetData>
    <row r="1" spans="1:23">
      <c r="A1" s="1" t="str">
        <f>[1]!to_tradecode(A2)</f>
        <v>601169</v>
      </c>
      <c r="B1" s="1" t="s">
        <v>302</v>
      </c>
    </row>
    <row r="2" spans="1:23">
      <c r="A2" s="2" t="s">
        <v>303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3">
      <c r="A3" s="36" t="s">
        <v>98</v>
      </c>
      <c r="B3" s="307"/>
      <c r="C3" s="307">
        <v>40.5</v>
      </c>
      <c r="D3" s="307">
        <v>38.840000000000003</v>
      </c>
      <c r="E3" s="307">
        <v>53.83</v>
      </c>
      <c r="F3" s="307">
        <v>60.31</v>
      </c>
      <c r="G3" s="308">
        <v>71.27</v>
      </c>
      <c r="H3" s="307">
        <v>95.23</v>
      </c>
      <c r="I3" s="307">
        <v>132.38999999999999</v>
      </c>
      <c r="J3" s="307">
        <v>159.9</v>
      </c>
      <c r="K3" s="307">
        <v>204.18</v>
      </c>
      <c r="L3" s="307">
        <v>269.88</v>
      </c>
      <c r="M3" s="307">
        <v>269.88</v>
      </c>
      <c r="N3" s="307">
        <v>312.87</v>
      </c>
      <c r="O3" s="125"/>
    </row>
    <row r="4" spans="1:23">
      <c r="A4" s="36" t="s">
        <v>304</v>
      </c>
      <c r="B4" s="307"/>
      <c r="C4" s="307">
        <v>6.5</v>
      </c>
      <c r="D4" s="307">
        <v>17.25</v>
      </c>
      <c r="E4" s="307">
        <v>6.95</v>
      </c>
      <c r="F4" s="307">
        <v>12.03</v>
      </c>
      <c r="G4" s="308">
        <v>24.23</v>
      </c>
      <c r="H4" s="307">
        <v>39.380000000000003</v>
      </c>
      <c r="I4" s="307">
        <v>31.67</v>
      </c>
      <c r="J4" s="307">
        <v>46.02</v>
      </c>
      <c r="K4" s="307">
        <v>72.78</v>
      </c>
      <c r="L4" s="307">
        <v>45.18</v>
      </c>
      <c r="M4" s="307">
        <v>75.91</v>
      </c>
      <c r="N4" s="307">
        <v>32.83</v>
      </c>
    </row>
    <row r="5" spans="1:23">
      <c r="A5" s="36" t="s">
        <v>294</v>
      </c>
      <c r="B5" s="307"/>
      <c r="C5" s="307">
        <v>-4.87</v>
      </c>
      <c r="D5" s="307">
        <v>-3.09</v>
      </c>
      <c r="E5" s="307">
        <v>-0.46</v>
      </c>
      <c r="F5" s="307">
        <v>-0.99</v>
      </c>
      <c r="G5" s="308">
        <v>0</v>
      </c>
      <c r="H5" s="307">
        <v>-1.91</v>
      </c>
      <c r="I5" s="307">
        <v>-3.95</v>
      </c>
      <c r="J5" s="307">
        <v>-0.98</v>
      </c>
      <c r="K5" s="307">
        <v>-6.16</v>
      </c>
      <c r="L5" s="307">
        <v>0.04</v>
      </c>
      <c r="M5" s="307">
        <v>-31.45</v>
      </c>
      <c r="N5" s="307">
        <v>-39.630000000000003</v>
      </c>
    </row>
    <row r="6" spans="1:23">
      <c r="A6" s="36" t="s">
        <v>305</v>
      </c>
      <c r="B6" s="307"/>
      <c r="C6" s="307">
        <v>0.03</v>
      </c>
      <c r="D6" s="307">
        <v>1.08</v>
      </c>
      <c r="E6" s="307">
        <v>0.09</v>
      </c>
      <c r="F6" s="307">
        <v>0.14000000000000001</v>
      </c>
      <c r="G6" s="308">
        <v>0.01</v>
      </c>
      <c r="H6" s="307">
        <v>0.02</v>
      </c>
      <c r="I6" s="307">
        <v>0.25</v>
      </c>
      <c r="J6" s="307">
        <v>0.04</v>
      </c>
      <c r="K6" s="307">
        <v>0.04</v>
      </c>
      <c r="L6" s="307">
        <v>-17.38</v>
      </c>
      <c r="M6" s="307">
        <v>0.19</v>
      </c>
      <c r="N6" s="307">
        <v>0.72</v>
      </c>
    </row>
    <row r="7" spans="1:23">
      <c r="A7" s="36" t="s">
        <v>306</v>
      </c>
      <c r="B7" s="307"/>
      <c r="C7" s="307">
        <v>-0.47</v>
      </c>
      <c r="D7" s="307">
        <v>-0.18</v>
      </c>
      <c r="E7" s="307">
        <v>-0.11</v>
      </c>
      <c r="F7" s="307">
        <v>-0.13</v>
      </c>
      <c r="G7" s="308">
        <v>-0.17</v>
      </c>
      <c r="H7" s="307">
        <v>-0.3</v>
      </c>
      <c r="I7" s="307">
        <v>-0.36</v>
      </c>
      <c r="J7" s="307">
        <v>-0.6</v>
      </c>
      <c r="K7" s="307">
        <v>-1.1599999999999999</v>
      </c>
      <c r="L7" s="307">
        <v>-0.59</v>
      </c>
      <c r="M7" s="307">
        <v>-2</v>
      </c>
      <c r="N7" s="307">
        <v>-2.0299999999999998</v>
      </c>
    </row>
    <row r="8" spans="1:23">
      <c r="A8" s="36" t="s">
        <v>307</v>
      </c>
      <c r="B8" s="307"/>
      <c r="C8" s="307">
        <v>-2.85</v>
      </c>
      <c r="D8" s="307">
        <v>-7.0000000000000007E-2</v>
      </c>
      <c r="E8" s="307"/>
      <c r="F8" s="307">
        <v>-7.0000000000000007E-2</v>
      </c>
      <c r="G8" s="308">
        <v>-0.11</v>
      </c>
      <c r="H8" s="307">
        <v>-0.03</v>
      </c>
      <c r="I8" s="307">
        <v>-0.11</v>
      </c>
      <c r="J8" s="307">
        <v>-0.2</v>
      </c>
      <c r="K8" s="307">
        <v>0.2</v>
      </c>
      <c r="L8" s="307">
        <v>0.11</v>
      </c>
      <c r="M8" s="307">
        <v>0.34</v>
      </c>
      <c r="N8" s="307">
        <v>0.01</v>
      </c>
    </row>
    <row r="9" spans="1:23">
      <c r="A9" s="36" t="s">
        <v>105</v>
      </c>
      <c r="B9" s="307"/>
      <c r="C9" s="307">
        <v>38.840000000000003</v>
      </c>
      <c r="D9" s="307">
        <v>53.83</v>
      </c>
      <c r="E9" s="307">
        <v>60.3</v>
      </c>
      <c r="F9" s="307">
        <v>71.290000000000006</v>
      </c>
      <c r="G9" s="308">
        <v>95.23</v>
      </c>
      <c r="H9" s="307">
        <v>132.38999999999999</v>
      </c>
      <c r="I9" s="307">
        <v>159.9</v>
      </c>
      <c r="J9" s="307">
        <v>204.18</v>
      </c>
      <c r="K9" s="307">
        <v>269.88</v>
      </c>
      <c r="L9" s="307">
        <v>297.24</v>
      </c>
      <c r="M9" s="307">
        <v>312.87</v>
      </c>
      <c r="N9" s="307">
        <v>304.77</v>
      </c>
    </row>
    <row r="10" spans="1:23">
      <c r="A10" s="2" t="s">
        <v>295</v>
      </c>
      <c r="B10" s="308">
        <v>17.93</v>
      </c>
      <c r="C10" s="308">
        <v>32.4</v>
      </c>
      <c r="D10" s="308">
        <v>94.3</v>
      </c>
      <c r="E10" s="308">
        <v>27.96</v>
      </c>
      <c r="F10" s="307">
        <v>117.68</v>
      </c>
      <c r="G10" s="308">
        <v>21.497304294999999</v>
      </c>
      <c r="H10" s="308">
        <v>29.306493805999999</v>
      </c>
      <c r="I10" s="308">
        <v>37.880000000000003</v>
      </c>
      <c r="J10" s="308">
        <v>57.83</v>
      </c>
      <c r="K10" s="308">
        <v>86.55</v>
      </c>
      <c r="L10" s="308">
        <v>95.3</v>
      </c>
      <c r="M10" s="308">
        <v>114.26</v>
      </c>
      <c r="N10" s="307">
        <v>118.68</v>
      </c>
    </row>
    <row r="11" spans="1:23">
      <c r="A11" s="2" t="s">
        <v>296</v>
      </c>
      <c r="B11" s="308">
        <v>1295.7731699999999</v>
      </c>
      <c r="C11" s="308">
        <v>1572.0810100000001</v>
      </c>
      <c r="D11" s="308">
        <v>1930.7370000000001</v>
      </c>
      <c r="E11" s="308">
        <v>2734.80942</v>
      </c>
      <c r="F11" s="307">
        <v>3347.31772</v>
      </c>
      <c r="G11" s="308">
        <v>4056.0951500000001</v>
      </c>
      <c r="H11" s="308">
        <v>4967.2023399999998</v>
      </c>
      <c r="I11" s="308">
        <v>5848.6183300000002</v>
      </c>
      <c r="J11" s="308">
        <v>6752.88</v>
      </c>
      <c r="K11" s="308">
        <v>7753.9</v>
      </c>
      <c r="L11" s="308">
        <v>8660.7099999999991</v>
      </c>
      <c r="M11" s="308">
        <v>8999.07</v>
      </c>
      <c r="N11" s="307">
        <v>10295.5</v>
      </c>
    </row>
    <row r="12" spans="1:23"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</row>
    <row r="14" spans="1:23"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</row>
    <row r="15" spans="1:23">
      <c r="H15" s="303"/>
      <c r="Q15" s="11"/>
      <c r="R15" s="11"/>
      <c r="S15" s="11"/>
      <c r="T15" s="11"/>
      <c r="U15" s="11"/>
      <c r="V15" s="11"/>
      <c r="W15" s="11"/>
    </row>
    <row r="16" spans="1:23">
      <c r="Q16" s="11"/>
      <c r="R16" s="11"/>
      <c r="S16" s="11"/>
      <c r="T16" s="11"/>
      <c r="U16" s="11"/>
      <c r="V16" s="11"/>
      <c r="W16" s="11"/>
    </row>
    <row r="17" spans="1:23">
      <c r="Q17" s="11"/>
      <c r="R17" s="11"/>
      <c r="S17" s="11"/>
      <c r="T17" s="11"/>
      <c r="U17" s="11"/>
      <c r="V17" s="11"/>
      <c r="W17" s="11"/>
    </row>
    <row r="18" spans="1:23">
      <c r="Q18" s="11"/>
      <c r="R18" s="11"/>
      <c r="S18" s="11"/>
      <c r="T18" s="11"/>
      <c r="U18" s="11"/>
      <c r="V18" s="11"/>
      <c r="W18" s="11"/>
    </row>
    <row r="19" spans="1:23">
      <c r="Q19" s="11"/>
      <c r="R19" s="11"/>
      <c r="S19" s="11"/>
      <c r="T19" s="11"/>
      <c r="U19" s="11"/>
      <c r="V19" s="11"/>
      <c r="W19" s="11"/>
    </row>
    <row r="20" spans="1:23">
      <c r="A20" s="6" t="s">
        <v>284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96" t="s">
        <v>90</v>
      </c>
      <c r="Q20" s="11"/>
      <c r="R20" s="11"/>
      <c r="S20" s="11"/>
      <c r="T20" s="11"/>
      <c r="U20" s="11"/>
      <c r="V20" s="11"/>
      <c r="W20" s="11"/>
    </row>
    <row r="21" spans="1:23">
      <c r="A21" s="9" t="s">
        <v>297</v>
      </c>
      <c r="B21" s="10">
        <f t="shared" ref="B21:B23" si="0">C4</f>
        <v>6.5</v>
      </c>
      <c r="C21" s="10">
        <f t="shared" ref="C21:C23" si="1">D4</f>
        <v>17.25</v>
      </c>
      <c r="D21" s="10">
        <f t="shared" ref="D21:D23" si="2">E4</f>
        <v>6.95</v>
      </c>
      <c r="E21" s="10">
        <f t="shared" ref="E21:E23" si="3">F4</f>
        <v>12.03</v>
      </c>
      <c r="F21" s="10">
        <f t="shared" ref="F21:F23" si="4">G4</f>
        <v>24.23</v>
      </c>
      <c r="G21" s="10">
        <f t="shared" ref="G21:J23" si="5">H4</f>
        <v>39.380000000000003</v>
      </c>
      <c r="H21" s="10">
        <f t="shared" si="5"/>
        <v>31.67</v>
      </c>
      <c r="I21" s="10">
        <f t="shared" si="5"/>
        <v>46.02</v>
      </c>
      <c r="J21" s="10">
        <f t="shared" si="5"/>
        <v>72.78</v>
      </c>
      <c r="K21" s="10">
        <f t="shared" ref="K21:L23" si="6">M4</f>
        <v>75.91</v>
      </c>
      <c r="L21" s="322">
        <f t="shared" si="6"/>
        <v>32.83</v>
      </c>
      <c r="Q21" s="11"/>
      <c r="R21" s="11"/>
      <c r="S21" s="11"/>
      <c r="T21" s="11"/>
      <c r="U21" s="11"/>
      <c r="V21" s="11"/>
      <c r="W21" s="11"/>
    </row>
    <row r="22" spans="1:23">
      <c r="A22" s="12" t="s">
        <v>8</v>
      </c>
      <c r="B22" s="13">
        <f t="shared" si="0"/>
        <v>-4.87</v>
      </c>
      <c r="C22" s="13">
        <f t="shared" si="1"/>
        <v>-3.09</v>
      </c>
      <c r="D22" s="13">
        <f t="shared" si="2"/>
        <v>-0.46</v>
      </c>
      <c r="E22" s="13">
        <f t="shared" si="3"/>
        <v>-0.99</v>
      </c>
      <c r="F22" s="13">
        <f t="shared" si="4"/>
        <v>0</v>
      </c>
      <c r="G22" s="13">
        <f>H5</f>
        <v>-1.91</v>
      </c>
      <c r="H22" s="13">
        <f t="shared" si="5"/>
        <v>-3.95</v>
      </c>
      <c r="I22" s="13">
        <f t="shared" si="5"/>
        <v>-0.98</v>
      </c>
      <c r="J22" s="13">
        <f t="shared" si="5"/>
        <v>-6.16</v>
      </c>
      <c r="K22" s="13">
        <f t="shared" si="6"/>
        <v>-31.45</v>
      </c>
      <c r="L22" s="161">
        <f>N5</f>
        <v>-39.630000000000003</v>
      </c>
      <c r="Q22" s="11"/>
      <c r="R22" s="11"/>
      <c r="S22" s="11"/>
      <c r="T22" s="11"/>
      <c r="U22" s="11"/>
      <c r="V22" s="11"/>
      <c r="W22" s="11"/>
    </row>
    <row r="23" spans="1:23">
      <c r="A23" s="14" t="s">
        <v>298</v>
      </c>
      <c r="B23" s="15">
        <f t="shared" si="0"/>
        <v>0.03</v>
      </c>
      <c r="C23" s="15">
        <f t="shared" si="1"/>
        <v>1.08</v>
      </c>
      <c r="D23" s="15">
        <f t="shared" si="2"/>
        <v>0.09</v>
      </c>
      <c r="E23" s="15">
        <f t="shared" si="3"/>
        <v>0.14000000000000001</v>
      </c>
      <c r="F23" s="15">
        <f t="shared" si="4"/>
        <v>0.01</v>
      </c>
      <c r="G23" s="15">
        <f t="shared" si="5"/>
        <v>0.02</v>
      </c>
      <c r="H23" s="15">
        <f t="shared" si="5"/>
        <v>0.25</v>
      </c>
      <c r="I23" s="15">
        <f t="shared" si="5"/>
        <v>0.04</v>
      </c>
      <c r="J23" s="15">
        <f t="shared" si="5"/>
        <v>0.04</v>
      </c>
      <c r="K23" s="15">
        <f t="shared" si="6"/>
        <v>0.19</v>
      </c>
      <c r="L23" s="162">
        <f t="shared" si="6"/>
        <v>0.72</v>
      </c>
      <c r="Q23" s="11"/>
      <c r="R23" s="11"/>
      <c r="S23" s="11"/>
      <c r="T23" s="11"/>
      <c r="U23" s="11"/>
      <c r="V23" s="11"/>
      <c r="W23" s="11"/>
    </row>
    <row r="24" spans="1:23">
      <c r="L24" s="136"/>
    </row>
    <row r="25" spans="1:23">
      <c r="B25" s="4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53">
        <v>2016</v>
      </c>
      <c r="L25" s="96" t="s">
        <v>6</v>
      </c>
    </row>
    <row r="26" spans="1:23">
      <c r="A26" s="245" t="s">
        <v>299</v>
      </c>
      <c r="B26" s="301">
        <f t="shared" ref="B26:F26" si="7">(C10-B10-B22)</f>
        <v>19.34</v>
      </c>
      <c r="C26" s="54">
        <f t="shared" si="7"/>
        <v>64.989999999999995</v>
      </c>
      <c r="D26" s="54">
        <f t="shared" si="7"/>
        <v>-65.88000000000001</v>
      </c>
      <c r="E26" s="54">
        <f t="shared" si="7"/>
        <v>90.71</v>
      </c>
      <c r="F26" s="54">
        <f t="shared" si="7"/>
        <v>-96.182695705000015</v>
      </c>
      <c r="G26" s="54">
        <f>(H10-G10-G22)</f>
        <v>9.7191895109999997</v>
      </c>
      <c r="H26" s="54">
        <f>(I10-H10-H22)</f>
        <v>12.523506194000003</v>
      </c>
      <c r="I26" s="54">
        <f>(J10-I10-I22)</f>
        <v>20.929999999999996</v>
      </c>
      <c r="J26" s="54">
        <f>(K10-J10-J22)</f>
        <v>34.879999999999995</v>
      </c>
      <c r="K26" s="55">
        <f>(M10-K10-K22)</f>
        <v>59.160000000000011</v>
      </c>
      <c r="L26" s="323">
        <f>(N10-M10-L22)</f>
        <v>44.050000000000004</v>
      </c>
    </row>
    <row r="27" spans="1:23">
      <c r="A27" s="245" t="s">
        <v>300</v>
      </c>
      <c r="B27" s="304">
        <f t="shared" ref="B27:F27" si="8">(C10-B10-B22)/B11</f>
        <v>1.4925451805735413E-2</v>
      </c>
      <c r="C27" s="305">
        <f>(D10-C10-C22)/C11</f>
        <v>4.1340108802662777E-2</v>
      </c>
      <c r="D27" s="305">
        <f>(E10-D10-D22)/D11</f>
        <v>-3.412168513888738E-2</v>
      </c>
      <c r="E27" s="305">
        <f t="shared" si="8"/>
        <v>3.3168673230619485E-2</v>
      </c>
      <c r="F27" s="305">
        <f t="shared" si="8"/>
        <v>-2.8734259413235506E-2</v>
      </c>
      <c r="G27" s="305">
        <f>(H10-G10-G22)/G11</f>
        <v>2.3961936669557662E-3</v>
      </c>
      <c r="H27" s="305">
        <f>(I10-H10-H22)/H11</f>
        <v>2.5212393892534691E-3</v>
      </c>
      <c r="I27" s="305">
        <f>(J10-I10-I22)/I11</f>
        <v>3.5786229873543476E-3</v>
      </c>
      <c r="J27" s="305">
        <f>(K10-J10-J22)/J11</f>
        <v>5.1652035872101973E-3</v>
      </c>
      <c r="K27" s="306">
        <f>(M10-K10-K22)/K11</f>
        <v>7.6297089206721798E-3</v>
      </c>
      <c r="L27" s="165">
        <f>(N10-M10-L22)/M11*2</f>
        <v>9.78990051194179E-3</v>
      </c>
    </row>
    <row r="29" spans="1:23">
      <c r="G29" s="283"/>
      <c r="H29" s="283"/>
      <c r="I29" s="283"/>
      <c r="J29" s="283"/>
      <c r="K29" s="283"/>
      <c r="L29" s="283"/>
    </row>
    <row r="30" spans="1:23">
      <c r="G30" s="333"/>
      <c r="H30" s="333"/>
      <c r="I30" s="333"/>
      <c r="J30" s="333"/>
      <c r="K30" s="333"/>
      <c r="L30" s="333"/>
    </row>
    <row r="32" spans="1:23">
      <c r="A32" s="300" t="s">
        <v>301</v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Q30"/>
  <sheetViews>
    <sheetView showGridLines="0" workbookViewId="0">
      <pane xSplit="1" topLeftCell="B1" activePane="topRight" state="frozenSplit"/>
      <selection pane="topRight" activeCell="G16" sqref="G16:L18"/>
    </sheetView>
  </sheetViews>
  <sheetFormatPr defaultColWidth="9" defaultRowHeight="14.25"/>
  <cols>
    <col min="1" max="1" width="17.25" style="59" customWidth="1"/>
    <col min="2" max="2" width="14.125" style="116" customWidth="1"/>
    <col min="3" max="3" width="10.875" style="116" customWidth="1"/>
    <col min="4" max="4" width="11.25" style="116" customWidth="1"/>
    <col min="5" max="5" width="10.75" style="116" customWidth="1"/>
    <col min="6" max="6" width="10.875" style="116" customWidth="1"/>
    <col min="7" max="7" width="9.625" style="61" bestFit="1" customWidth="1"/>
    <col min="8" max="8" width="9.625" style="61" customWidth="1"/>
    <col min="9" max="14" width="9" style="61"/>
    <col min="15" max="15" width="9.5" style="61" bestFit="1" customWidth="1"/>
    <col min="16" max="16384" width="9" style="61"/>
  </cols>
  <sheetData>
    <row r="1" spans="1:17">
      <c r="A1" s="59" t="str">
        <f>[1]!to_tradecode(A2)</f>
        <v>601009</v>
      </c>
      <c r="B1" s="166" t="s">
        <v>149</v>
      </c>
    </row>
    <row r="2" spans="1:17">
      <c r="A2" s="62" t="s">
        <v>77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7">
      <c r="A3" s="167" t="s">
        <v>109</v>
      </c>
      <c r="B3" s="117"/>
      <c r="C3" s="118">
        <v>6.7520899999999999</v>
      </c>
      <c r="D3" s="118">
        <v>8.0560200000000002</v>
      </c>
      <c r="E3" s="118">
        <v>11.22142</v>
      </c>
      <c r="F3" s="118">
        <v>14.20275</v>
      </c>
      <c r="G3" s="118">
        <v>19.021920000000001</v>
      </c>
      <c r="H3" s="118">
        <v>26.01</v>
      </c>
      <c r="I3" s="118">
        <v>33.06</v>
      </c>
      <c r="J3" s="118">
        <v>39.04</v>
      </c>
      <c r="K3" s="118">
        <v>53.39</v>
      </c>
      <c r="L3" s="118">
        <v>89.71</v>
      </c>
      <c r="M3" s="118">
        <v>89.71</v>
      </c>
      <c r="N3" s="118">
        <v>132.4204</v>
      </c>
      <c r="O3" s="334"/>
    </row>
    <row r="4" spans="1:17">
      <c r="A4" s="338" t="s">
        <v>322</v>
      </c>
      <c r="B4" s="117"/>
      <c r="C4" s="118">
        <v>1.88083</v>
      </c>
      <c r="D4" s="118">
        <v>4.0041500000000001</v>
      </c>
      <c r="E4" s="118">
        <v>3.4548899999999998</v>
      </c>
      <c r="F4" s="118">
        <v>5.0286600000000004</v>
      </c>
      <c r="G4" s="118">
        <v>7.0599600000000002</v>
      </c>
      <c r="H4" s="118">
        <v>8.16</v>
      </c>
      <c r="I4" s="118">
        <v>8.42</v>
      </c>
      <c r="J4" s="118">
        <v>25.61</v>
      </c>
      <c r="K4" s="118">
        <v>62.75</v>
      </c>
      <c r="L4" s="118">
        <v>47.36</v>
      </c>
      <c r="M4" s="118">
        <v>71.2</v>
      </c>
      <c r="N4" s="118">
        <v>18.765789999999999</v>
      </c>
      <c r="O4" s="335"/>
    </row>
    <row r="5" spans="1:17">
      <c r="A5" s="167" t="s">
        <v>51</v>
      </c>
      <c r="B5" s="117"/>
      <c r="C5" s="118">
        <v>-0.65541000000000005</v>
      </c>
      <c r="D5" s="118">
        <v>-0.99378999999999995</v>
      </c>
      <c r="E5" s="118">
        <v>-0.55735999999999997</v>
      </c>
      <c r="F5" s="118">
        <v>-7.4789999999999995E-2</v>
      </c>
      <c r="G5" s="118"/>
      <c r="H5" s="118">
        <v>-1</v>
      </c>
      <c r="I5" s="118">
        <v>-2.63</v>
      </c>
      <c r="J5" s="118">
        <v>-10.8</v>
      </c>
      <c r="K5" s="118">
        <v>-27.08</v>
      </c>
      <c r="L5" s="118">
        <v>-19.88</v>
      </c>
      <c r="M5" s="118">
        <v>-32.590000000000003</v>
      </c>
      <c r="N5" s="118">
        <v>-10.51154</v>
      </c>
      <c r="O5" s="335"/>
    </row>
    <row r="6" spans="1:17">
      <c r="A6" s="167" t="s">
        <v>110</v>
      </c>
      <c r="B6" s="117"/>
      <c r="C6" s="118">
        <v>7.9089999999999994E-2</v>
      </c>
      <c r="D6" s="118">
        <v>0.15561</v>
      </c>
      <c r="E6" s="118">
        <v>9.1270000000000004E-2</v>
      </c>
      <c r="F6" s="118">
        <v>3.857E-2</v>
      </c>
      <c r="G6" s="118">
        <v>2.0539999999999999E-2</v>
      </c>
      <c r="H6" s="118">
        <v>0.04</v>
      </c>
      <c r="I6" s="118">
        <v>0.77</v>
      </c>
      <c r="J6" s="118">
        <v>0.13</v>
      </c>
      <c r="K6" s="118">
        <v>1.29</v>
      </c>
      <c r="L6" s="118">
        <v>2.38</v>
      </c>
      <c r="M6" s="118">
        <v>3.77</v>
      </c>
      <c r="N6" s="118">
        <v>3.1645699999999999</v>
      </c>
      <c r="O6" s="335"/>
    </row>
    <row r="7" spans="1:17">
      <c r="A7" s="167" t="s">
        <v>111</v>
      </c>
      <c r="B7" s="117"/>
      <c r="C7" s="118"/>
      <c r="D7" s="118"/>
      <c r="E7" s="118">
        <v>-7.4700000000000001E-3</v>
      </c>
      <c r="F7" s="118">
        <v>-0.17327000000000001</v>
      </c>
      <c r="G7" s="118">
        <v>-9.1069999999999998E-2</v>
      </c>
      <c r="H7" s="118">
        <v>-0.15</v>
      </c>
      <c r="I7" s="118">
        <v>-0.59</v>
      </c>
      <c r="J7" s="118">
        <v>-0.57999999999999996</v>
      </c>
      <c r="K7" s="118">
        <v>-0.63</v>
      </c>
      <c r="L7" s="118">
        <v>-0.33</v>
      </c>
      <c r="M7" s="118">
        <v>-0.43</v>
      </c>
      <c r="N7" s="118">
        <v>-0.30047000000000001</v>
      </c>
      <c r="O7" s="335"/>
      <c r="P7" s="119"/>
    </row>
    <row r="8" spans="1:17">
      <c r="A8" s="167" t="s">
        <v>112</v>
      </c>
      <c r="B8" s="117"/>
      <c r="C8" s="118">
        <v>-5.8E-4</v>
      </c>
      <c r="D8" s="118">
        <v>-5.6999999999999998E-4</v>
      </c>
      <c r="E8" s="118"/>
      <c r="F8" s="118"/>
      <c r="G8" s="118"/>
      <c r="H8" s="118"/>
      <c r="I8" s="118"/>
      <c r="J8" s="118"/>
      <c r="K8" s="118"/>
      <c r="L8" s="118">
        <v>0.35</v>
      </c>
      <c r="M8" s="118">
        <v>0.75</v>
      </c>
      <c r="N8" s="118">
        <v>-8.1449999999999995E-2</v>
      </c>
      <c r="O8" s="335"/>
    </row>
    <row r="9" spans="1:17">
      <c r="A9" s="167" t="s">
        <v>113</v>
      </c>
      <c r="B9" s="117"/>
      <c r="C9" s="118">
        <v>8.0560200000000002</v>
      </c>
      <c r="D9" s="118">
        <v>11.22142</v>
      </c>
      <c r="E9" s="118">
        <v>14.20275</v>
      </c>
      <c r="F9" s="118">
        <v>19.021920000000001</v>
      </c>
      <c r="G9" s="118">
        <v>26.01135</v>
      </c>
      <c r="H9" s="118">
        <v>33.06</v>
      </c>
      <c r="I9" s="118">
        <v>39.04</v>
      </c>
      <c r="J9" s="118">
        <v>53.39</v>
      </c>
      <c r="K9" s="118">
        <v>89.71</v>
      </c>
      <c r="L9" s="118">
        <v>119.59</v>
      </c>
      <c r="M9" s="118">
        <v>132.41999999999999</v>
      </c>
      <c r="N9" s="118">
        <v>143.4573</v>
      </c>
      <c r="O9" s="335"/>
    </row>
    <row r="10" spans="1:17">
      <c r="A10" s="62" t="s">
        <v>114</v>
      </c>
      <c r="B10" s="118">
        <v>6.2959399999999999</v>
      </c>
      <c r="C10" s="118">
        <v>5.48</v>
      </c>
      <c r="D10" s="118">
        <v>6.5988699999999998</v>
      </c>
      <c r="E10" s="118">
        <v>8.1533999999999995</v>
      </c>
      <c r="F10" s="118">
        <v>31.87</v>
      </c>
      <c r="G10" s="118">
        <v>8.0299999999999994</v>
      </c>
      <c r="H10" s="118">
        <v>10.44</v>
      </c>
      <c r="I10" s="118">
        <v>13.076829999999999</v>
      </c>
      <c r="J10" s="118">
        <v>16.391210000000001</v>
      </c>
      <c r="K10" s="118">
        <v>20.81681</v>
      </c>
      <c r="L10" s="118">
        <v>26.070250000000001</v>
      </c>
      <c r="M10" s="118">
        <v>28.955469999999998</v>
      </c>
      <c r="N10" s="118">
        <v>31.87</v>
      </c>
      <c r="O10" s="335"/>
    </row>
    <row r="11" spans="1:17">
      <c r="A11" s="62" t="s">
        <v>115</v>
      </c>
      <c r="B11" s="118">
        <v>255.04997</v>
      </c>
      <c r="C11" s="118">
        <v>306.29237000000001</v>
      </c>
      <c r="D11" s="118">
        <v>401.79527000000002</v>
      </c>
      <c r="E11" s="118">
        <v>670.28048999999999</v>
      </c>
      <c r="F11" s="118">
        <v>3685.21729</v>
      </c>
      <c r="G11" s="118">
        <v>1028.0496900000001</v>
      </c>
      <c r="H11" s="118">
        <v>1252.6865499999999</v>
      </c>
      <c r="I11" s="118">
        <v>1469.614</v>
      </c>
      <c r="J11" s="118">
        <v>1746.8520599999999</v>
      </c>
      <c r="K11" s="118">
        <v>2511.9754899999998</v>
      </c>
      <c r="L11" s="118">
        <v>3010.6602699999999</v>
      </c>
      <c r="M11" s="118">
        <v>3317.8481499999998</v>
      </c>
      <c r="N11" s="118">
        <v>3685.21729</v>
      </c>
      <c r="O11" s="335"/>
    </row>
    <row r="12" spans="1:17">
      <c r="B12" s="255"/>
      <c r="C12" s="255"/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</row>
    <row r="13" spans="1:17">
      <c r="B13" s="61"/>
      <c r="C13" s="61"/>
      <c r="D13" s="61"/>
      <c r="E13" s="61"/>
      <c r="F13" s="61"/>
    </row>
    <row r="14" spans="1:17">
      <c r="B14" s="61"/>
      <c r="C14" s="61"/>
      <c r="D14" s="61"/>
      <c r="E14" s="61"/>
      <c r="F14" s="61"/>
      <c r="K14" s="74"/>
      <c r="L14" s="74"/>
      <c r="M14" s="74"/>
      <c r="N14" s="74"/>
      <c r="O14" s="74"/>
      <c r="P14" s="74"/>
      <c r="Q14" s="74"/>
    </row>
    <row r="15" spans="1:17">
      <c r="B15" s="61"/>
      <c r="C15" s="61"/>
      <c r="D15" s="61"/>
      <c r="E15" s="61"/>
      <c r="F15" s="61"/>
    </row>
    <row r="16" spans="1:17" ht="15">
      <c r="B16" s="61"/>
      <c r="C16" s="61"/>
      <c r="D16" s="61"/>
      <c r="E16" s="61"/>
      <c r="G16" s="336"/>
      <c r="H16" s="336"/>
      <c r="I16" s="336"/>
      <c r="J16" s="336"/>
      <c r="K16" s="336"/>
      <c r="L16" s="336"/>
    </row>
    <row r="17" spans="1:12" ht="15">
      <c r="B17" s="65"/>
      <c r="G17" s="337"/>
      <c r="H17" s="337"/>
      <c r="I17" s="336"/>
      <c r="J17" s="336"/>
      <c r="K17" s="336"/>
      <c r="L17" s="336"/>
    </row>
    <row r="18" spans="1:12" ht="15">
      <c r="B18" s="61"/>
      <c r="C18" s="61"/>
      <c r="D18" s="61"/>
      <c r="E18" s="61"/>
      <c r="G18" s="336"/>
      <c r="H18" s="336"/>
      <c r="I18" s="336"/>
      <c r="J18" s="336"/>
      <c r="K18" s="336"/>
      <c r="L18" s="336"/>
    </row>
    <row r="19" spans="1:12">
      <c r="B19" s="61"/>
      <c r="C19" s="61"/>
      <c r="D19" s="61"/>
      <c r="E19" s="61"/>
      <c r="F19" s="61"/>
    </row>
    <row r="20" spans="1:12">
      <c r="A20" s="170" t="s">
        <v>116</v>
      </c>
      <c r="B20" s="67">
        <v>2007</v>
      </c>
      <c r="C20" s="67">
        <v>2008</v>
      </c>
      <c r="D20" s="67">
        <v>2009</v>
      </c>
      <c r="E20" s="67">
        <v>2010</v>
      </c>
      <c r="F20" s="67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69" t="s">
        <v>60</v>
      </c>
    </row>
    <row r="21" spans="1:12">
      <c r="A21" s="172" t="s">
        <v>117</v>
      </c>
      <c r="B21" s="257">
        <f>C4</f>
        <v>1.88083</v>
      </c>
      <c r="C21" s="257">
        <f t="shared" ref="C21:F21" si="0">D4</f>
        <v>4.0041500000000001</v>
      </c>
      <c r="D21" s="257">
        <f t="shared" si="0"/>
        <v>3.4548899999999998</v>
      </c>
      <c r="E21" s="257">
        <f t="shared" si="0"/>
        <v>5.0286600000000004</v>
      </c>
      <c r="F21" s="257">
        <f t="shared" si="0"/>
        <v>7.0599600000000002</v>
      </c>
      <c r="G21" s="257">
        <f>H4</f>
        <v>8.16</v>
      </c>
      <c r="H21" s="71">
        <f t="shared" ref="H21:J23" si="1">I4</f>
        <v>8.42</v>
      </c>
      <c r="I21" s="71">
        <f t="shared" si="1"/>
        <v>25.61</v>
      </c>
      <c r="J21" s="71">
        <f t="shared" si="1"/>
        <v>62.75</v>
      </c>
      <c r="K21" s="71">
        <f t="shared" ref="K21:K23" si="2">M4</f>
        <v>71.2</v>
      </c>
      <c r="L21" s="73">
        <f>N4</f>
        <v>18.765789999999999</v>
      </c>
    </row>
    <row r="22" spans="1:12">
      <c r="A22" s="174" t="s">
        <v>62</v>
      </c>
      <c r="B22" s="258">
        <f>C5</f>
        <v>-0.65541000000000005</v>
      </c>
      <c r="C22" s="258">
        <f t="shared" ref="C22:F22" si="3">D5</f>
        <v>-0.99378999999999995</v>
      </c>
      <c r="D22" s="258">
        <f t="shared" si="3"/>
        <v>-0.55735999999999997</v>
      </c>
      <c r="E22" s="258">
        <f t="shared" si="3"/>
        <v>-7.4789999999999995E-2</v>
      </c>
      <c r="F22" s="258">
        <f t="shared" si="3"/>
        <v>0</v>
      </c>
      <c r="G22" s="258">
        <f>H5</f>
        <v>-1</v>
      </c>
      <c r="H22" s="76">
        <f t="shared" si="1"/>
        <v>-2.63</v>
      </c>
      <c r="I22" s="76">
        <f t="shared" si="1"/>
        <v>-10.8</v>
      </c>
      <c r="J22" s="258">
        <f>K5</f>
        <v>-27.08</v>
      </c>
      <c r="K22" s="76">
        <f t="shared" si="2"/>
        <v>-32.590000000000003</v>
      </c>
      <c r="L22" s="78">
        <f>N5</f>
        <v>-10.51154</v>
      </c>
    </row>
    <row r="23" spans="1:12">
      <c r="A23" s="176" t="s">
        <v>118</v>
      </c>
      <c r="B23" s="259">
        <f>C6</f>
        <v>7.9089999999999994E-2</v>
      </c>
      <c r="C23" s="259">
        <f t="shared" ref="C23:F23" si="4">D6</f>
        <v>0.15561</v>
      </c>
      <c r="D23" s="259">
        <f t="shared" si="4"/>
        <v>9.1270000000000004E-2</v>
      </c>
      <c r="E23" s="259">
        <f t="shared" si="4"/>
        <v>3.857E-2</v>
      </c>
      <c r="F23" s="259">
        <f t="shared" si="4"/>
        <v>2.0539999999999999E-2</v>
      </c>
      <c r="G23" s="259">
        <f>H6</f>
        <v>0.04</v>
      </c>
      <c r="H23" s="80">
        <f t="shared" si="1"/>
        <v>0.77</v>
      </c>
      <c r="I23" s="80">
        <f t="shared" si="1"/>
        <v>0.13</v>
      </c>
      <c r="J23" s="80">
        <f t="shared" si="1"/>
        <v>1.29</v>
      </c>
      <c r="K23" s="80">
        <f t="shared" si="2"/>
        <v>3.77</v>
      </c>
      <c r="L23" s="121">
        <f>N6</f>
        <v>3.1645699999999999</v>
      </c>
    </row>
    <row r="24" spans="1:12">
      <c r="G24" s="116"/>
      <c r="H24" s="116"/>
      <c r="I24" s="116"/>
      <c r="J24" s="116"/>
    </row>
    <row r="25" spans="1:12">
      <c r="A25" s="170"/>
      <c r="B25" s="67">
        <v>2007</v>
      </c>
      <c r="C25" s="67">
        <v>2008</v>
      </c>
      <c r="D25" s="67">
        <v>2009</v>
      </c>
      <c r="E25" s="67">
        <v>2010</v>
      </c>
      <c r="F25" s="67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60</v>
      </c>
    </row>
    <row r="26" spans="1:12">
      <c r="A26" s="339" t="s">
        <v>119</v>
      </c>
      <c r="B26" s="122">
        <f t="shared" ref="B26:J26" si="5">(C10-B10-B22)</f>
        <v>-0.1605299999999994</v>
      </c>
      <c r="C26" s="122">
        <f t="shared" si="5"/>
        <v>2.1126599999999991</v>
      </c>
      <c r="D26" s="122">
        <f t="shared" si="5"/>
        <v>2.1118899999999998</v>
      </c>
      <c r="E26" s="122">
        <f t="shared" si="5"/>
        <v>23.79139</v>
      </c>
      <c r="F26" s="122">
        <f t="shared" si="5"/>
        <v>-23.840000000000003</v>
      </c>
      <c r="G26" s="122">
        <f t="shared" si="5"/>
        <v>3.41</v>
      </c>
      <c r="H26" s="122">
        <f t="shared" si="5"/>
        <v>5.2668299999999997</v>
      </c>
      <c r="I26" s="122">
        <f t="shared" si="5"/>
        <v>14.114380000000002</v>
      </c>
      <c r="J26" s="122">
        <f t="shared" si="5"/>
        <v>31.505599999999998</v>
      </c>
      <c r="K26" s="122">
        <f>(M10-K10-K22)</f>
        <v>40.728660000000005</v>
      </c>
      <c r="L26" s="84">
        <f>(N10-M10-L22)</f>
        <v>13.426070000000003</v>
      </c>
    </row>
    <row r="27" spans="1:12">
      <c r="A27" s="340" t="s">
        <v>120</v>
      </c>
      <c r="B27" s="123">
        <f>(C10-B10-B22)/B11</f>
        <v>-6.2940607285701458E-4</v>
      </c>
      <c r="C27" s="123">
        <f t="shared" ref="C27:F27" si="6">(D10-C10-C22)/C11</f>
        <v>6.8975273527055181E-3</v>
      </c>
      <c r="D27" s="123">
        <f t="shared" si="6"/>
        <v>5.2561345483235775E-3</v>
      </c>
      <c r="E27" s="123">
        <f t="shared" si="6"/>
        <v>3.5494677757963687E-2</v>
      </c>
      <c r="F27" s="123">
        <f t="shared" si="6"/>
        <v>-6.4690893708468419E-3</v>
      </c>
      <c r="G27" s="123">
        <f>(H10-G10-G22)/G11</f>
        <v>3.3169602920652599E-3</v>
      </c>
      <c r="H27" s="123">
        <f>(I10-H10-H22)/H11</f>
        <v>4.2044276758619308E-3</v>
      </c>
      <c r="I27" s="123">
        <f>(J10-I10-I22)/I11</f>
        <v>9.6041409512974164E-3</v>
      </c>
      <c r="J27" s="123">
        <f>(K10-J10-J22)/J11</f>
        <v>1.8035642926739887E-2</v>
      </c>
      <c r="K27" s="123">
        <f>(M10-K10-K22)/K11</f>
        <v>1.621379673573169E-2</v>
      </c>
      <c r="L27" s="124">
        <f>L26/M11*2</f>
        <v>8.0932395896418617E-3</v>
      </c>
    </row>
    <row r="30" spans="1:12">
      <c r="A30" s="341" t="s">
        <v>323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31"/>
  <sheetViews>
    <sheetView showGridLines="0" workbookViewId="0">
      <pane xSplit="1" topLeftCell="C1" activePane="topRight" state="frozenSplit"/>
      <selection pane="topRight" activeCell="M12" sqref="M12"/>
    </sheetView>
  </sheetViews>
  <sheetFormatPr defaultColWidth="9" defaultRowHeight="12"/>
  <cols>
    <col min="1" max="1" width="17.25" style="1" customWidth="1"/>
    <col min="2" max="2" width="13.62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" style="41"/>
    <col min="8" max="16384" width="9" style="1"/>
  </cols>
  <sheetData>
    <row r="1" spans="1:14" ht="12.75">
      <c r="A1" s="1" t="str">
        <f>[1]!to_tradecode(A2)</f>
        <v>002142</v>
      </c>
      <c r="B1" s="178" t="s">
        <v>309</v>
      </c>
    </row>
    <row r="2" spans="1:14">
      <c r="A2" s="2" t="s">
        <v>310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42">
        <v>42551</v>
      </c>
      <c r="M2" s="3">
        <v>42735</v>
      </c>
      <c r="N2" s="3">
        <v>42916</v>
      </c>
    </row>
    <row r="3" spans="1:14">
      <c r="A3" s="2" t="s">
        <v>311</v>
      </c>
      <c r="B3" s="254"/>
      <c r="C3" s="254">
        <v>3.7229399999999999</v>
      </c>
      <c r="D3" s="254">
        <v>4.68276</v>
      </c>
      <c r="E3" s="254">
        <v>6.89588</v>
      </c>
      <c r="F3" s="254">
        <v>10.960190000000001</v>
      </c>
      <c r="G3" s="254">
        <v>13.799530000000001</v>
      </c>
      <c r="H3" s="104">
        <v>20.03</v>
      </c>
      <c r="I3" s="108">
        <v>30.53</v>
      </c>
      <c r="J3" s="108">
        <v>38.869999999999997</v>
      </c>
      <c r="K3" s="108">
        <v>53.12</v>
      </c>
      <c r="L3" s="41">
        <v>72.89</v>
      </c>
      <c r="M3" s="108">
        <v>72.89</v>
      </c>
      <c r="N3" s="125">
        <f>M10</f>
        <v>97.18</v>
      </c>
    </row>
    <row r="4" spans="1:14">
      <c r="A4" s="2" t="s">
        <v>321</v>
      </c>
      <c r="B4" s="254"/>
      <c r="C4" s="254">
        <v>0.98621000000000003</v>
      </c>
      <c r="D4" s="254">
        <v>2.5722999999999998</v>
      </c>
      <c r="E4" s="254">
        <v>4.2176900000000002</v>
      </c>
      <c r="F4" s="254">
        <v>3.65801</v>
      </c>
      <c r="G4" s="108">
        <v>6.3628600000000004</v>
      </c>
      <c r="H4" s="108">
        <v>10.76</v>
      </c>
      <c r="I4" s="108">
        <v>13.19</v>
      </c>
      <c r="J4" s="108">
        <v>24.2</v>
      </c>
      <c r="K4" s="108">
        <v>38.36</v>
      </c>
      <c r="L4" s="41">
        <v>27.17</v>
      </c>
      <c r="M4" s="108">
        <v>50.42</v>
      </c>
      <c r="N4" s="110">
        <v>29.375879999999999</v>
      </c>
    </row>
    <row r="5" spans="1:14">
      <c r="A5" s="2" t="s">
        <v>319</v>
      </c>
      <c r="B5" s="254"/>
      <c r="C5" s="254"/>
      <c r="D5" s="254"/>
      <c r="E5" s="254">
        <v>0.19066</v>
      </c>
      <c r="F5" s="254"/>
      <c r="G5" s="108"/>
      <c r="H5" s="108"/>
      <c r="I5" s="108"/>
      <c r="J5" s="108"/>
      <c r="K5" s="108"/>
      <c r="L5" s="41"/>
      <c r="M5" s="108"/>
      <c r="N5" s="110"/>
    </row>
    <row r="6" spans="1:14">
      <c r="A6" s="309" t="s">
        <v>312</v>
      </c>
      <c r="B6" s="254"/>
      <c r="C6" s="254">
        <v>-2.4539999999999999E-2</v>
      </c>
      <c r="D6" s="254">
        <v>-0.35515999999999998</v>
      </c>
      <c r="E6" s="254">
        <v>-0.14668999999999999</v>
      </c>
      <c r="F6" s="254">
        <v>-0.70311000000000001</v>
      </c>
      <c r="G6" s="108"/>
      <c r="H6" s="108">
        <v>-0.15</v>
      </c>
      <c r="I6" s="108">
        <v>-4.57</v>
      </c>
      <c r="J6" s="108">
        <v>-9.83</v>
      </c>
      <c r="K6" s="108">
        <v>-19.28</v>
      </c>
      <c r="L6" s="41">
        <v>-12.67</v>
      </c>
      <c r="M6" s="108">
        <v>-28.49</v>
      </c>
      <c r="N6" s="126">
        <v>-11.562530000000001</v>
      </c>
    </row>
    <row r="7" spans="1:14">
      <c r="A7" s="309" t="s">
        <v>308</v>
      </c>
      <c r="B7" s="254"/>
      <c r="C7" s="254"/>
      <c r="D7" s="254">
        <v>4.2599999999999999E-3</v>
      </c>
      <c r="E7" s="254">
        <v>9.7999999999999997E-4</v>
      </c>
      <c r="F7" s="254">
        <v>1.7350000000000001E-2</v>
      </c>
      <c r="G7" s="108">
        <v>2.4670000000000001E-2</v>
      </c>
      <c r="H7" s="108">
        <v>0.06</v>
      </c>
      <c r="I7" s="108">
        <v>0.01</v>
      </c>
      <c r="J7" s="108">
        <v>0.28999999999999998</v>
      </c>
      <c r="K7" s="108">
        <v>1.37</v>
      </c>
      <c r="L7" s="41">
        <v>1.1399999999999999</v>
      </c>
      <c r="M7" s="108">
        <v>2.88</v>
      </c>
      <c r="N7" s="126">
        <v>2.7830599999999999</v>
      </c>
    </row>
    <row r="8" spans="1:14">
      <c r="A8" s="104" t="s">
        <v>320</v>
      </c>
      <c r="B8" s="254"/>
      <c r="C8" s="254"/>
      <c r="D8" s="254"/>
      <c r="E8" s="254">
        <v>-0.19833000000000001</v>
      </c>
      <c r="F8" s="254">
        <v>-0.13208</v>
      </c>
      <c r="G8" s="108">
        <v>-0.15529000000000001</v>
      </c>
      <c r="H8" s="108">
        <v>-0.18</v>
      </c>
      <c r="I8" s="108">
        <v>-0.28000000000000003</v>
      </c>
      <c r="J8" s="108">
        <v>-0.41</v>
      </c>
      <c r="K8" s="108">
        <v>-0.68</v>
      </c>
      <c r="L8" s="41">
        <v>0</v>
      </c>
      <c r="M8" s="108">
        <v>-0.52</v>
      </c>
      <c r="N8" s="103"/>
    </row>
    <row r="9" spans="1:14">
      <c r="A9" s="104" t="s">
        <v>317</v>
      </c>
      <c r="B9" s="254"/>
      <c r="C9" s="254">
        <v>-1.8400000000000001E-3</v>
      </c>
      <c r="D9" s="254">
        <v>-1.7600000000000001E-3</v>
      </c>
      <c r="E9" s="254"/>
      <c r="F9" s="254">
        <v>-8.3000000000000001E-4</v>
      </c>
      <c r="G9" s="108"/>
      <c r="H9" s="108"/>
      <c r="I9" s="108"/>
      <c r="J9" s="108"/>
      <c r="K9" s="108"/>
      <c r="L9" s="41"/>
      <c r="M9" s="108"/>
      <c r="N9" s="103"/>
    </row>
    <row r="10" spans="1:14">
      <c r="A10" s="2" t="s">
        <v>315</v>
      </c>
      <c r="B10" s="254"/>
      <c r="C10" s="254">
        <v>4.68276</v>
      </c>
      <c r="D10" s="254">
        <v>6.89588</v>
      </c>
      <c r="E10" s="254">
        <v>10.960190000000001</v>
      </c>
      <c r="F10" s="254">
        <v>13.799530000000001</v>
      </c>
      <c r="G10" s="108">
        <v>20.031770000000002</v>
      </c>
      <c r="H10" s="108">
        <v>30.53</v>
      </c>
      <c r="I10" s="108">
        <v>38.869999999999997</v>
      </c>
      <c r="J10" s="108">
        <v>53.12</v>
      </c>
      <c r="K10" s="108">
        <v>72.89</v>
      </c>
      <c r="L10" s="1">
        <v>88.53</v>
      </c>
      <c r="M10" s="108">
        <v>97.18</v>
      </c>
      <c r="N10" s="125">
        <v>117.77641</v>
      </c>
    </row>
    <row r="11" spans="1:14">
      <c r="A11" s="2" t="s">
        <v>122</v>
      </c>
      <c r="B11" s="108"/>
      <c r="C11" s="108">
        <f t="shared" ref="C11:E11" si="0">SUM(C3:C6,C7:C9)</f>
        <v>4.6827700000000005</v>
      </c>
      <c r="D11" s="108">
        <f t="shared" si="0"/>
        <v>6.902400000000001</v>
      </c>
      <c r="E11" s="108">
        <f t="shared" si="0"/>
        <v>10.960189999999999</v>
      </c>
      <c r="F11" s="108">
        <f>SUM(F3:F6,F7:F9)</f>
        <v>13.799530000000001</v>
      </c>
      <c r="G11" s="108">
        <f>SUM(G3:G6,G7:G9)</f>
        <v>20.031770000000002</v>
      </c>
      <c r="H11" s="108">
        <f t="shared" ref="H11:N11" si="1">SUM(H3:H6,H7:H8)</f>
        <v>30.52</v>
      </c>
      <c r="I11" s="108">
        <f t="shared" si="1"/>
        <v>38.879999999999995</v>
      </c>
      <c r="J11" s="108">
        <f t="shared" si="1"/>
        <v>53.12</v>
      </c>
      <c r="K11" s="108">
        <f t="shared" si="1"/>
        <v>72.889999999999986</v>
      </c>
      <c r="L11" s="108">
        <f t="shared" si="1"/>
        <v>88.53</v>
      </c>
      <c r="M11" s="108">
        <f t="shared" si="1"/>
        <v>97.18</v>
      </c>
      <c r="N11" s="108">
        <f t="shared" si="1"/>
        <v>117.77641000000001</v>
      </c>
    </row>
    <row r="12" spans="1:14">
      <c r="A12" s="2" t="s">
        <v>313</v>
      </c>
      <c r="B12" s="5">
        <v>0.91859999999999997</v>
      </c>
      <c r="C12" s="5">
        <v>1.3008999999999999</v>
      </c>
      <c r="D12" s="46">
        <v>4.5219504376000001</v>
      </c>
      <c r="E12" s="5">
        <v>6.4450500000000002</v>
      </c>
      <c r="F12" s="1">
        <v>28.55</v>
      </c>
      <c r="G12" s="5">
        <v>8.3210200000000007</v>
      </c>
      <c r="H12" s="5">
        <v>11.085839999999999</v>
      </c>
      <c r="I12" s="5">
        <v>15.25221</v>
      </c>
      <c r="J12" s="5">
        <v>18.628299999999999</v>
      </c>
      <c r="K12" s="5">
        <v>23.616109999999999</v>
      </c>
      <c r="L12" s="46">
        <v>25.75413</v>
      </c>
      <c r="M12" s="5">
        <v>27.654689999999999</v>
      </c>
      <c r="N12" s="1">
        <v>29.55</v>
      </c>
    </row>
    <row r="13" spans="1:14">
      <c r="A13" s="2" t="s">
        <v>316</v>
      </c>
      <c r="B13" s="5">
        <v>281.34899000000001</v>
      </c>
      <c r="C13" s="5">
        <v>365.02456276610002</v>
      </c>
      <c r="D13" s="46">
        <v>491.55965919210001</v>
      </c>
      <c r="E13" s="5">
        <v>818.63849000000005</v>
      </c>
      <c r="F13" s="5">
        <v>3255.98</v>
      </c>
      <c r="G13" s="5">
        <v>1227.4511</v>
      </c>
      <c r="H13" s="5">
        <v>1456.17543</v>
      </c>
      <c r="I13" s="5">
        <v>1711.8966600000001</v>
      </c>
      <c r="J13" s="5">
        <v>2100.6218199999998</v>
      </c>
      <c r="K13" s="5">
        <v>2556.8858</v>
      </c>
      <c r="L13" s="46">
        <v>2824.8405299999999</v>
      </c>
      <c r="M13" s="5">
        <v>3025.0667800000001</v>
      </c>
      <c r="N13" s="5">
        <v>3256.98</v>
      </c>
    </row>
    <row r="14" spans="1:14">
      <c r="C14" s="283"/>
      <c r="D14" s="283"/>
      <c r="E14" s="283"/>
      <c r="F14" s="283"/>
      <c r="G14" s="283"/>
      <c r="H14" s="283"/>
      <c r="I14" s="283"/>
      <c r="J14" s="283"/>
      <c r="K14" s="283"/>
      <c r="L14" s="283"/>
      <c r="M14" s="283"/>
      <c r="N14" s="283"/>
    </row>
    <row r="15" spans="1:14" ht="15">
      <c r="A15" s="2"/>
      <c r="B15" s="344" t="s">
        <v>325</v>
      </c>
      <c r="C15" s="345"/>
      <c r="D15" s="345"/>
      <c r="E15" s="345"/>
      <c r="F15" s="345"/>
      <c r="G15" s="345"/>
      <c r="H15" s="345"/>
      <c r="I15" s="345"/>
      <c r="J15" s="345"/>
      <c r="K15" s="343"/>
      <c r="L15" s="343"/>
    </row>
    <row r="16" spans="1:14" ht="15">
      <c r="B16" s="344" t="s">
        <v>326</v>
      </c>
      <c r="C16" s="344"/>
      <c r="D16" s="344"/>
      <c r="E16" s="344"/>
      <c r="F16" s="344"/>
      <c r="G16" s="344"/>
      <c r="H16" s="344"/>
      <c r="I16" s="345"/>
      <c r="J16" s="345"/>
      <c r="K16" s="343"/>
      <c r="L16" s="343"/>
    </row>
    <row r="17" spans="1:12" ht="15">
      <c r="B17" s="344" t="s">
        <v>327</v>
      </c>
      <c r="C17" s="344"/>
      <c r="D17" s="344"/>
      <c r="E17" s="344"/>
      <c r="F17" s="344"/>
      <c r="G17" s="344"/>
      <c r="H17" s="344"/>
      <c r="I17" s="345"/>
      <c r="J17" s="345"/>
      <c r="K17" s="343"/>
      <c r="L17" s="343"/>
    </row>
    <row r="18" spans="1:12" ht="15">
      <c r="B18" s="344" t="s">
        <v>328</v>
      </c>
      <c r="C18" s="344"/>
      <c r="D18" s="344"/>
      <c r="E18" s="344"/>
      <c r="F18" s="344"/>
      <c r="G18" s="344"/>
      <c r="H18" s="344"/>
      <c r="I18" s="345"/>
      <c r="J18" s="345"/>
      <c r="K18" s="343"/>
      <c r="L18" s="343"/>
    </row>
    <row r="19" spans="1:12">
      <c r="G19" s="1"/>
    </row>
    <row r="20" spans="1:12">
      <c r="A20" s="6"/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8" t="s">
        <v>6</v>
      </c>
    </row>
    <row r="21" spans="1:12">
      <c r="A21" s="135" t="s">
        <v>318</v>
      </c>
      <c r="B21" s="326">
        <f t="shared" ref="B21:J21" si="2">C4</f>
        <v>0.98621000000000003</v>
      </c>
      <c r="C21" s="327">
        <f t="shared" si="2"/>
        <v>2.5722999999999998</v>
      </c>
      <c r="D21" s="327">
        <f t="shared" si="2"/>
        <v>4.2176900000000002</v>
      </c>
      <c r="E21" s="327">
        <f t="shared" si="2"/>
        <v>3.65801</v>
      </c>
      <c r="F21" s="327">
        <f t="shared" si="2"/>
        <v>6.3628600000000004</v>
      </c>
      <c r="G21" s="327">
        <f t="shared" si="2"/>
        <v>10.76</v>
      </c>
      <c r="H21" s="327">
        <f t="shared" si="2"/>
        <v>13.19</v>
      </c>
      <c r="I21" s="327">
        <f t="shared" si="2"/>
        <v>24.2</v>
      </c>
      <c r="J21" s="327">
        <f t="shared" si="2"/>
        <v>38.36</v>
      </c>
      <c r="K21" s="327">
        <f>M4</f>
        <v>50.42</v>
      </c>
      <c r="L21" s="328">
        <f>N4</f>
        <v>29.375879999999999</v>
      </c>
    </row>
    <row r="22" spans="1:12">
      <c r="A22" s="325" t="s">
        <v>324</v>
      </c>
      <c r="B22" s="329">
        <f>C6+C5</f>
        <v>-2.4539999999999999E-2</v>
      </c>
      <c r="C22" s="329">
        <f t="shared" ref="C22:I22" si="3">D6+D5</f>
        <v>-0.35515999999999998</v>
      </c>
      <c r="D22" s="329">
        <f t="shared" si="3"/>
        <v>4.3970000000000009E-2</v>
      </c>
      <c r="E22" s="329">
        <f t="shared" si="3"/>
        <v>-0.70311000000000001</v>
      </c>
      <c r="F22" s="329">
        <f t="shared" si="3"/>
        <v>0</v>
      </c>
      <c r="G22" s="329">
        <f t="shared" si="3"/>
        <v>-0.15</v>
      </c>
      <c r="H22" s="329">
        <f t="shared" si="3"/>
        <v>-4.57</v>
      </c>
      <c r="I22" s="329">
        <f t="shared" si="3"/>
        <v>-9.83</v>
      </c>
      <c r="J22" s="329">
        <f>K6+K5</f>
        <v>-19.28</v>
      </c>
      <c r="K22" s="329">
        <f>M6+M5</f>
        <v>-28.49</v>
      </c>
      <c r="L22" s="330">
        <f>N6+N5</f>
        <v>-11.562530000000001</v>
      </c>
    </row>
    <row r="23" spans="1:12">
      <c r="G23" s="1"/>
    </row>
    <row r="24" spans="1:12">
      <c r="G24" s="1"/>
      <c r="L24" s="41"/>
    </row>
    <row r="25" spans="1:12">
      <c r="A25" s="16"/>
      <c r="B25" s="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7">
        <v>2016</v>
      </c>
      <c r="L25" s="8" t="s">
        <v>6</v>
      </c>
    </row>
    <row r="26" spans="1:12">
      <c r="A26" s="50" t="s">
        <v>314</v>
      </c>
      <c r="B26" s="51">
        <f t="shared" ref="B26:J26" si="4">(C12-B12-B22)</f>
        <v>0.40683999999999998</v>
      </c>
      <c r="C26" s="51">
        <f>(D12-C12-C22)</f>
        <v>3.5762104376000003</v>
      </c>
      <c r="D26" s="51">
        <f t="shared" si="4"/>
        <v>1.8791295624</v>
      </c>
      <c r="E26" s="51">
        <f t="shared" si="4"/>
        <v>22.808060000000001</v>
      </c>
      <c r="F26" s="51">
        <f t="shared" si="4"/>
        <v>-20.22898</v>
      </c>
      <c r="G26" s="51">
        <f t="shared" si="4"/>
        <v>2.9148199999999984</v>
      </c>
      <c r="H26" s="51">
        <f t="shared" si="4"/>
        <v>8.7363700000000009</v>
      </c>
      <c r="I26" s="51">
        <f t="shared" si="4"/>
        <v>13.20609</v>
      </c>
      <c r="J26" s="51">
        <f t="shared" si="4"/>
        <v>24.267810000000001</v>
      </c>
      <c r="K26" s="51">
        <f>(M12-K12-K22)</f>
        <v>32.528579999999998</v>
      </c>
      <c r="L26" s="52">
        <f>(N12-M12-L22)</f>
        <v>13.457840000000003</v>
      </c>
    </row>
    <row r="27" spans="1:12">
      <c r="A27" s="19" t="s">
        <v>11</v>
      </c>
      <c r="B27" s="21">
        <f>(C12-B12-B22)/B13</f>
        <v>1.4460332699257246E-3</v>
      </c>
      <c r="C27" s="21">
        <f t="shared" ref="C27:J27" si="5">(D12-C12-C22)/C13</f>
        <v>9.7971775118365391E-3</v>
      </c>
      <c r="D27" s="21">
        <f t="shared" si="5"/>
        <v>3.8227904329831142E-3</v>
      </c>
      <c r="E27" s="21">
        <f t="shared" si="5"/>
        <v>2.7860967055189402E-2</v>
      </c>
      <c r="F27" s="21">
        <f t="shared" si="5"/>
        <v>-6.2128698579229603E-3</v>
      </c>
      <c r="G27" s="21">
        <f t="shared" si="5"/>
        <v>2.3746933788238067E-3</v>
      </c>
      <c r="H27" s="21">
        <f t="shared" si="5"/>
        <v>5.9995312515333408E-3</v>
      </c>
      <c r="I27" s="21">
        <f t="shared" si="5"/>
        <v>7.7143032687498779E-3</v>
      </c>
      <c r="J27" s="21">
        <f t="shared" si="5"/>
        <v>1.1552679196677107E-2</v>
      </c>
      <c r="K27" s="21">
        <f>(M12-K12-K22)/K13</f>
        <v>1.2721952619080601E-2</v>
      </c>
      <c r="L27" s="56">
        <f>(N12-M12-L22)/M13*2</f>
        <v>8.8975490319588933E-3</v>
      </c>
    </row>
    <row r="28" spans="1:12">
      <c r="G28" s="331"/>
      <c r="H28" s="283"/>
      <c r="I28" s="283"/>
      <c r="J28" s="283"/>
      <c r="K28" s="283"/>
      <c r="L28" s="283"/>
    </row>
    <row r="29" spans="1:12">
      <c r="G29" s="332"/>
      <c r="H29" s="333"/>
      <c r="I29" s="333"/>
      <c r="J29" s="333"/>
      <c r="K29" s="333"/>
      <c r="L29" s="333"/>
    </row>
    <row r="31" spans="1:12" ht="15">
      <c r="A31" s="239" t="s">
        <v>191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不良生成率</vt:lpstr>
      <vt:lpstr>净息差与净利差</vt:lpstr>
      <vt:lpstr>工商银行</vt:lpstr>
      <vt:lpstr>建设银行</vt:lpstr>
      <vt:lpstr>农业银行</vt:lpstr>
      <vt:lpstr>中国银行</vt:lpstr>
      <vt:lpstr>交通银行</vt:lpstr>
      <vt:lpstr>招商银行</vt:lpstr>
      <vt:lpstr>中信银行</vt:lpstr>
      <vt:lpstr>浦发银行</vt:lpstr>
      <vt:lpstr>民生银行</vt:lpstr>
      <vt:lpstr>兴业银行</vt:lpstr>
      <vt:lpstr>光大银行</vt:lpstr>
      <vt:lpstr>华夏银行</vt:lpstr>
      <vt:lpstr>平安银行</vt:lpstr>
      <vt:lpstr>北京银行</vt:lpstr>
      <vt:lpstr>南京银行</vt:lpstr>
      <vt:lpstr>宁波银行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jiangsongyuan jiang</dc:creator>
  <cp:lastModifiedBy>jjsy</cp:lastModifiedBy>
  <dcterms:created xsi:type="dcterms:W3CDTF">2015-06-05T18:19:34Z</dcterms:created>
  <dcterms:modified xsi:type="dcterms:W3CDTF">2017-09-21T08:45:14Z</dcterms:modified>
</cp:coreProperties>
</file>